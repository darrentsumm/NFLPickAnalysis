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umm\OneDrive\Documents\"/>
    </mc:Choice>
  </mc:AlternateContent>
  <bookViews>
    <workbookView xWindow="0" yWindow="0" windowWidth="23040" windowHeight="8808" firstSheet="10" activeTab="14"/>
  </bookViews>
  <sheets>
    <sheet name="2024 week 1" sheetId="10" r:id="rId1"/>
    <sheet name="2024 week 2" sheetId="8" r:id="rId2"/>
    <sheet name="2024 week 3" sheetId="6" r:id="rId3"/>
    <sheet name="2024 week 4" sheetId="4" r:id="rId4"/>
    <sheet name="2024 week 5" sheetId="2" r:id="rId5"/>
    <sheet name="2024 week 6" sheetId="1" r:id="rId6"/>
    <sheet name="2024 week 7" sheetId="12" r:id="rId7"/>
    <sheet name="2024 week 8" sheetId="13" r:id="rId8"/>
    <sheet name="2024 week 9" sheetId="14" r:id="rId9"/>
    <sheet name="2024 week 10" sheetId="15" r:id="rId10"/>
    <sheet name="2024 week 11" sheetId="16" r:id="rId11"/>
    <sheet name="2024 week 12" sheetId="17" r:id="rId12"/>
    <sheet name="2024 week 13" sheetId="18" r:id="rId13"/>
    <sheet name="2024 week 14" sheetId="19" r:id="rId14"/>
    <sheet name="2024 week 15" sheetId="20" r:id="rId15"/>
    <sheet name="raw data" sheetId="11" r:id="rId16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" i="20" l="1"/>
  <c r="O6" i="20"/>
  <c r="N6" i="20"/>
  <c r="M6" i="20"/>
  <c r="O5" i="20"/>
  <c r="O4" i="20" s="1"/>
  <c r="O7" i="20" s="1"/>
  <c r="N5" i="20"/>
  <c r="N4" i="20" s="1"/>
  <c r="N7" i="20" s="1"/>
  <c r="M5" i="20"/>
  <c r="M4" i="20" s="1"/>
  <c r="M7" i="20" s="1"/>
  <c r="M3" i="20"/>
  <c r="M1" i="20"/>
  <c r="M2" i="20" s="1"/>
  <c r="AA6" i="20"/>
  <c r="AA7" i="20" s="1"/>
  <c r="S6" i="20"/>
  <c r="R6" i="20"/>
  <c r="Q6" i="20"/>
  <c r="P6" i="20"/>
  <c r="L6" i="20"/>
  <c r="K6" i="20"/>
  <c r="J6" i="20"/>
  <c r="I6" i="20"/>
  <c r="H6" i="20"/>
  <c r="G6" i="20"/>
  <c r="F6" i="20"/>
  <c r="E6" i="20"/>
  <c r="D6" i="20"/>
  <c r="AB5" i="20"/>
  <c r="S5" i="20"/>
  <c r="R5" i="20"/>
  <c r="Q5" i="20"/>
  <c r="P5" i="20"/>
  <c r="L5" i="20"/>
  <c r="K5" i="20"/>
  <c r="J5" i="20"/>
  <c r="J4" i="20" s="1"/>
  <c r="J7" i="20" s="1"/>
  <c r="I5" i="20"/>
  <c r="I4" i="20" s="1"/>
  <c r="I7" i="20" s="1"/>
  <c r="H5" i="20"/>
  <c r="G5" i="20"/>
  <c r="G4" i="20" s="1"/>
  <c r="G7" i="20" s="1"/>
  <c r="F5" i="20"/>
  <c r="E5" i="20"/>
  <c r="D5" i="20"/>
  <c r="AB4" i="20"/>
  <c r="R4" i="20"/>
  <c r="R7" i="20" s="1"/>
  <c r="AB3" i="20"/>
  <c r="E3" i="20"/>
  <c r="AB2" i="20"/>
  <c r="W2" i="20"/>
  <c r="X2" i="20" s="1"/>
  <c r="E2" i="20"/>
  <c r="X1" i="20"/>
  <c r="E1" i="20"/>
  <c r="F1" i="20" s="1"/>
  <c r="L4" i="20" l="1"/>
  <c r="L7" i="20" s="1"/>
  <c r="K4" i="20"/>
  <c r="K7" i="20" s="1"/>
  <c r="E4" i="20"/>
  <c r="E7" i="20" s="1"/>
  <c r="P4" i="20"/>
  <c r="P7" i="20" s="1"/>
  <c r="Q4" i="20"/>
  <c r="Q7" i="20" s="1"/>
  <c r="N1" i="20"/>
  <c r="H4" i="20"/>
  <c r="H7" i="20" s="1"/>
  <c r="S4" i="20"/>
  <c r="S7" i="20" s="1"/>
  <c r="F4" i="20"/>
  <c r="F7" i="20" s="1"/>
  <c r="F2" i="20"/>
  <c r="F3" i="20"/>
  <c r="G1" i="20"/>
  <c r="AA8" i="20"/>
  <c r="AB7" i="20"/>
  <c r="W3" i="20"/>
  <c r="AB6" i="20"/>
  <c r="V14" i="1"/>
  <c r="V13" i="1"/>
  <c r="V12" i="1"/>
  <c r="V11" i="1"/>
  <c r="V10" i="1"/>
  <c r="V9" i="1"/>
  <c r="V8" i="1"/>
  <c r="V7" i="1"/>
  <c r="V6" i="1"/>
  <c r="V5" i="1"/>
  <c r="V4" i="1"/>
  <c r="V3" i="1"/>
  <c r="V2" i="1"/>
  <c r="V1" i="1"/>
  <c r="W15" i="12"/>
  <c r="W14" i="12"/>
  <c r="W13" i="12"/>
  <c r="W12" i="12"/>
  <c r="W11" i="12"/>
  <c r="W10" i="12"/>
  <c r="W9" i="12"/>
  <c r="W8" i="12"/>
  <c r="W7" i="12"/>
  <c r="W6" i="12"/>
  <c r="W5" i="12"/>
  <c r="W4" i="12"/>
  <c r="W3" i="12"/>
  <c r="W2" i="12"/>
  <c r="W1" i="12"/>
  <c r="X16" i="13"/>
  <c r="X15" i="13"/>
  <c r="X14" i="13"/>
  <c r="X13" i="13"/>
  <c r="X12" i="13"/>
  <c r="X11" i="13"/>
  <c r="X10" i="13"/>
  <c r="X9" i="13"/>
  <c r="X8" i="13"/>
  <c r="X7" i="13"/>
  <c r="X6" i="13"/>
  <c r="X5" i="13"/>
  <c r="X4" i="13"/>
  <c r="X3" i="13"/>
  <c r="X2" i="13"/>
  <c r="X1" i="13"/>
  <c r="W15" i="14"/>
  <c r="W14" i="14"/>
  <c r="W13" i="14"/>
  <c r="W12" i="14"/>
  <c r="W11" i="14"/>
  <c r="W10" i="14"/>
  <c r="W9" i="14"/>
  <c r="W8" i="14"/>
  <c r="W7" i="14"/>
  <c r="W6" i="14"/>
  <c r="W5" i="14"/>
  <c r="W4" i="14"/>
  <c r="W3" i="14"/>
  <c r="W2" i="14"/>
  <c r="W1" i="14"/>
  <c r="V14" i="15"/>
  <c r="V13" i="15"/>
  <c r="V12" i="15"/>
  <c r="V11" i="15"/>
  <c r="V10" i="15"/>
  <c r="V9" i="15"/>
  <c r="V8" i="15"/>
  <c r="V7" i="15"/>
  <c r="V6" i="15"/>
  <c r="V5" i="15"/>
  <c r="V4" i="15"/>
  <c r="V3" i="15"/>
  <c r="V2" i="15"/>
  <c r="V1" i="15"/>
  <c r="V14" i="16"/>
  <c r="V13" i="16"/>
  <c r="V12" i="16"/>
  <c r="V11" i="16"/>
  <c r="V10" i="16"/>
  <c r="V9" i="16"/>
  <c r="V8" i="16"/>
  <c r="V7" i="16"/>
  <c r="V6" i="16"/>
  <c r="V5" i="16"/>
  <c r="V4" i="16"/>
  <c r="V3" i="16"/>
  <c r="V2" i="16"/>
  <c r="V1" i="16"/>
  <c r="U14" i="17"/>
  <c r="U13" i="17"/>
  <c r="U12" i="17"/>
  <c r="U11" i="17"/>
  <c r="U10" i="17"/>
  <c r="U9" i="17"/>
  <c r="U8" i="17"/>
  <c r="U7" i="17"/>
  <c r="U6" i="17"/>
  <c r="U5" i="17"/>
  <c r="U4" i="17"/>
  <c r="U3" i="17"/>
  <c r="U2" i="17"/>
  <c r="U1" i="17"/>
  <c r="U14" i="19"/>
  <c r="U13" i="19"/>
  <c r="U12" i="19"/>
  <c r="U11" i="19"/>
  <c r="U10" i="19"/>
  <c r="U9" i="19"/>
  <c r="U8" i="19"/>
  <c r="U7" i="19"/>
  <c r="U6" i="19"/>
  <c r="U5" i="19"/>
  <c r="U4" i="19"/>
  <c r="U3" i="19"/>
  <c r="U2" i="19"/>
  <c r="U1" i="19"/>
  <c r="X14" i="18"/>
  <c r="X13" i="18"/>
  <c r="X12" i="18"/>
  <c r="X11" i="18"/>
  <c r="X10" i="18"/>
  <c r="X9" i="18"/>
  <c r="X8" i="18"/>
  <c r="X7" i="18"/>
  <c r="X6" i="18"/>
  <c r="X5" i="18"/>
  <c r="X4" i="18"/>
  <c r="X3" i="18"/>
  <c r="X2" i="18"/>
  <c r="X1" i="18"/>
  <c r="N1" i="19"/>
  <c r="X6" i="19"/>
  <c r="X7" i="19" s="1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Y5" i="19"/>
  <c r="P5" i="19"/>
  <c r="P4" i="19" s="1"/>
  <c r="P7" i="19" s="1"/>
  <c r="O5" i="19"/>
  <c r="O4" i="19" s="1"/>
  <c r="O7" i="19" s="1"/>
  <c r="N5" i="19"/>
  <c r="N4" i="19" s="1"/>
  <c r="N7" i="19" s="1"/>
  <c r="M5" i="19"/>
  <c r="L5" i="19"/>
  <c r="K5" i="19"/>
  <c r="K4" i="19" s="1"/>
  <c r="K7" i="19" s="1"/>
  <c r="J5" i="19"/>
  <c r="I5" i="19"/>
  <c r="H5" i="19"/>
  <c r="G5" i="19"/>
  <c r="G4" i="19" s="1"/>
  <c r="G7" i="19" s="1"/>
  <c r="F5" i="19"/>
  <c r="F4" i="19" s="1"/>
  <c r="F7" i="19" s="1"/>
  <c r="E5" i="19"/>
  <c r="D5" i="19"/>
  <c r="Y4" i="19"/>
  <c r="M4" i="19"/>
  <c r="M7" i="19" s="1"/>
  <c r="Y3" i="19"/>
  <c r="E3" i="19"/>
  <c r="Y2" i="19"/>
  <c r="T2" i="19"/>
  <c r="T3" i="19" s="1"/>
  <c r="E2" i="19"/>
  <c r="E1" i="19"/>
  <c r="F1" i="19" s="1"/>
  <c r="F2" i="19" s="1"/>
  <c r="Q1" i="18"/>
  <c r="P6" i="18"/>
  <c r="O6" i="18"/>
  <c r="N6" i="18"/>
  <c r="P5" i="18"/>
  <c r="O5" i="18"/>
  <c r="N5" i="18"/>
  <c r="N4" i="18" s="1"/>
  <c r="N7" i="18" s="1"/>
  <c r="N3" i="18"/>
  <c r="N1" i="18"/>
  <c r="N2" i="18" s="1"/>
  <c r="AA6" i="18"/>
  <c r="AA7" i="18" s="1"/>
  <c r="S6" i="18"/>
  <c r="R6" i="18"/>
  <c r="Q6" i="18"/>
  <c r="M6" i="18"/>
  <c r="L6" i="18"/>
  <c r="K6" i="18"/>
  <c r="K4" i="18" s="1"/>
  <c r="K7" i="18" s="1"/>
  <c r="J6" i="18"/>
  <c r="I6" i="18"/>
  <c r="H6" i="18"/>
  <c r="G6" i="18"/>
  <c r="F6" i="18"/>
  <c r="E6" i="18"/>
  <c r="D6" i="18"/>
  <c r="AB5" i="18"/>
  <c r="S5" i="18"/>
  <c r="R5" i="18"/>
  <c r="Q5" i="18"/>
  <c r="M5" i="18"/>
  <c r="M4" i="18" s="1"/>
  <c r="M7" i="18" s="1"/>
  <c r="L5" i="18"/>
  <c r="K5" i="18"/>
  <c r="J5" i="18"/>
  <c r="J4" i="18" s="1"/>
  <c r="J7" i="18" s="1"/>
  <c r="I5" i="18"/>
  <c r="I4" i="18" s="1"/>
  <c r="I7" i="18" s="1"/>
  <c r="H5" i="18"/>
  <c r="G5" i="18"/>
  <c r="F5" i="18"/>
  <c r="E5" i="18"/>
  <c r="E4" i="18" s="1"/>
  <c r="E7" i="18" s="1"/>
  <c r="D5" i="18"/>
  <c r="AB4" i="18"/>
  <c r="AB3" i="18"/>
  <c r="W3" i="18"/>
  <c r="W4" i="18" s="1"/>
  <c r="AB2" i="18"/>
  <c r="W2" i="18"/>
  <c r="E1" i="18"/>
  <c r="F1" i="18" s="1"/>
  <c r="O1" i="17"/>
  <c r="X6" i="17"/>
  <c r="Y6" i="17" s="1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Y5" i="17"/>
  <c r="P5" i="17"/>
  <c r="O5" i="17"/>
  <c r="O4" i="17" s="1"/>
  <c r="O7" i="17" s="1"/>
  <c r="N5" i="17"/>
  <c r="M5" i="17"/>
  <c r="L5" i="17"/>
  <c r="L4" i="17" s="1"/>
  <c r="L7" i="17" s="1"/>
  <c r="K5" i="17"/>
  <c r="K4" i="17" s="1"/>
  <c r="K7" i="17" s="1"/>
  <c r="J5" i="17"/>
  <c r="J4" i="17" s="1"/>
  <c r="J7" i="17" s="1"/>
  <c r="I5" i="17"/>
  <c r="H5" i="17"/>
  <c r="G5" i="17"/>
  <c r="F5" i="17"/>
  <c r="E5" i="17"/>
  <c r="D5" i="17"/>
  <c r="Y4" i="17"/>
  <c r="Y3" i="17"/>
  <c r="Y2" i="17"/>
  <c r="T2" i="17"/>
  <c r="T3" i="17" s="1"/>
  <c r="E2" i="17"/>
  <c r="E1" i="17"/>
  <c r="E3" i="17" s="1"/>
  <c r="P3" i="16"/>
  <c r="P2" i="16"/>
  <c r="P7" i="16"/>
  <c r="Y6" i="16"/>
  <c r="Y7" i="16" s="1"/>
  <c r="Q6" i="16"/>
  <c r="P6" i="16"/>
  <c r="O6" i="16"/>
  <c r="N6" i="16"/>
  <c r="M6" i="16"/>
  <c r="L6" i="16"/>
  <c r="L4" i="16" s="1"/>
  <c r="L7" i="16" s="1"/>
  <c r="K6" i="16"/>
  <c r="J6" i="16"/>
  <c r="J4" i="16" s="1"/>
  <c r="J7" i="16" s="1"/>
  <c r="I6" i="16"/>
  <c r="H6" i="16"/>
  <c r="G6" i="16"/>
  <c r="F6" i="16"/>
  <c r="E6" i="16"/>
  <c r="D6" i="16"/>
  <c r="Z5" i="16"/>
  <c r="Q5" i="16"/>
  <c r="P5" i="16"/>
  <c r="O5" i="16"/>
  <c r="N5" i="16"/>
  <c r="M5" i="16"/>
  <c r="M4" i="16" s="1"/>
  <c r="M7" i="16" s="1"/>
  <c r="L5" i="16"/>
  <c r="K5" i="16"/>
  <c r="K4" i="16" s="1"/>
  <c r="K7" i="16" s="1"/>
  <c r="J5" i="16"/>
  <c r="I5" i="16"/>
  <c r="H5" i="16"/>
  <c r="G5" i="16"/>
  <c r="G4" i="16" s="1"/>
  <c r="G7" i="16" s="1"/>
  <c r="F5" i="16"/>
  <c r="E5" i="16"/>
  <c r="E4" i="16" s="1"/>
  <c r="E7" i="16" s="1"/>
  <c r="D5" i="16"/>
  <c r="Z4" i="16"/>
  <c r="Z3" i="16"/>
  <c r="E3" i="16"/>
  <c r="Z2" i="16"/>
  <c r="U2" i="16"/>
  <c r="U3" i="16" s="1"/>
  <c r="E2" i="16"/>
  <c r="F1" i="16"/>
  <c r="F3" i="16" s="1"/>
  <c r="E1" i="16"/>
  <c r="U7" i="20" l="1"/>
  <c r="N2" i="20"/>
  <c r="N3" i="20"/>
  <c r="O1" i="20"/>
  <c r="X3" i="20"/>
  <c r="W4" i="20"/>
  <c r="AA9" i="20"/>
  <c r="AB8" i="20"/>
  <c r="G3" i="20"/>
  <c r="H1" i="20"/>
  <c r="G2" i="20"/>
  <c r="J4" i="19"/>
  <c r="J7" i="19" s="1"/>
  <c r="L4" i="19"/>
  <c r="L7" i="19" s="1"/>
  <c r="Y6" i="19"/>
  <c r="I4" i="19"/>
  <c r="I7" i="19" s="1"/>
  <c r="R7" i="19" s="1"/>
  <c r="E4" i="19"/>
  <c r="E7" i="19" s="1"/>
  <c r="H4" i="19"/>
  <c r="H7" i="19" s="1"/>
  <c r="X8" i="19"/>
  <c r="Y7" i="19"/>
  <c r="T4" i="19"/>
  <c r="G1" i="19"/>
  <c r="F3" i="19"/>
  <c r="O4" i="18"/>
  <c r="O7" i="18" s="1"/>
  <c r="L4" i="18"/>
  <c r="L7" i="18" s="1"/>
  <c r="P4" i="18"/>
  <c r="P7" i="18" s="1"/>
  <c r="F4" i="18"/>
  <c r="F7" i="18" s="1"/>
  <c r="Q4" i="18"/>
  <c r="Q7" i="18" s="1"/>
  <c r="O1" i="18"/>
  <c r="S4" i="18"/>
  <c r="S7" i="18" s="1"/>
  <c r="G4" i="18"/>
  <c r="G7" i="18" s="1"/>
  <c r="R4" i="18"/>
  <c r="R7" i="18" s="1"/>
  <c r="H4" i="18"/>
  <c r="H7" i="18" s="1"/>
  <c r="W5" i="18"/>
  <c r="F2" i="18"/>
  <c r="F3" i="18"/>
  <c r="G1" i="18"/>
  <c r="AA8" i="18"/>
  <c r="AB7" i="18"/>
  <c r="E3" i="18"/>
  <c r="E2" i="18"/>
  <c r="AB6" i="18"/>
  <c r="E4" i="17"/>
  <c r="E7" i="17" s="1"/>
  <c r="F1" i="17"/>
  <c r="F3" i="17" s="1"/>
  <c r="M4" i="17"/>
  <c r="M7" i="17" s="1"/>
  <c r="F4" i="17"/>
  <c r="F7" i="17" s="1"/>
  <c r="N4" i="17"/>
  <c r="N7" i="17" s="1"/>
  <c r="X7" i="17"/>
  <c r="G4" i="17"/>
  <c r="G7" i="17" s="1"/>
  <c r="R7" i="17" s="1"/>
  <c r="H4" i="17"/>
  <c r="H7" i="17" s="1"/>
  <c r="I4" i="17"/>
  <c r="I7" i="17" s="1"/>
  <c r="P4" i="17"/>
  <c r="P7" i="17" s="1"/>
  <c r="T4" i="17"/>
  <c r="G1" i="17"/>
  <c r="F2" i="17"/>
  <c r="H4" i="16"/>
  <c r="H7" i="16" s="1"/>
  <c r="P4" i="16"/>
  <c r="O4" i="16"/>
  <c r="O7" i="16" s="1"/>
  <c r="F4" i="16"/>
  <c r="F7" i="16" s="1"/>
  <c r="N4" i="16"/>
  <c r="N7" i="16" s="1"/>
  <c r="I4" i="16"/>
  <c r="I7" i="16" s="1"/>
  <c r="Q4" i="16"/>
  <c r="Q7" i="16" s="1"/>
  <c r="S7" i="16" s="1"/>
  <c r="Y8" i="16"/>
  <c r="Z7" i="16"/>
  <c r="U4" i="16"/>
  <c r="F2" i="16"/>
  <c r="Z6" i="16"/>
  <c r="G1" i="16"/>
  <c r="AA8" i="10"/>
  <c r="AA7" i="10"/>
  <c r="AB7" i="10" s="1"/>
  <c r="AB6" i="10"/>
  <c r="AA6" i="10"/>
  <c r="AB5" i="10"/>
  <c r="AB4" i="10"/>
  <c r="AB3" i="10"/>
  <c r="AB2" i="10"/>
  <c r="AA6" i="8"/>
  <c r="AB6" i="8" s="1"/>
  <c r="AB5" i="8"/>
  <c r="AB4" i="8"/>
  <c r="AB3" i="8"/>
  <c r="AB2" i="8"/>
  <c r="AA6" i="6"/>
  <c r="AA7" i="6" s="1"/>
  <c r="AB5" i="6"/>
  <c r="AB4" i="6"/>
  <c r="AB3" i="6"/>
  <c r="AB2" i="6"/>
  <c r="AB6" i="4"/>
  <c r="AA6" i="4"/>
  <c r="AA7" i="4" s="1"/>
  <c r="AB5" i="4"/>
  <c r="AB4" i="4"/>
  <c r="AB3" i="4"/>
  <c r="AB2" i="4"/>
  <c r="Y6" i="2"/>
  <c r="Y7" i="2" s="1"/>
  <c r="Z5" i="2"/>
  <c r="Z4" i="2"/>
  <c r="Z3" i="2"/>
  <c r="Z2" i="2"/>
  <c r="Y6" i="1"/>
  <c r="Z6" i="1" s="1"/>
  <c r="Z5" i="1"/>
  <c r="Z4" i="1"/>
  <c r="Z3" i="1"/>
  <c r="Z2" i="1"/>
  <c r="Z6" i="12"/>
  <c r="Z7" i="12" s="1"/>
  <c r="AA5" i="12"/>
  <c r="AA4" i="12"/>
  <c r="AA3" i="12"/>
  <c r="AA2" i="12"/>
  <c r="AA6" i="13"/>
  <c r="AA7" i="13" s="1"/>
  <c r="AB5" i="13"/>
  <c r="AB4" i="13"/>
  <c r="AB3" i="13"/>
  <c r="AB2" i="13"/>
  <c r="Z6" i="14"/>
  <c r="AA6" i="14" s="1"/>
  <c r="AA5" i="14"/>
  <c r="AA4" i="14"/>
  <c r="AA3" i="14"/>
  <c r="AA2" i="14"/>
  <c r="Z120" i="15"/>
  <c r="Z119" i="15"/>
  <c r="Z118" i="15"/>
  <c r="Z117" i="15"/>
  <c r="Z116" i="15"/>
  <c r="Z115" i="15"/>
  <c r="Z114" i="15"/>
  <c r="Z113" i="15"/>
  <c r="Z112" i="15"/>
  <c r="Z111" i="15"/>
  <c r="Z110" i="15"/>
  <c r="Z109" i="15"/>
  <c r="Z108" i="15"/>
  <c r="Z107" i="15"/>
  <c r="Z106" i="15"/>
  <c r="Z105" i="15"/>
  <c r="Z104" i="15"/>
  <c r="Z103" i="15"/>
  <c r="Z102" i="15"/>
  <c r="Z101" i="15"/>
  <c r="Z100" i="15"/>
  <c r="Z99" i="15"/>
  <c r="Z98" i="15"/>
  <c r="Z97" i="15"/>
  <c r="Z96" i="15"/>
  <c r="Z95" i="15"/>
  <c r="Z94" i="15"/>
  <c r="Z93" i="15"/>
  <c r="Z92" i="15"/>
  <c r="Z91" i="15"/>
  <c r="Z90" i="15"/>
  <c r="Z89" i="15"/>
  <c r="Z88" i="15"/>
  <c r="Z87" i="15"/>
  <c r="Z86" i="15"/>
  <c r="Z85" i="15"/>
  <c r="Z84" i="15"/>
  <c r="Z83" i="15"/>
  <c r="Z82" i="15"/>
  <c r="Z81" i="15"/>
  <c r="Z80" i="15"/>
  <c r="Z79" i="15"/>
  <c r="Z78" i="15"/>
  <c r="Z77" i="15"/>
  <c r="Z76" i="15"/>
  <c r="Z75" i="15"/>
  <c r="Z74" i="15"/>
  <c r="Z73" i="15"/>
  <c r="Z72" i="15"/>
  <c r="Z71" i="15"/>
  <c r="Z70" i="15"/>
  <c r="Z69" i="15"/>
  <c r="Z68" i="15"/>
  <c r="Z67" i="15"/>
  <c r="Z66" i="15"/>
  <c r="Z65" i="15"/>
  <c r="Z64" i="15"/>
  <c r="Z63" i="15"/>
  <c r="Z62" i="15"/>
  <c r="Z61" i="15"/>
  <c r="Z60" i="15"/>
  <c r="Z59" i="15"/>
  <c r="Z58" i="15"/>
  <c r="Z57" i="15"/>
  <c r="Z56" i="15"/>
  <c r="Z55" i="15"/>
  <c r="Z54" i="15"/>
  <c r="Z53" i="15"/>
  <c r="Z52" i="15"/>
  <c r="Z51" i="15"/>
  <c r="Z50" i="15"/>
  <c r="Z49" i="15"/>
  <c r="Z48" i="15"/>
  <c r="Z47" i="15"/>
  <c r="Z46" i="15"/>
  <c r="Z45" i="15"/>
  <c r="Z44" i="15"/>
  <c r="Z43" i="15"/>
  <c r="Z42" i="15"/>
  <c r="Z41" i="15"/>
  <c r="Z40" i="15"/>
  <c r="Z39" i="15"/>
  <c r="Z38" i="15"/>
  <c r="Z37" i="15"/>
  <c r="Z36" i="15"/>
  <c r="Z35" i="15"/>
  <c r="Z34" i="15"/>
  <c r="Z33" i="15"/>
  <c r="Z32" i="15"/>
  <c r="Z31" i="15"/>
  <c r="Z30" i="15"/>
  <c r="Z29" i="15"/>
  <c r="Z28" i="15"/>
  <c r="Z27" i="15"/>
  <c r="Z26" i="15"/>
  <c r="Z25" i="15"/>
  <c r="Z24" i="15"/>
  <c r="Z23" i="15"/>
  <c r="Z22" i="15"/>
  <c r="Z21" i="15"/>
  <c r="Z20" i="15"/>
  <c r="Z19" i="15"/>
  <c r="Z18" i="15"/>
  <c r="Z17" i="15"/>
  <c r="Z16" i="15"/>
  <c r="Z15" i="15"/>
  <c r="Z14" i="15"/>
  <c r="Z13" i="15"/>
  <c r="Z12" i="15"/>
  <c r="Z11" i="15"/>
  <c r="Z10" i="15"/>
  <c r="Z9" i="15"/>
  <c r="Z8" i="15"/>
  <c r="Z7" i="15"/>
  <c r="Z6" i="15"/>
  <c r="Z5" i="15"/>
  <c r="Z4" i="15"/>
  <c r="Z3" i="15"/>
  <c r="Z2" i="15"/>
  <c r="Y7" i="15"/>
  <c r="Y8" i="15" s="1"/>
  <c r="Y9" i="15" s="1"/>
  <c r="Y10" i="15" s="1"/>
  <c r="Y11" i="15" s="1"/>
  <c r="Y12" i="15" s="1"/>
  <c r="Y13" i="15" s="1"/>
  <c r="Y14" i="15" s="1"/>
  <c r="Y15" i="15" s="1"/>
  <c r="Y16" i="15" s="1"/>
  <c r="Y17" i="15" s="1"/>
  <c r="Y18" i="15" s="1"/>
  <c r="Y19" i="15" s="1"/>
  <c r="Y20" i="15" s="1"/>
  <c r="Y21" i="15" s="1"/>
  <c r="Y22" i="15" s="1"/>
  <c r="Y23" i="15" s="1"/>
  <c r="Y24" i="15" s="1"/>
  <c r="Y25" i="15" s="1"/>
  <c r="Y26" i="15" s="1"/>
  <c r="Y27" i="15" s="1"/>
  <c r="Y28" i="15" s="1"/>
  <c r="Y29" i="15" s="1"/>
  <c r="Y30" i="15" s="1"/>
  <c r="Y31" i="15" s="1"/>
  <c r="Y32" i="15" s="1"/>
  <c r="Y33" i="15" s="1"/>
  <c r="Y34" i="15" s="1"/>
  <c r="Y35" i="15" s="1"/>
  <c r="Y36" i="15" s="1"/>
  <c r="Y37" i="15" s="1"/>
  <c r="Y38" i="15" s="1"/>
  <c r="Y39" i="15" s="1"/>
  <c r="Y40" i="15" s="1"/>
  <c r="Y41" i="15" s="1"/>
  <c r="Y42" i="15" s="1"/>
  <c r="Y43" i="15" s="1"/>
  <c r="Y44" i="15" s="1"/>
  <c r="Y45" i="15" s="1"/>
  <c r="Y46" i="15" s="1"/>
  <c r="Y47" i="15" s="1"/>
  <c r="Y48" i="15" s="1"/>
  <c r="Y49" i="15" s="1"/>
  <c r="Y50" i="15" s="1"/>
  <c r="Y51" i="15" s="1"/>
  <c r="Y52" i="15" s="1"/>
  <c r="Y53" i="15" s="1"/>
  <c r="Y54" i="15" s="1"/>
  <c r="Y55" i="15" s="1"/>
  <c r="Y56" i="15" s="1"/>
  <c r="Y57" i="15" s="1"/>
  <c r="Y58" i="15" s="1"/>
  <c r="Y59" i="15" s="1"/>
  <c r="Y60" i="15" s="1"/>
  <c r="Y61" i="15" s="1"/>
  <c r="Y62" i="15" s="1"/>
  <c r="Y63" i="15" s="1"/>
  <c r="Y64" i="15" s="1"/>
  <c r="Y65" i="15" s="1"/>
  <c r="Y66" i="15" s="1"/>
  <c r="Y67" i="15" s="1"/>
  <c r="Y68" i="15" s="1"/>
  <c r="Y69" i="15" s="1"/>
  <c r="Y70" i="15" s="1"/>
  <c r="Y71" i="15" s="1"/>
  <c r="Y72" i="15" s="1"/>
  <c r="Y73" i="15" s="1"/>
  <c r="Y74" i="15" s="1"/>
  <c r="Y75" i="15" s="1"/>
  <c r="Y76" i="15" s="1"/>
  <c r="Y77" i="15" s="1"/>
  <c r="Y78" i="15" s="1"/>
  <c r="Y79" i="15" s="1"/>
  <c r="Y80" i="15" s="1"/>
  <c r="Y81" i="15" s="1"/>
  <c r="Y82" i="15" s="1"/>
  <c r="Y83" i="15" s="1"/>
  <c r="Y84" i="15" s="1"/>
  <c r="Y85" i="15" s="1"/>
  <c r="Y86" i="15" s="1"/>
  <c r="Y87" i="15" s="1"/>
  <c r="Y88" i="15" s="1"/>
  <c r="Y89" i="15" s="1"/>
  <c r="Y90" i="15" s="1"/>
  <c r="Y91" i="15" s="1"/>
  <c r="Y92" i="15" s="1"/>
  <c r="Y93" i="15" s="1"/>
  <c r="Y94" i="15" s="1"/>
  <c r="Y95" i="15" s="1"/>
  <c r="Y96" i="15" s="1"/>
  <c r="Y97" i="15" s="1"/>
  <c r="Y98" i="15" s="1"/>
  <c r="Y99" i="15" s="1"/>
  <c r="Y100" i="15" s="1"/>
  <c r="Y101" i="15" s="1"/>
  <c r="Y102" i="15" s="1"/>
  <c r="Y103" i="15" s="1"/>
  <c r="Y104" i="15" s="1"/>
  <c r="Y105" i="15" s="1"/>
  <c r="Y106" i="15" s="1"/>
  <c r="Y107" i="15" s="1"/>
  <c r="Y108" i="15" s="1"/>
  <c r="Y109" i="15" s="1"/>
  <c r="Y110" i="15" s="1"/>
  <c r="Y111" i="15" s="1"/>
  <c r="Y112" i="15" s="1"/>
  <c r="Y113" i="15" s="1"/>
  <c r="Y114" i="15" s="1"/>
  <c r="Y115" i="15" s="1"/>
  <c r="Y116" i="15" s="1"/>
  <c r="Y117" i="15" s="1"/>
  <c r="Y118" i="15" s="1"/>
  <c r="Y119" i="15" s="1"/>
  <c r="Y120" i="15" s="1"/>
  <c r="Y6" i="15"/>
  <c r="O3" i="20" l="1"/>
  <c r="O2" i="20"/>
  <c r="I1" i="20"/>
  <c r="H3" i="20"/>
  <c r="H2" i="20"/>
  <c r="AA10" i="20"/>
  <c r="AB9" i="20"/>
  <c r="W5" i="20"/>
  <c r="X4" i="20"/>
  <c r="Y8" i="19"/>
  <c r="X9" i="19"/>
  <c r="T5" i="19"/>
  <c r="G2" i="19"/>
  <c r="H1" i="19"/>
  <c r="G3" i="19"/>
  <c r="U7" i="18"/>
  <c r="O2" i="18"/>
  <c r="P1" i="18"/>
  <c r="O3" i="18"/>
  <c r="AB8" i="18"/>
  <c r="AA9" i="18"/>
  <c r="G2" i="18"/>
  <c r="G3" i="18"/>
  <c r="H1" i="18"/>
  <c r="W6" i="18"/>
  <c r="X8" i="17"/>
  <c r="Y7" i="17"/>
  <c r="G3" i="17"/>
  <c r="G2" i="17"/>
  <c r="H1" i="17"/>
  <c r="T5" i="17"/>
  <c r="U5" i="16"/>
  <c r="G2" i="16"/>
  <c r="H1" i="16"/>
  <c r="G3" i="16"/>
  <c r="Z8" i="16"/>
  <c r="Y9" i="16"/>
  <c r="AA9" i="10"/>
  <c r="AB8" i="10"/>
  <c r="AA7" i="8"/>
  <c r="AA8" i="6"/>
  <c r="AB7" i="6"/>
  <c r="AB6" i="6"/>
  <c r="AA8" i="4"/>
  <c r="AB7" i="4"/>
  <c r="Y8" i="2"/>
  <c r="Z7" i="2"/>
  <c r="Z6" i="2"/>
  <c r="Y7" i="1"/>
  <c r="Z8" i="12"/>
  <c r="AA7" i="12"/>
  <c r="AA6" i="12"/>
  <c r="AA8" i="13"/>
  <c r="AB7" i="13"/>
  <c r="AB6" i="13"/>
  <c r="Z7" i="14"/>
  <c r="N1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Q5" i="15"/>
  <c r="Q4" i="15" s="1"/>
  <c r="Q7" i="15" s="1"/>
  <c r="P5" i="15"/>
  <c r="P4" i="15" s="1"/>
  <c r="O5" i="15"/>
  <c r="O4" i="15" s="1"/>
  <c r="O7" i="15" s="1"/>
  <c r="N5" i="15"/>
  <c r="M5" i="15"/>
  <c r="L5" i="15"/>
  <c r="K5" i="15"/>
  <c r="J5" i="15"/>
  <c r="I5" i="15"/>
  <c r="I4" i="15" s="1"/>
  <c r="I7" i="15" s="1"/>
  <c r="H5" i="15"/>
  <c r="H4" i="15" s="1"/>
  <c r="H7" i="15" s="1"/>
  <c r="G5" i="15"/>
  <c r="F5" i="15"/>
  <c r="E5" i="15"/>
  <c r="E4" i="15" s="1"/>
  <c r="E7" i="15" s="1"/>
  <c r="D5" i="15"/>
  <c r="M4" i="15"/>
  <c r="M7" i="15" s="1"/>
  <c r="E3" i="15"/>
  <c r="U2" i="15"/>
  <c r="E1" i="15"/>
  <c r="E2" i="15" s="1"/>
  <c r="W6" i="20" l="1"/>
  <c r="X5" i="20"/>
  <c r="AB10" i="20"/>
  <c r="AA11" i="20"/>
  <c r="J1" i="20"/>
  <c r="I3" i="20"/>
  <c r="I2" i="20"/>
  <c r="H3" i="19"/>
  <c r="I1" i="19"/>
  <c r="H2" i="19"/>
  <c r="T6" i="19"/>
  <c r="X10" i="19"/>
  <c r="Y9" i="19"/>
  <c r="P3" i="18"/>
  <c r="P2" i="18"/>
  <c r="W7" i="18"/>
  <c r="AA10" i="18"/>
  <c r="AB9" i="18"/>
  <c r="H3" i="18"/>
  <c r="I1" i="18"/>
  <c r="H2" i="18"/>
  <c r="X9" i="17"/>
  <c r="Y8" i="17"/>
  <c r="T6" i="17"/>
  <c r="H3" i="17"/>
  <c r="I1" i="17"/>
  <c r="H2" i="17"/>
  <c r="H2" i="16"/>
  <c r="I1" i="16"/>
  <c r="H3" i="16"/>
  <c r="U6" i="16"/>
  <c r="Y10" i="16"/>
  <c r="Z9" i="16"/>
  <c r="AA10" i="10"/>
  <c r="AB9" i="10"/>
  <c r="AB7" i="8"/>
  <c r="AA8" i="8"/>
  <c r="AA9" i="6"/>
  <c r="AB8" i="6"/>
  <c r="AB8" i="4"/>
  <c r="AA9" i="4"/>
  <c r="Z8" i="2"/>
  <c r="Y9" i="2"/>
  <c r="Z7" i="1"/>
  <c r="Y8" i="1"/>
  <c r="AA8" i="12"/>
  <c r="Z9" i="12"/>
  <c r="AB8" i="13"/>
  <c r="AA9" i="13"/>
  <c r="Z8" i="14"/>
  <c r="AA7" i="14"/>
  <c r="L4" i="15"/>
  <c r="L7" i="15" s="1"/>
  <c r="U3" i="15"/>
  <c r="U4" i="15" s="1"/>
  <c r="J4" i="15"/>
  <c r="J7" i="15" s="1"/>
  <c r="K4" i="15"/>
  <c r="K7" i="15" s="1"/>
  <c r="F4" i="15"/>
  <c r="F7" i="15" s="1"/>
  <c r="S7" i="15" s="1"/>
  <c r="G4" i="15"/>
  <c r="G7" i="15" s="1"/>
  <c r="N4" i="15"/>
  <c r="N7" i="15" s="1"/>
  <c r="F1" i="15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R5" i="14"/>
  <c r="Q5" i="14"/>
  <c r="P5" i="14"/>
  <c r="O5" i="14"/>
  <c r="N5" i="14"/>
  <c r="M5" i="14"/>
  <c r="M4" i="14" s="1"/>
  <c r="M7" i="14" s="1"/>
  <c r="L5" i="14"/>
  <c r="K5" i="14"/>
  <c r="J5" i="14"/>
  <c r="I5" i="14"/>
  <c r="H5" i="14"/>
  <c r="G5" i="14"/>
  <c r="F5" i="14"/>
  <c r="E5" i="14"/>
  <c r="D5" i="14"/>
  <c r="E3" i="14"/>
  <c r="V2" i="14"/>
  <c r="V3" i="14" s="1"/>
  <c r="E2" i="14"/>
  <c r="E1" i="14"/>
  <c r="F1" i="14" s="1"/>
  <c r="F3" i="14" s="1"/>
  <c r="AB11" i="20" l="1"/>
  <c r="AA12" i="20"/>
  <c r="J3" i="20"/>
  <c r="K1" i="20"/>
  <c r="J2" i="20"/>
  <c r="W7" i="20"/>
  <c r="X6" i="20"/>
  <c r="T7" i="19"/>
  <c r="I3" i="19"/>
  <c r="I2" i="19"/>
  <c r="J1" i="19"/>
  <c r="Y10" i="19"/>
  <c r="X11" i="19"/>
  <c r="I3" i="18"/>
  <c r="J1" i="18"/>
  <c r="I2" i="18"/>
  <c r="AB10" i="18"/>
  <c r="AA11" i="18"/>
  <c r="W8" i="18"/>
  <c r="X10" i="17"/>
  <c r="Y9" i="17"/>
  <c r="T7" i="17"/>
  <c r="I2" i="17"/>
  <c r="J1" i="17"/>
  <c r="I3" i="17"/>
  <c r="Z10" i="16"/>
  <c r="Y11" i="16"/>
  <c r="I2" i="16"/>
  <c r="J1" i="16"/>
  <c r="I3" i="16"/>
  <c r="U7" i="16"/>
  <c r="AA11" i="10"/>
  <c r="AB10" i="10"/>
  <c r="AA9" i="8"/>
  <c r="AB8" i="8"/>
  <c r="AB9" i="6"/>
  <c r="AA10" i="6"/>
  <c r="AA10" i="4"/>
  <c r="AB9" i="4"/>
  <c r="Y10" i="2"/>
  <c r="Z9" i="2"/>
  <c r="Y9" i="1"/>
  <c r="Z8" i="1"/>
  <c r="AA9" i="12"/>
  <c r="Z10" i="12"/>
  <c r="AB9" i="13"/>
  <c r="AA10" i="13"/>
  <c r="Z9" i="14"/>
  <c r="AA8" i="14"/>
  <c r="U5" i="15"/>
  <c r="U6" i="15" s="1"/>
  <c r="Q4" i="14"/>
  <c r="Q7" i="14" s="1"/>
  <c r="I4" i="14"/>
  <c r="I7" i="14" s="1"/>
  <c r="F3" i="15"/>
  <c r="F2" i="15"/>
  <c r="G1" i="15"/>
  <c r="E4" i="14"/>
  <c r="E7" i="14" s="1"/>
  <c r="F4" i="14"/>
  <c r="F7" i="14" s="1"/>
  <c r="N4" i="14"/>
  <c r="N7" i="14" s="1"/>
  <c r="H4" i="14"/>
  <c r="H7" i="14" s="1"/>
  <c r="P4" i="14"/>
  <c r="P7" i="14" s="1"/>
  <c r="L4" i="14"/>
  <c r="J4" i="14"/>
  <c r="J7" i="14" s="1"/>
  <c r="R4" i="14"/>
  <c r="R7" i="14" s="1"/>
  <c r="K4" i="14"/>
  <c r="K7" i="14" s="1"/>
  <c r="G4" i="14"/>
  <c r="G7" i="14" s="1"/>
  <c r="O4" i="14"/>
  <c r="O7" i="14" s="1"/>
  <c r="V4" i="14"/>
  <c r="G1" i="14"/>
  <c r="F2" i="14"/>
  <c r="N1" i="12"/>
  <c r="O1" i="12" s="1"/>
  <c r="P1" i="12" s="1"/>
  <c r="Q1" i="12" s="1"/>
  <c r="R1" i="12" s="1"/>
  <c r="S1" i="12" s="1"/>
  <c r="T1" i="12" s="1"/>
  <c r="N1" i="13"/>
  <c r="O1" i="13" s="1"/>
  <c r="P1" i="13" s="1"/>
  <c r="Q1" i="13" s="1"/>
  <c r="Q6" i="13"/>
  <c r="Q5" i="13"/>
  <c r="Q4" i="13" s="1"/>
  <c r="Q7" i="13" s="1"/>
  <c r="E1" i="13"/>
  <c r="E2" i="13" s="1"/>
  <c r="F1" i="13"/>
  <c r="F2" i="13" s="1"/>
  <c r="W2" i="13"/>
  <c r="E3" i="13"/>
  <c r="F3" i="13"/>
  <c r="W3" i="13"/>
  <c r="W4" i="13"/>
  <c r="D5" i="13"/>
  <c r="E5" i="13"/>
  <c r="F5" i="13"/>
  <c r="G5" i="13"/>
  <c r="H5" i="13"/>
  <c r="I5" i="13"/>
  <c r="J5" i="13"/>
  <c r="K5" i="13"/>
  <c r="K4" i="13" s="1"/>
  <c r="K7" i="13" s="1"/>
  <c r="L5" i="13"/>
  <c r="M5" i="13"/>
  <c r="N5" i="13"/>
  <c r="O5" i="13"/>
  <c r="P5" i="13"/>
  <c r="R5" i="13"/>
  <c r="S5" i="13"/>
  <c r="D6" i="13"/>
  <c r="E6" i="13"/>
  <c r="E4" i="13" s="1"/>
  <c r="E7" i="13" s="1"/>
  <c r="F6" i="13"/>
  <c r="F4" i="13" s="1"/>
  <c r="F7" i="13" s="1"/>
  <c r="G6" i="13"/>
  <c r="H6" i="13"/>
  <c r="I6" i="13"/>
  <c r="J6" i="13"/>
  <c r="K6" i="13"/>
  <c r="L6" i="13"/>
  <c r="M6" i="13"/>
  <c r="N6" i="13"/>
  <c r="O6" i="13"/>
  <c r="P6" i="13"/>
  <c r="R6" i="13"/>
  <c r="S6" i="13"/>
  <c r="AA13" i="20" l="1"/>
  <c r="AB12" i="20"/>
  <c r="X7" i="20"/>
  <c r="W8" i="20"/>
  <c r="K3" i="20"/>
  <c r="L1" i="20"/>
  <c r="K2" i="20"/>
  <c r="T8" i="19"/>
  <c r="Y11" i="19"/>
  <c r="X12" i="19"/>
  <c r="J3" i="19"/>
  <c r="K1" i="19"/>
  <c r="J2" i="19"/>
  <c r="W9" i="18"/>
  <c r="AB11" i="18"/>
  <c r="AA12" i="18"/>
  <c r="J3" i="18"/>
  <c r="K1" i="18"/>
  <c r="J2" i="18"/>
  <c r="Y10" i="17"/>
  <c r="X11" i="17"/>
  <c r="T8" i="17"/>
  <c r="J2" i="17"/>
  <c r="K1" i="17"/>
  <c r="J3" i="17"/>
  <c r="U8" i="16"/>
  <c r="J3" i="16"/>
  <c r="J2" i="16"/>
  <c r="K1" i="16"/>
  <c r="Z11" i="16"/>
  <c r="Y12" i="16"/>
  <c r="AB11" i="10"/>
  <c r="AA12" i="10"/>
  <c r="AA10" i="8"/>
  <c r="AB9" i="8"/>
  <c r="AA11" i="6"/>
  <c r="AB10" i="6"/>
  <c r="AB10" i="4"/>
  <c r="AA11" i="4"/>
  <c r="Y11" i="2"/>
  <c r="Z10" i="2"/>
  <c r="Y10" i="1"/>
  <c r="Z9" i="1"/>
  <c r="Z11" i="12"/>
  <c r="AA10" i="12"/>
  <c r="AA11" i="13"/>
  <c r="AB10" i="13"/>
  <c r="AA9" i="14"/>
  <c r="Z10" i="14"/>
  <c r="U7" i="15"/>
  <c r="G2" i="15"/>
  <c r="H1" i="15"/>
  <c r="G3" i="15"/>
  <c r="T7" i="14"/>
  <c r="V5" i="14"/>
  <c r="H1" i="14"/>
  <c r="G2" i="14"/>
  <c r="G3" i="14"/>
  <c r="L4" i="13"/>
  <c r="L7" i="13" s="1"/>
  <c r="N4" i="13"/>
  <c r="N7" i="13" s="1"/>
  <c r="Q3" i="13"/>
  <c r="R1" i="13"/>
  <c r="S1" i="13" s="1"/>
  <c r="Q2" i="13"/>
  <c r="S4" i="13"/>
  <c r="S7" i="13" s="1"/>
  <c r="J4" i="13"/>
  <c r="J7" i="13" s="1"/>
  <c r="P4" i="13"/>
  <c r="P7" i="13" s="1"/>
  <c r="H4" i="13"/>
  <c r="H7" i="13" s="1"/>
  <c r="O4" i="13"/>
  <c r="O7" i="13" s="1"/>
  <c r="G4" i="13"/>
  <c r="G7" i="13" s="1"/>
  <c r="M4" i="13"/>
  <c r="M7" i="13" s="1"/>
  <c r="R4" i="13"/>
  <c r="R7" i="13" s="1"/>
  <c r="I4" i="13"/>
  <c r="I7" i="13" s="1"/>
  <c r="W5" i="13"/>
  <c r="G1" i="13"/>
  <c r="V3" i="12"/>
  <c r="V2" i="12"/>
  <c r="P6" i="12"/>
  <c r="P5" i="12"/>
  <c r="P4" i="12" s="1"/>
  <c r="P7" i="12" s="1"/>
  <c r="P3" i="12"/>
  <c r="P2" i="12"/>
  <c r="R6" i="12"/>
  <c r="Q6" i="12"/>
  <c r="O6" i="12"/>
  <c r="N6" i="12"/>
  <c r="M6" i="12"/>
  <c r="M4" i="12" s="1"/>
  <c r="M7" i="12" s="1"/>
  <c r="L6" i="12"/>
  <c r="K6" i="12"/>
  <c r="J6" i="12"/>
  <c r="I6" i="12"/>
  <c r="H6" i="12"/>
  <c r="G6" i="12"/>
  <c r="F6" i="12"/>
  <c r="E6" i="12"/>
  <c r="D6" i="12"/>
  <c r="R5" i="12"/>
  <c r="Q5" i="12"/>
  <c r="Q4" i="12" s="1"/>
  <c r="Q7" i="12" s="1"/>
  <c r="O5" i="12"/>
  <c r="N5" i="12"/>
  <c r="N4" i="12" s="1"/>
  <c r="N7" i="12" s="1"/>
  <c r="M5" i="12"/>
  <c r="L5" i="12"/>
  <c r="K5" i="12"/>
  <c r="J5" i="12"/>
  <c r="I5" i="12"/>
  <c r="H5" i="12"/>
  <c r="H4" i="12" s="1"/>
  <c r="H7" i="12" s="1"/>
  <c r="G5" i="12"/>
  <c r="F5" i="12"/>
  <c r="F4" i="12" s="1"/>
  <c r="F7" i="12" s="1"/>
  <c r="E5" i="12"/>
  <c r="D5" i="12"/>
  <c r="T3" i="12"/>
  <c r="S3" i="12"/>
  <c r="E3" i="12"/>
  <c r="T2" i="12"/>
  <c r="S2" i="12"/>
  <c r="E1" i="12"/>
  <c r="F1" i="12" s="1"/>
  <c r="W9" i="20" l="1"/>
  <c r="X8" i="20"/>
  <c r="AB13" i="20"/>
  <c r="AA14" i="20"/>
  <c r="L2" i="20"/>
  <c r="L3" i="20"/>
  <c r="K2" i="19"/>
  <c r="L1" i="19"/>
  <c r="K3" i="19"/>
  <c r="X13" i="19"/>
  <c r="Y12" i="19"/>
  <c r="T9" i="19"/>
  <c r="W10" i="18"/>
  <c r="K3" i="18"/>
  <c r="L1" i="18"/>
  <c r="K2" i="18"/>
  <c r="AA13" i="18"/>
  <c r="AB12" i="18"/>
  <c r="X12" i="17"/>
  <c r="Y11" i="17"/>
  <c r="K2" i="17"/>
  <c r="L1" i="17"/>
  <c r="K3" i="17"/>
  <c r="T9" i="17"/>
  <c r="K3" i="16"/>
  <c r="L1" i="16"/>
  <c r="K2" i="16"/>
  <c r="Y13" i="16"/>
  <c r="Z12" i="16"/>
  <c r="U9" i="16"/>
  <c r="AA13" i="10"/>
  <c r="AB12" i="10"/>
  <c r="AA11" i="8"/>
  <c r="AB10" i="8"/>
  <c r="AA12" i="6"/>
  <c r="AB11" i="6"/>
  <c r="AA12" i="4"/>
  <c r="AB11" i="4"/>
  <c r="Y12" i="2"/>
  <c r="Z11" i="2"/>
  <c r="Y11" i="1"/>
  <c r="Z10" i="1"/>
  <c r="Z12" i="12"/>
  <c r="AA11" i="12"/>
  <c r="AA12" i="13"/>
  <c r="AB11" i="13"/>
  <c r="AA10" i="14"/>
  <c r="Z11" i="14"/>
  <c r="H2" i="15"/>
  <c r="I1" i="15"/>
  <c r="H3" i="15"/>
  <c r="U8" i="15"/>
  <c r="I1" i="14"/>
  <c r="H2" i="14"/>
  <c r="H3" i="14"/>
  <c r="V6" i="14"/>
  <c r="U7" i="13"/>
  <c r="T1" i="13"/>
  <c r="S3" i="13"/>
  <c r="S2" i="13"/>
  <c r="G2" i="13"/>
  <c r="H1" i="13"/>
  <c r="G3" i="13"/>
  <c r="W6" i="13"/>
  <c r="V4" i="12"/>
  <c r="E4" i="12"/>
  <c r="E7" i="12" s="1"/>
  <c r="J4" i="12"/>
  <c r="J7" i="12" s="1"/>
  <c r="G4" i="12"/>
  <c r="G7" i="12" s="1"/>
  <c r="O4" i="12"/>
  <c r="O7" i="12" s="1"/>
  <c r="K4" i="12"/>
  <c r="K7" i="12" s="1"/>
  <c r="L4" i="12"/>
  <c r="L7" i="12" s="1"/>
  <c r="I4" i="12"/>
  <c r="I7" i="12" s="1"/>
  <c r="R4" i="12"/>
  <c r="R7" i="12" s="1"/>
  <c r="F2" i="12"/>
  <c r="G1" i="12"/>
  <c r="F3" i="12"/>
  <c r="E2" i="12"/>
  <c r="S7" i="4"/>
  <c r="R7" i="4"/>
  <c r="Q7" i="4"/>
  <c r="S7" i="1"/>
  <c r="X15" i="10"/>
  <c r="X14" i="10"/>
  <c r="X13" i="10"/>
  <c r="X16" i="8"/>
  <c r="Y16" i="8" s="1"/>
  <c r="X15" i="8"/>
  <c r="Y15" i="8" s="1"/>
  <c r="X14" i="8"/>
  <c r="Y14" i="8" s="1"/>
  <c r="X16" i="6"/>
  <c r="Y16" i="6" s="1"/>
  <c r="X15" i="6"/>
  <c r="Y15" i="6" s="1"/>
  <c r="X14" i="6"/>
  <c r="Y14" i="6" s="1"/>
  <c r="X14" i="4"/>
  <c r="Y14" i="4" s="1"/>
  <c r="X15" i="4"/>
  <c r="X16" i="4"/>
  <c r="Q7" i="1"/>
  <c r="P7" i="1"/>
  <c r="O7" i="1"/>
  <c r="N7" i="1"/>
  <c r="M7" i="1"/>
  <c r="L7" i="1"/>
  <c r="K7" i="1"/>
  <c r="J7" i="1"/>
  <c r="I7" i="1"/>
  <c r="H7" i="1"/>
  <c r="G7" i="1"/>
  <c r="F7" i="1"/>
  <c r="E7" i="1"/>
  <c r="Q3" i="1"/>
  <c r="P3" i="1"/>
  <c r="O3" i="1"/>
  <c r="N3" i="1"/>
  <c r="M3" i="1"/>
  <c r="L3" i="1"/>
  <c r="K3" i="1"/>
  <c r="J3" i="1"/>
  <c r="I3" i="1"/>
  <c r="H3" i="1"/>
  <c r="G3" i="1"/>
  <c r="F3" i="1"/>
  <c r="E3" i="1"/>
  <c r="Q2" i="1"/>
  <c r="P2" i="1"/>
  <c r="O2" i="1"/>
  <c r="N2" i="1"/>
  <c r="M2" i="1"/>
  <c r="L2" i="1"/>
  <c r="K2" i="1"/>
  <c r="J2" i="1"/>
  <c r="I2" i="1"/>
  <c r="H2" i="1"/>
  <c r="G2" i="1"/>
  <c r="F2" i="1"/>
  <c r="E2" i="1"/>
  <c r="S3" i="1"/>
  <c r="R3" i="1"/>
  <c r="S2" i="1"/>
  <c r="R2" i="1"/>
  <c r="AA15" i="20" l="1"/>
  <c r="AB14" i="20"/>
  <c r="X9" i="20"/>
  <c r="W10" i="20"/>
  <c r="Q1" i="20"/>
  <c r="P2" i="20"/>
  <c r="P3" i="20"/>
  <c r="Y13" i="19"/>
  <c r="X14" i="19"/>
  <c r="L2" i="19"/>
  <c r="L3" i="19"/>
  <c r="M1" i="19"/>
  <c r="T10" i="19"/>
  <c r="W11" i="18"/>
  <c r="AB13" i="18"/>
  <c r="AA14" i="18"/>
  <c r="M1" i="18"/>
  <c r="L2" i="18"/>
  <c r="L3" i="18"/>
  <c r="X13" i="17"/>
  <c r="Y12" i="17"/>
  <c r="L2" i="17"/>
  <c r="M1" i="17"/>
  <c r="L3" i="17"/>
  <c r="T10" i="17"/>
  <c r="Z13" i="16"/>
  <c r="Y14" i="16"/>
  <c r="L3" i="16"/>
  <c r="L2" i="16"/>
  <c r="M1" i="16"/>
  <c r="U10" i="16"/>
  <c r="AA14" i="10"/>
  <c r="AB13" i="10"/>
  <c r="AB11" i="8"/>
  <c r="AA12" i="8"/>
  <c r="AA13" i="6"/>
  <c r="AB12" i="6"/>
  <c r="AA13" i="4"/>
  <c r="AB12" i="4"/>
  <c r="Z12" i="2"/>
  <c r="Y13" i="2"/>
  <c r="Z11" i="1"/>
  <c r="Y12" i="1"/>
  <c r="AA12" i="12"/>
  <c r="Z13" i="12"/>
  <c r="AB12" i="13"/>
  <c r="AA13" i="13"/>
  <c r="AA11" i="14"/>
  <c r="Z12" i="14"/>
  <c r="U9" i="15"/>
  <c r="I2" i="15"/>
  <c r="J1" i="15"/>
  <c r="I3" i="15"/>
  <c r="V7" i="14"/>
  <c r="I2" i="14"/>
  <c r="J1" i="14"/>
  <c r="I3" i="14"/>
  <c r="U1" i="13"/>
  <c r="T2" i="13"/>
  <c r="T3" i="13"/>
  <c r="H2" i="13"/>
  <c r="I1" i="13"/>
  <c r="H3" i="13"/>
  <c r="W7" i="13"/>
  <c r="V5" i="12"/>
  <c r="T7" i="12"/>
  <c r="H1" i="12"/>
  <c r="G3" i="12"/>
  <c r="G2" i="12"/>
  <c r="Y13" i="10"/>
  <c r="Y15" i="10"/>
  <c r="Y14" i="10"/>
  <c r="Y16" i="4"/>
  <c r="Y15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S3" i="10"/>
  <c r="R3" i="10"/>
  <c r="Q3" i="10"/>
  <c r="P3" i="10"/>
  <c r="O3" i="10"/>
  <c r="N3" i="10"/>
  <c r="M3" i="10"/>
  <c r="L3" i="10"/>
  <c r="K3" i="10"/>
  <c r="I3" i="10"/>
  <c r="H3" i="10"/>
  <c r="G3" i="10"/>
  <c r="F3" i="10"/>
  <c r="E3" i="10"/>
  <c r="S2" i="10"/>
  <c r="R2" i="10"/>
  <c r="Q2" i="10"/>
  <c r="P2" i="10"/>
  <c r="O2" i="10"/>
  <c r="N2" i="10"/>
  <c r="M2" i="10"/>
  <c r="L2" i="10"/>
  <c r="K2" i="10"/>
  <c r="I2" i="10"/>
  <c r="H2" i="10"/>
  <c r="G2" i="10"/>
  <c r="F2" i="10"/>
  <c r="E2" i="10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X12" i="10"/>
  <c r="X11" i="10"/>
  <c r="X10" i="10"/>
  <c r="X9" i="10"/>
  <c r="X8" i="10"/>
  <c r="X7" i="10"/>
  <c r="X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D6" i="10"/>
  <c r="X5" i="10"/>
  <c r="S5" i="10"/>
  <c r="S4" i="10" s="1"/>
  <c r="S7" i="10" s="1"/>
  <c r="R5" i="10"/>
  <c r="Q5" i="10"/>
  <c r="Q4" i="10" s="1"/>
  <c r="Q7" i="10" s="1"/>
  <c r="P5" i="10"/>
  <c r="O5" i="10"/>
  <c r="N5" i="10"/>
  <c r="M5" i="10"/>
  <c r="L5" i="10"/>
  <c r="L4" i="10" s="1"/>
  <c r="L7" i="10" s="1"/>
  <c r="K5" i="10"/>
  <c r="K4" i="10" s="1"/>
  <c r="K7" i="10" s="1"/>
  <c r="J5" i="10"/>
  <c r="I5" i="10"/>
  <c r="I4" i="10" s="1"/>
  <c r="I7" i="10" s="1"/>
  <c r="H5" i="10"/>
  <c r="H4" i="10" s="1"/>
  <c r="H7" i="10" s="1"/>
  <c r="G5" i="10"/>
  <c r="G4" i="10" s="1"/>
  <c r="G7" i="10" s="1"/>
  <c r="F5" i="10"/>
  <c r="D5" i="10"/>
  <c r="X4" i="10"/>
  <c r="P4" i="10"/>
  <c r="P7" i="10" s="1"/>
  <c r="X3" i="10"/>
  <c r="U3" i="10"/>
  <c r="T3" i="10"/>
  <c r="X2" i="10"/>
  <c r="U2" i="10"/>
  <c r="T2" i="10"/>
  <c r="X1" i="10"/>
  <c r="F1" i="10"/>
  <c r="E1" i="10"/>
  <c r="X13" i="8"/>
  <c r="X12" i="8"/>
  <c r="X11" i="8"/>
  <c r="X10" i="8"/>
  <c r="X9" i="8"/>
  <c r="X8" i="8"/>
  <c r="X7" i="8"/>
  <c r="X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X5" i="8"/>
  <c r="S5" i="8"/>
  <c r="R5" i="8"/>
  <c r="R4" i="8" s="1"/>
  <c r="R7" i="8" s="1"/>
  <c r="Q5" i="8"/>
  <c r="P5" i="8"/>
  <c r="P4" i="8" s="1"/>
  <c r="P7" i="8" s="1"/>
  <c r="O5" i="8"/>
  <c r="O4" i="8" s="1"/>
  <c r="O7" i="8" s="1"/>
  <c r="N5" i="8"/>
  <c r="M5" i="8"/>
  <c r="L5" i="8"/>
  <c r="L4" i="8" s="1"/>
  <c r="L7" i="8" s="1"/>
  <c r="K5" i="8"/>
  <c r="J5" i="8"/>
  <c r="J4" i="8" s="1"/>
  <c r="J7" i="8" s="1"/>
  <c r="I5" i="8"/>
  <c r="H5" i="8"/>
  <c r="H4" i="8" s="1"/>
  <c r="H7" i="8" s="1"/>
  <c r="G5" i="8"/>
  <c r="G4" i="8" s="1"/>
  <c r="G7" i="8" s="1"/>
  <c r="F5" i="8"/>
  <c r="E5" i="8"/>
  <c r="D5" i="8"/>
  <c r="X4" i="8"/>
  <c r="Q4" i="8"/>
  <c r="Q7" i="8" s="1"/>
  <c r="I4" i="8"/>
  <c r="I7" i="8" s="1"/>
  <c r="X3" i="8"/>
  <c r="U3" i="8"/>
  <c r="T3" i="8"/>
  <c r="X2" i="8"/>
  <c r="U2" i="8"/>
  <c r="T2" i="8"/>
  <c r="X1" i="8"/>
  <c r="F1" i="8"/>
  <c r="E1" i="8"/>
  <c r="X13" i="6"/>
  <c r="X12" i="6"/>
  <c r="X11" i="6"/>
  <c r="X10" i="6"/>
  <c r="X9" i="6"/>
  <c r="X8" i="6"/>
  <c r="X7" i="6"/>
  <c r="X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X5" i="6"/>
  <c r="S5" i="6"/>
  <c r="R5" i="6"/>
  <c r="R4" i="6" s="1"/>
  <c r="R7" i="6" s="1"/>
  <c r="Q5" i="6"/>
  <c r="Q4" i="6" s="1"/>
  <c r="Q7" i="6" s="1"/>
  <c r="P5" i="6"/>
  <c r="O5" i="6"/>
  <c r="O4" i="6" s="1"/>
  <c r="O7" i="6" s="1"/>
  <c r="N5" i="6"/>
  <c r="N4" i="6" s="1"/>
  <c r="N7" i="6" s="1"/>
  <c r="M5" i="6"/>
  <c r="L5" i="6"/>
  <c r="K5" i="6"/>
  <c r="J5" i="6"/>
  <c r="J4" i="6" s="1"/>
  <c r="J7" i="6" s="1"/>
  <c r="I5" i="6"/>
  <c r="I4" i="6" s="1"/>
  <c r="I7" i="6" s="1"/>
  <c r="H5" i="6"/>
  <c r="G5" i="6"/>
  <c r="G4" i="6" s="1"/>
  <c r="G7" i="6" s="1"/>
  <c r="F5" i="6"/>
  <c r="F4" i="6" s="1"/>
  <c r="F7" i="6" s="1"/>
  <c r="E5" i="6"/>
  <c r="D5" i="6"/>
  <c r="X4" i="6"/>
  <c r="S4" i="6"/>
  <c r="S7" i="6" s="1"/>
  <c r="K4" i="6"/>
  <c r="K7" i="6" s="1"/>
  <c r="X3" i="6"/>
  <c r="U3" i="6"/>
  <c r="T3" i="6"/>
  <c r="X2" i="6"/>
  <c r="U2" i="6"/>
  <c r="T2" i="6"/>
  <c r="X1" i="6"/>
  <c r="F1" i="6"/>
  <c r="E1" i="6"/>
  <c r="W14" i="1"/>
  <c r="S3" i="2"/>
  <c r="R3" i="2"/>
  <c r="S2" i="2"/>
  <c r="R2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V1" i="2"/>
  <c r="U3" i="4"/>
  <c r="U2" i="4"/>
  <c r="Y13" i="4"/>
  <c r="Y12" i="4"/>
  <c r="Y11" i="4"/>
  <c r="Y10" i="4"/>
  <c r="Y9" i="4"/>
  <c r="Y8" i="4"/>
  <c r="Y7" i="4"/>
  <c r="Y6" i="4"/>
  <c r="Y5" i="4"/>
  <c r="Y4" i="4"/>
  <c r="Y3" i="4"/>
  <c r="Y2" i="4"/>
  <c r="Y1" i="4"/>
  <c r="T3" i="4"/>
  <c r="T2" i="4"/>
  <c r="S6" i="4"/>
  <c r="R6" i="4"/>
  <c r="S5" i="4"/>
  <c r="S4" i="4" s="1"/>
  <c r="R5" i="4"/>
  <c r="R4" i="4" s="1"/>
  <c r="R1" i="4"/>
  <c r="S1" i="4" s="1"/>
  <c r="X13" i="4"/>
  <c r="X12" i="4"/>
  <c r="X11" i="4"/>
  <c r="X10" i="4"/>
  <c r="X9" i="4"/>
  <c r="X8" i="4"/>
  <c r="X7" i="4"/>
  <c r="X6" i="4"/>
  <c r="X5" i="4"/>
  <c r="X4" i="4"/>
  <c r="X3" i="4"/>
  <c r="X2" i="4"/>
  <c r="X1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Q5" i="4"/>
  <c r="P5" i="4"/>
  <c r="P4" i="4" s="1"/>
  <c r="P7" i="4" s="1"/>
  <c r="O5" i="4"/>
  <c r="N5" i="4"/>
  <c r="N4" i="4" s="1"/>
  <c r="N7" i="4" s="1"/>
  <c r="M5" i="4"/>
  <c r="M4" i="4" s="1"/>
  <c r="M7" i="4" s="1"/>
  <c r="L5" i="4"/>
  <c r="K5" i="4"/>
  <c r="K4" i="4" s="1"/>
  <c r="K7" i="4" s="1"/>
  <c r="J5" i="4"/>
  <c r="I5" i="4"/>
  <c r="H5" i="4"/>
  <c r="G5" i="4"/>
  <c r="F5" i="4"/>
  <c r="F4" i="4" s="1"/>
  <c r="F7" i="4" s="1"/>
  <c r="E5" i="4"/>
  <c r="E4" i="4" s="1"/>
  <c r="E7" i="4" s="1"/>
  <c r="D5" i="4"/>
  <c r="E1" i="4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Q5" i="2"/>
  <c r="P5" i="2"/>
  <c r="O5" i="2"/>
  <c r="N5" i="2"/>
  <c r="N4" i="2" s="1"/>
  <c r="N7" i="2" s="1"/>
  <c r="M5" i="2"/>
  <c r="M4" i="2" s="1"/>
  <c r="M7" i="2" s="1"/>
  <c r="L5" i="2"/>
  <c r="K5" i="2"/>
  <c r="J5" i="2"/>
  <c r="I5" i="2"/>
  <c r="I4" i="2" s="1"/>
  <c r="I7" i="2" s="1"/>
  <c r="H5" i="2"/>
  <c r="G5" i="2"/>
  <c r="F5" i="2"/>
  <c r="E5" i="2"/>
  <c r="E4" i="2" s="1"/>
  <c r="E7" i="2" s="1"/>
  <c r="D5" i="2"/>
  <c r="E1" i="2"/>
  <c r="E2" i="2" s="1"/>
  <c r="E1" i="1"/>
  <c r="F1" i="1" s="1"/>
  <c r="Q6" i="1"/>
  <c r="P6" i="1"/>
  <c r="O6" i="1"/>
  <c r="N6" i="1"/>
  <c r="M6" i="1"/>
  <c r="L6" i="1"/>
  <c r="K6" i="1"/>
  <c r="J6" i="1"/>
  <c r="I6" i="1"/>
  <c r="H6" i="1"/>
  <c r="G6" i="1"/>
  <c r="F6" i="1"/>
  <c r="Q5" i="1"/>
  <c r="Q4" i="1" s="1"/>
  <c r="P5" i="1"/>
  <c r="P4" i="1" s="1"/>
  <c r="O5" i="1"/>
  <c r="O4" i="1" s="1"/>
  <c r="N5" i="1"/>
  <c r="M5" i="1"/>
  <c r="L5" i="1"/>
  <c r="L4" i="1" s="1"/>
  <c r="K5" i="1"/>
  <c r="K4" i="1" s="1"/>
  <c r="J5" i="1"/>
  <c r="I5" i="1"/>
  <c r="I4" i="1" s="1"/>
  <c r="H5" i="1"/>
  <c r="H4" i="1" s="1"/>
  <c r="G5" i="1"/>
  <c r="G4" i="1" s="1"/>
  <c r="F5" i="1"/>
  <c r="E6" i="1"/>
  <c r="E5" i="1"/>
  <c r="D6" i="1"/>
  <c r="D5" i="1"/>
  <c r="Q2" i="20" l="1"/>
  <c r="Q3" i="20"/>
  <c r="R1" i="20"/>
  <c r="X10" i="20"/>
  <c r="W11" i="20"/>
  <c r="AA16" i="20"/>
  <c r="AB15" i="20"/>
  <c r="M2" i="19"/>
  <c r="M3" i="19"/>
  <c r="X15" i="19"/>
  <c r="Y14" i="19"/>
  <c r="T11" i="19"/>
  <c r="AA15" i="18"/>
  <c r="AB14" i="18"/>
  <c r="M2" i="18"/>
  <c r="M3" i="18"/>
  <c r="W12" i="18"/>
  <c r="Y13" i="17"/>
  <c r="X14" i="17"/>
  <c r="M2" i="17"/>
  <c r="N1" i="17"/>
  <c r="M3" i="17"/>
  <c r="T11" i="17"/>
  <c r="Y15" i="16"/>
  <c r="Z14" i="16"/>
  <c r="U11" i="16"/>
  <c r="M3" i="16"/>
  <c r="M2" i="16"/>
  <c r="N1" i="16"/>
  <c r="AA15" i="10"/>
  <c r="AB14" i="10"/>
  <c r="AA13" i="8"/>
  <c r="AB12" i="8"/>
  <c r="AB13" i="6"/>
  <c r="AA14" i="6"/>
  <c r="AB13" i="4"/>
  <c r="AA14" i="4"/>
  <c r="Y14" i="2"/>
  <c r="Z13" i="2"/>
  <c r="Y13" i="1"/>
  <c r="Z12" i="1"/>
  <c r="Z14" i="12"/>
  <c r="AA13" i="12"/>
  <c r="AB13" i="13"/>
  <c r="AA14" i="13"/>
  <c r="AA12" i="14"/>
  <c r="Z13" i="14"/>
  <c r="K1" i="15"/>
  <c r="J3" i="15"/>
  <c r="J2" i="15"/>
  <c r="U10" i="15"/>
  <c r="J2" i="14"/>
  <c r="J3" i="14"/>
  <c r="K1" i="14"/>
  <c r="V8" i="14"/>
  <c r="U3" i="13"/>
  <c r="U2" i="13"/>
  <c r="W8" i="13"/>
  <c r="I2" i="13"/>
  <c r="I3" i="13"/>
  <c r="J1" i="13"/>
  <c r="V6" i="12"/>
  <c r="I1" i="12"/>
  <c r="H3" i="12"/>
  <c r="H2" i="12"/>
  <c r="J4" i="1"/>
  <c r="F4" i="1"/>
  <c r="N4" i="1"/>
  <c r="E4" i="1"/>
  <c r="M4" i="1"/>
  <c r="W5" i="1"/>
  <c r="L4" i="2"/>
  <c r="L7" i="2" s="1"/>
  <c r="W10" i="2"/>
  <c r="G4" i="2"/>
  <c r="G7" i="2" s="1"/>
  <c r="O4" i="2"/>
  <c r="O7" i="2" s="1"/>
  <c r="J4" i="2"/>
  <c r="J7" i="2" s="1"/>
  <c r="W3" i="2"/>
  <c r="W11" i="2"/>
  <c r="W4" i="2"/>
  <c r="W12" i="2"/>
  <c r="K4" i="2"/>
  <c r="K7" i="2" s="1"/>
  <c r="W5" i="2"/>
  <c r="W13" i="2"/>
  <c r="E3" i="2"/>
  <c r="W6" i="2"/>
  <c r="W14" i="2"/>
  <c r="W7" i="2"/>
  <c r="W2" i="2"/>
  <c r="W8" i="2"/>
  <c r="Q4" i="2"/>
  <c r="Q7" i="2" s="1"/>
  <c r="W1" i="2"/>
  <c r="W9" i="2"/>
  <c r="W12" i="1"/>
  <c r="W9" i="1"/>
  <c r="W2" i="1"/>
  <c r="W3" i="1"/>
  <c r="W4" i="1"/>
  <c r="W13" i="1"/>
  <c r="W1" i="1"/>
  <c r="O4" i="10"/>
  <c r="O7" i="10" s="1"/>
  <c r="Y5" i="10"/>
  <c r="M4" i="10"/>
  <c r="M7" i="10" s="1"/>
  <c r="Y2" i="10"/>
  <c r="Y9" i="10"/>
  <c r="J4" i="10"/>
  <c r="R4" i="10"/>
  <c r="R7" i="10" s="1"/>
  <c r="Y10" i="10"/>
  <c r="Y7" i="10"/>
  <c r="Y8" i="10"/>
  <c r="Y1" i="10"/>
  <c r="Y3" i="10"/>
  <c r="Y4" i="10"/>
  <c r="Y11" i="10"/>
  <c r="Y12" i="10"/>
  <c r="F4" i="10"/>
  <c r="F7" i="10" s="1"/>
  <c r="U7" i="10" s="1"/>
  <c r="N4" i="10"/>
  <c r="N7" i="10" s="1"/>
  <c r="Y6" i="10"/>
  <c r="G1" i="10"/>
  <c r="F4" i="8"/>
  <c r="F7" i="8" s="1"/>
  <c r="N4" i="8"/>
  <c r="N7" i="8" s="1"/>
  <c r="M4" i="8"/>
  <c r="M7" i="8" s="1"/>
  <c r="Y7" i="8"/>
  <c r="K4" i="8"/>
  <c r="K7" i="8" s="1"/>
  <c r="S4" i="8"/>
  <c r="S7" i="8" s="1"/>
  <c r="Y9" i="8"/>
  <c r="Y10" i="8"/>
  <c r="Y11" i="8"/>
  <c r="Y5" i="8"/>
  <c r="Y13" i="8"/>
  <c r="E4" i="8"/>
  <c r="E7" i="8" s="1"/>
  <c r="Y6" i="8"/>
  <c r="Y2" i="8"/>
  <c r="Y3" i="8"/>
  <c r="Y8" i="8"/>
  <c r="Y12" i="8"/>
  <c r="Y4" i="8"/>
  <c r="Y1" i="8"/>
  <c r="G1" i="8"/>
  <c r="H4" i="6"/>
  <c r="H7" i="6" s="1"/>
  <c r="P4" i="6"/>
  <c r="P7" i="6" s="1"/>
  <c r="Y2" i="6"/>
  <c r="Y13" i="6"/>
  <c r="E4" i="6"/>
  <c r="E7" i="6" s="1"/>
  <c r="U7" i="6" s="1"/>
  <c r="L4" i="6"/>
  <c r="L7" i="6" s="1"/>
  <c r="Y6" i="6"/>
  <c r="Y8" i="6"/>
  <c r="Y9" i="6"/>
  <c r="Y3" i="6"/>
  <c r="Y4" i="6"/>
  <c r="Y11" i="6"/>
  <c r="Y10" i="6"/>
  <c r="M4" i="6"/>
  <c r="M7" i="6" s="1"/>
  <c r="Y7" i="6"/>
  <c r="Y12" i="6"/>
  <c r="Y1" i="6"/>
  <c r="Y5" i="6"/>
  <c r="G1" i="6"/>
  <c r="W11" i="1"/>
  <c r="W8" i="1"/>
  <c r="W6" i="1"/>
  <c r="W10" i="1"/>
  <c r="W7" i="1"/>
  <c r="I4" i="4"/>
  <c r="I7" i="4" s="1"/>
  <c r="Q4" i="4"/>
  <c r="H4" i="4"/>
  <c r="H7" i="4" s="1"/>
  <c r="L4" i="4"/>
  <c r="L7" i="4" s="1"/>
  <c r="J4" i="4"/>
  <c r="J7" i="4" s="1"/>
  <c r="G4" i="4"/>
  <c r="G7" i="4" s="1"/>
  <c r="U7" i="4" s="1"/>
  <c r="O4" i="4"/>
  <c r="O7" i="4" s="1"/>
  <c r="F1" i="4"/>
  <c r="F4" i="2"/>
  <c r="F7" i="2" s="1"/>
  <c r="S7" i="2" s="1"/>
  <c r="P4" i="2"/>
  <c r="P7" i="2" s="1"/>
  <c r="H4" i="2"/>
  <c r="H7" i="2" s="1"/>
  <c r="F1" i="2"/>
  <c r="G1" i="1"/>
  <c r="AB16" i="20" l="1"/>
  <c r="AA17" i="20"/>
  <c r="W12" i="20"/>
  <c r="X11" i="20"/>
  <c r="S1" i="20"/>
  <c r="R3" i="20"/>
  <c r="R2" i="20"/>
  <c r="X16" i="19"/>
  <c r="Y15" i="19"/>
  <c r="T12" i="19"/>
  <c r="W13" i="18"/>
  <c r="AA16" i="18"/>
  <c r="AB15" i="18"/>
  <c r="Q2" i="18"/>
  <c r="R1" i="18"/>
  <c r="Q3" i="18"/>
  <c r="X15" i="17"/>
  <c r="Y14" i="17"/>
  <c r="T12" i="17"/>
  <c r="N3" i="17"/>
  <c r="N2" i="17"/>
  <c r="Y16" i="16"/>
  <c r="Z15" i="16"/>
  <c r="U12" i="16"/>
  <c r="N3" i="16"/>
  <c r="N2" i="16"/>
  <c r="O1" i="16"/>
  <c r="AB15" i="10"/>
  <c r="AA16" i="10"/>
  <c r="AA14" i="8"/>
  <c r="AB13" i="8"/>
  <c r="AA15" i="6"/>
  <c r="AB14" i="6"/>
  <c r="AA15" i="4"/>
  <c r="AB14" i="4"/>
  <c r="Y15" i="2"/>
  <c r="Z14" i="2"/>
  <c r="Y14" i="1"/>
  <c r="Z13" i="1"/>
  <c r="Z15" i="12"/>
  <c r="AA14" i="12"/>
  <c r="AA15" i="13"/>
  <c r="AB14" i="13"/>
  <c r="AA13" i="14"/>
  <c r="Z14" i="14"/>
  <c r="U11" i="15"/>
  <c r="L1" i="15"/>
  <c r="K3" i="15"/>
  <c r="K2" i="15"/>
  <c r="V9" i="14"/>
  <c r="L1" i="14"/>
  <c r="K3" i="14"/>
  <c r="K2" i="14"/>
  <c r="J2" i="13"/>
  <c r="K1" i="13"/>
  <c r="J3" i="13"/>
  <c r="W9" i="13"/>
  <c r="V7" i="12"/>
  <c r="J1" i="12"/>
  <c r="I3" i="12"/>
  <c r="I2" i="12"/>
  <c r="U7" i="8"/>
  <c r="F2" i="2"/>
  <c r="F3" i="2"/>
  <c r="H1" i="10"/>
  <c r="H1" i="8"/>
  <c r="H1" i="6"/>
  <c r="G1" i="4"/>
  <c r="G1" i="2"/>
  <c r="H1" i="1"/>
  <c r="X12" i="20" l="1"/>
  <c r="W13" i="20"/>
  <c r="T1" i="20"/>
  <c r="S2" i="20"/>
  <c r="S3" i="20"/>
  <c r="AB17" i="20"/>
  <c r="AA18" i="20"/>
  <c r="T13" i="19"/>
  <c r="Y16" i="19"/>
  <c r="X17" i="19"/>
  <c r="R3" i="18"/>
  <c r="S1" i="18"/>
  <c r="R2" i="18"/>
  <c r="AB16" i="18"/>
  <c r="AA17" i="18"/>
  <c r="W14" i="18"/>
  <c r="Y12" i="18"/>
  <c r="Y15" i="17"/>
  <c r="X16" i="17"/>
  <c r="T13" i="17"/>
  <c r="U13" i="16"/>
  <c r="Z16" i="16"/>
  <c r="Y17" i="16"/>
  <c r="O2" i="16"/>
  <c r="P1" i="16"/>
  <c r="Q1" i="16" s="1"/>
  <c r="O3" i="16"/>
  <c r="AA17" i="10"/>
  <c r="AB16" i="10"/>
  <c r="AB14" i="8"/>
  <c r="AA15" i="8"/>
  <c r="AA16" i="6"/>
  <c r="AB15" i="6"/>
  <c r="AA16" i="4"/>
  <c r="AB15" i="4"/>
  <c r="Y16" i="2"/>
  <c r="Z15" i="2"/>
  <c r="Z14" i="1"/>
  <c r="Y15" i="1"/>
  <c r="Z16" i="12"/>
  <c r="AA15" i="12"/>
  <c r="AA16" i="13"/>
  <c r="AB15" i="13"/>
  <c r="AA14" i="14"/>
  <c r="Z15" i="14"/>
  <c r="L3" i="15"/>
  <c r="L2" i="15"/>
  <c r="M1" i="15"/>
  <c r="U12" i="15"/>
  <c r="U13" i="15" s="1"/>
  <c r="M1" i="14"/>
  <c r="V10" i="14"/>
  <c r="K3" i="13"/>
  <c r="K2" i="13"/>
  <c r="L1" i="13"/>
  <c r="W10" i="13"/>
  <c r="V8" i="12"/>
  <c r="J3" i="12"/>
  <c r="J2" i="12"/>
  <c r="K1" i="12"/>
  <c r="G2" i="2"/>
  <c r="G3" i="2"/>
  <c r="I1" i="10"/>
  <c r="I1" i="8"/>
  <c r="I1" i="6"/>
  <c r="H1" i="4"/>
  <c r="H1" i="2"/>
  <c r="I1" i="1"/>
  <c r="W14" i="20" l="1"/>
  <c r="X14" i="20" s="1"/>
  <c r="X13" i="20"/>
  <c r="Y12" i="20" s="1"/>
  <c r="U1" i="20"/>
  <c r="T3" i="20"/>
  <c r="V3" i="20" s="1"/>
  <c r="T2" i="20"/>
  <c r="V2" i="20" s="1"/>
  <c r="AA19" i="20"/>
  <c r="AB18" i="20"/>
  <c r="T14" i="19"/>
  <c r="V12" i="19"/>
  <c r="X18" i="19"/>
  <c r="Y17" i="19"/>
  <c r="Y14" i="18"/>
  <c r="Y10" i="18"/>
  <c r="AA18" i="18"/>
  <c r="AB17" i="18"/>
  <c r="Y11" i="18"/>
  <c r="Y9" i="18"/>
  <c r="Y13" i="18"/>
  <c r="Y4" i="18"/>
  <c r="Y3" i="18"/>
  <c r="Y1" i="18"/>
  <c r="Y2" i="18"/>
  <c r="Y6" i="18"/>
  <c r="Y5" i="18"/>
  <c r="Y7" i="18"/>
  <c r="Y8" i="18"/>
  <c r="S3" i="18"/>
  <c r="T1" i="18"/>
  <c r="S2" i="18"/>
  <c r="Y16" i="17"/>
  <c r="X17" i="17"/>
  <c r="T14" i="17"/>
  <c r="O3" i="17"/>
  <c r="P1" i="17"/>
  <c r="O2" i="17"/>
  <c r="R1" i="16"/>
  <c r="Q2" i="16"/>
  <c r="Q3" i="16"/>
  <c r="Y18" i="16"/>
  <c r="Z17" i="16"/>
  <c r="U14" i="16"/>
  <c r="W14" i="16" s="1"/>
  <c r="W12" i="16"/>
  <c r="AA18" i="10"/>
  <c r="AB17" i="10"/>
  <c r="AB15" i="8"/>
  <c r="AA16" i="8"/>
  <c r="AA17" i="6"/>
  <c r="AB16" i="6"/>
  <c r="AB16" i="4"/>
  <c r="AA17" i="4"/>
  <c r="Z16" i="2"/>
  <c r="Y17" i="2"/>
  <c r="Z15" i="1"/>
  <c r="Y16" i="1"/>
  <c r="AA16" i="12"/>
  <c r="Z17" i="12"/>
  <c r="AB16" i="13"/>
  <c r="AA17" i="13"/>
  <c r="Z16" i="14"/>
  <c r="AA15" i="14"/>
  <c r="U14" i="15"/>
  <c r="W13" i="15"/>
  <c r="M3" i="15"/>
  <c r="M2" i="15"/>
  <c r="V11" i="14"/>
  <c r="M3" i="14"/>
  <c r="M2" i="14"/>
  <c r="N1" i="14"/>
  <c r="W11" i="13"/>
  <c r="M1" i="13"/>
  <c r="L3" i="13"/>
  <c r="L2" i="13"/>
  <c r="V9" i="12"/>
  <c r="K2" i="12"/>
  <c r="L1" i="12"/>
  <c r="K3" i="12"/>
  <c r="H3" i="2"/>
  <c r="H2" i="2"/>
  <c r="J1" i="10"/>
  <c r="J1" i="8"/>
  <c r="J1" i="6"/>
  <c r="I1" i="4"/>
  <c r="I1" i="2"/>
  <c r="J1" i="1"/>
  <c r="U3" i="20" l="1"/>
  <c r="U2" i="20"/>
  <c r="Y11" i="20"/>
  <c r="AA20" i="20"/>
  <c r="AB19" i="20"/>
  <c r="Y10" i="20"/>
  <c r="Y13" i="20"/>
  <c r="Y1" i="20"/>
  <c r="Y2" i="20"/>
  <c r="Y4" i="20"/>
  <c r="Y3" i="20"/>
  <c r="Y5" i="20"/>
  <c r="Y6" i="20"/>
  <c r="Y7" i="20"/>
  <c r="Y9" i="20"/>
  <c r="Y8" i="20"/>
  <c r="Y14" i="20"/>
  <c r="V11" i="19"/>
  <c r="V13" i="19"/>
  <c r="V2" i="19"/>
  <c r="V1" i="19"/>
  <c r="V3" i="19"/>
  <c r="V4" i="19"/>
  <c r="V5" i="19"/>
  <c r="V7" i="19"/>
  <c r="V6" i="19"/>
  <c r="V8" i="19"/>
  <c r="V14" i="19"/>
  <c r="V10" i="19"/>
  <c r="N3" i="19"/>
  <c r="O1" i="19"/>
  <c r="N2" i="19"/>
  <c r="V9" i="19"/>
  <c r="X19" i="19"/>
  <c r="Y18" i="19"/>
  <c r="T3" i="18"/>
  <c r="V3" i="18" s="1"/>
  <c r="U1" i="18"/>
  <c r="T2" i="18"/>
  <c r="V2" i="18" s="1"/>
  <c r="AA19" i="18"/>
  <c r="AB18" i="18"/>
  <c r="V14" i="17"/>
  <c r="X18" i="17"/>
  <c r="Y17" i="17"/>
  <c r="P3" i="17"/>
  <c r="P2" i="17"/>
  <c r="Q1" i="17"/>
  <c r="V13" i="17"/>
  <c r="V1" i="17"/>
  <c r="V3" i="17"/>
  <c r="V2" i="17"/>
  <c r="V4" i="17"/>
  <c r="V6" i="17"/>
  <c r="V5" i="17"/>
  <c r="V7" i="17"/>
  <c r="V8" i="17"/>
  <c r="V12" i="17"/>
  <c r="V11" i="17"/>
  <c r="V9" i="17"/>
  <c r="V10" i="17"/>
  <c r="Y19" i="16"/>
  <c r="Z18" i="16"/>
  <c r="W10" i="16"/>
  <c r="R2" i="16"/>
  <c r="T2" i="16" s="1"/>
  <c r="S1" i="16"/>
  <c r="R3" i="16"/>
  <c r="T3" i="16" s="1"/>
  <c r="W13" i="16"/>
  <c r="W1" i="16"/>
  <c r="W3" i="16"/>
  <c r="W2" i="16"/>
  <c r="W4" i="16"/>
  <c r="W5" i="16"/>
  <c r="W6" i="16"/>
  <c r="W7" i="16"/>
  <c r="W9" i="16"/>
  <c r="W8" i="16"/>
  <c r="W11" i="16"/>
  <c r="AA19" i="10"/>
  <c r="AB18" i="10"/>
  <c r="AA17" i="8"/>
  <c r="AB16" i="8"/>
  <c r="AB17" i="6"/>
  <c r="AA18" i="6"/>
  <c r="AA18" i="4"/>
  <c r="AB17" i="4"/>
  <c r="Y18" i="2"/>
  <c r="Z17" i="2"/>
  <c r="Y17" i="1"/>
  <c r="Z16" i="1"/>
  <c r="AA17" i="12"/>
  <c r="Z18" i="12"/>
  <c r="AA18" i="13"/>
  <c r="AB17" i="13"/>
  <c r="Z17" i="14"/>
  <c r="AA16" i="14"/>
  <c r="W14" i="15"/>
  <c r="W8" i="15"/>
  <c r="N3" i="14"/>
  <c r="N2" i="14"/>
  <c r="O1" i="14"/>
  <c r="V12" i="14"/>
  <c r="M3" i="13"/>
  <c r="M2" i="13"/>
  <c r="W12" i="13"/>
  <c r="V10" i="12"/>
  <c r="M1" i="12"/>
  <c r="L3" i="12"/>
  <c r="L2" i="12"/>
  <c r="I3" i="2"/>
  <c r="I2" i="2"/>
  <c r="K1" i="10"/>
  <c r="K1" i="8"/>
  <c r="K1" i="6"/>
  <c r="J1" i="4"/>
  <c r="J1" i="2"/>
  <c r="K1" i="1"/>
  <c r="AB20" i="20" l="1"/>
  <c r="AA21" i="20"/>
  <c r="O3" i="19"/>
  <c r="P1" i="19"/>
  <c r="O2" i="19"/>
  <c r="X20" i="19"/>
  <c r="Y19" i="19"/>
  <c r="U3" i="18"/>
  <c r="U2" i="18"/>
  <c r="AA20" i="18"/>
  <c r="AB19" i="18"/>
  <c r="Y18" i="17"/>
  <c r="X19" i="17"/>
  <c r="Q2" i="17"/>
  <c r="S2" i="17" s="1"/>
  <c r="R1" i="17"/>
  <c r="Q3" i="17"/>
  <c r="S3" i="17" s="1"/>
  <c r="S3" i="16"/>
  <c r="S2" i="16"/>
  <c r="Y20" i="16"/>
  <c r="Z19" i="16"/>
  <c r="AB19" i="10"/>
  <c r="AA20" i="10"/>
  <c r="AA18" i="8"/>
  <c r="AB17" i="8"/>
  <c r="AA19" i="6"/>
  <c r="AB18" i="6"/>
  <c r="AB18" i="4"/>
  <c r="AA19" i="4"/>
  <c r="Y19" i="2"/>
  <c r="Z18" i="2"/>
  <c r="Y18" i="1"/>
  <c r="Z17" i="1"/>
  <c r="Z19" i="12"/>
  <c r="AA18" i="12"/>
  <c r="AA19" i="13"/>
  <c r="AB18" i="13"/>
  <c r="AA17" i="14"/>
  <c r="Z18" i="14"/>
  <c r="W9" i="15"/>
  <c r="W12" i="15"/>
  <c r="W11" i="15"/>
  <c r="N2" i="15"/>
  <c r="O1" i="15"/>
  <c r="N3" i="15"/>
  <c r="W1" i="15"/>
  <c r="W2" i="15"/>
  <c r="W6" i="15"/>
  <c r="W4" i="15"/>
  <c r="W3" i="15"/>
  <c r="W5" i="15"/>
  <c r="W7" i="15"/>
  <c r="W10" i="15"/>
  <c r="V13" i="14"/>
  <c r="V14" i="14" s="1"/>
  <c r="V15" i="14" s="1"/>
  <c r="P1" i="14"/>
  <c r="O2" i="14"/>
  <c r="O3" i="14"/>
  <c r="W13" i="13"/>
  <c r="N2" i="13"/>
  <c r="N3" i="13"/>
  <c r="V11" i="12"/>
  <c r="M3" i="12"/>
  <c r="M2" i="12"/>
  <c r="J3" i="2"/>
  <c r="J2" i="2"/>
  <c r="L1" i="10"/>
  <c r="L1" i="8"/>
  <c r="L1" i="6"/>
  <c r="K1" i="4"/>
  <c r="K1" i="2"/>
  <c r="L1" i="1"/>
  <c r="AA22" i="20" l="1"/>
  <c r="AB21" i="20"/>
  <c r="Y20" i="19"/>
  <c r="X21" i="19"/>
  <c r="P2" i="19"/>
  <c r="P3" i="19"/>
  <c r="Q1" i="19"/>
  <c r="AB20" i="18"/>
  <c r="AA21" i="18"/>
  <c r="Y19" i="17"/>
  <c r="X20" i="17"/>
  <c r="R2" i="17"/>
  <c r="R3" i="17"/>
  <c r="Z20" i="16"/>
  <c r="Y21" i="16"/>
  <c r="AA21" i="10"/>
  <c r="AB20" i="10"/>
  <c r="AA19" i="8"/>
  <c r="AB18" i="8"/>
  <c r="AA20" i="6"/>
  <c r="AB19" i="6"/>
  <c r="AA20" i="4"/>
  <c r="AB19" i="4"/>
  <c r="Y20" i="2"/>
  <c r="Z19" i="2"/>
  <c r="Z18" i="1"/>
  <c r="Y19" i="1"/>
  <c r="Z20" i="12"/>
  <c r="AA19" i="12"/>
  <c r="AA20" i="13"/>
  <c r="AB19" i="13"/>
  <c r="AA18" i="14"/>
  <c r="Z19" i="14"/>
  <c r="O2" i="15"/>
  <c r="P1" i="15"/>
  <c r="O3" i="15"/>
  <c r="Q1" i="14"/>
  <c r="R1" i="14" s="1"/>
  <c r="S1" i="14" s="1"/>
  <c r="T1" i="14" s="1"/>
  <c r="P2" i="14"/>
  <c r="P3" i="14"/>
  <c r="O2" i="13"/>
  <c r="O3" i="13"/>
  <c r="W14" i="13"/>
  <c r="W15" i="13" s="1"/>
  <c r="V12" i="12"/>
  <c r="N2" i="12"/>
  <c r="N3" i="12"/>
  <c r="K2" i="2"/>
  <c r="K3" i="2"/>
  <c r="M1" i="10"/>
  <c r="M1" i="8"/>
  <c r="M1" i="6"/>
  <c r="L1" i="4"/>
  <c r="L1" i="2"/>
  <c r="M1" i="1"/>
  <c r="AA23" i="20" l="1"/>
  <c r="AB22" i="20"/>
  <c r="X22" i="19"/>
  <c r="Y21" i="19"/>
  <c r="Q2" i="19"/>
  <c r="S2" i="19" s="1"/>
  <c r="Q3" i="19"/>
  <c r="S3" i="19" s="1"/>
  <c r="R1" i="19"/>
  <c r="AA22" i="18"/>
  <c r="AB21" i="18"/>
  <c r="Y20" i="17"/>
  <c r="X21" i="17"/>
  <c r="Y22" i="16"/>
  <c r="Z21" i="16"/>
  <c r="AA22" i="10"/>
  <c r="AB21" i="10"/>
  <c r="AB19" i="8"/>
  <c r="AA20" i="8"/>
  <c r="AA21" i="6"/>
  <c r="AB20" i="6"/>
  <c r="AB20" i="4"/>
  <c r="AA21" i="4"/>
  <c r="Z20" i="2"/>
  <c r="Y21" i="2"/>
  <c r="Z19" i="1"/>
  <c r="Y20" i="1"/>
  <c r="AA20" i="12"/>
  <c r="Z21" i="12"/>
  <c r="AB20" i="13"/>
  <c r="AA21" i="13"/>
  <c r="Z20" i="14"/>
  <c r="AA19" i="14"/>
  <c r="Q1" i="15"/>
  <c r="X13" i="14"/>
  <c r="Q2" i="14"/>
  <c r="Q3" i="14"/>
  <c r="W16" i="13"/>
  <c r="Y13" i="13"/>
  <c r="P2" i="13"/>
  <c r="P3" i="13"/>
  <c r="V13" i="12"/>
  <c r="O3" i="12"/>
  <c r="O2" i="12"/>
  <c r="L2" i="2"/>
  <c r="L3" i="2"/>
  <c r="N1" i="10"/>
  <c r="N1" i="8"/>
  <c r="N1" i="6"/>
  <c r="M1" i="4"/>
  <c r="M1" i="2"/>
  <c r="N1" i="1"/>
  <c r="AA24" i="20" l="1"/>
  <c r="AB23" i="20"/>
  <c r="R2" i="19"/>
  <c r="R3" i="19"/>
  <c r="X23" i="19"/>
  <c r="Y22" i="19"/>
  <c r="AA23" i="18"/>
  <c r="AB22" i="18"/>
  <c r="Y21" i="17"/>
  <c r="X22" i="17"/>
  <c r="Y23" i="16"/>
  <c r="Z22" i="16"/>
  <c r="AA23" i="10"/>
  <c r="AB22" i="10"/>
  <c r="AA21" i="8"/>
  <c r="AB20" i="8"/>
  <c r="AB21" i="6"/>
  <c r="AA22" i="6"/>
  <c r="AB21" i="4"/>
  <c r="AA22" i="4"/>
  <c r="Y22" i="2"/>
  <c r="Z21" i="2"/>
  <c r="Y21" i="1"/>
  <c r="Z20" i="1"/>
  <c r="AA21" i="12"/>
  <c r="Z22" i="12"/>
  <c r="AA22" i="13"/>
  <c r="AB21" i="13"/>
  <c r="Z21" i="14"/>
  <c r="AA20" i="14"/>
  <c r="R1" i="15"/>
  <c r="Q2" i="15"/>
  <c r="Q3" i="15"/>
  <c r="X12" i="14"/>
  <c r="X15" i="14"/>
  <c r="X14" i="14"/>
  <c r="X2" i="14"/>
  <c r="X3" i="14"/>
  <c r="X1" i="14"/>
  <c r="X5" i="14"/>
  <c r="X4" i="14"/>
  <c r="X7" i="14"/>
  <c r="X6" i="14"/>
  <c r="X8" i="14"/>
  <c r="X9" i="14"/>
  <c r="X10" i="14"/>
  <c r="X11" i="14"/>
  <c r="Y16" i="13"/>
  <c r="Y15" i="13"/>
  <c r="Y11" i="13"/>
  <c r="R2" i="13"/>
  <c r="R3" i="13"/>
  <c r="Y14" i="13"/>
  <c r="Y2" i="13"/>
  <c r="Y5" i="13"/>
  <c r="Y1" i="13"/>
  <c r="Y4" i="13"/>
  <c r="Y6" i="13"/>
  <c r="Y3" i="13"/>
  <c r="Y8" i="13"/>
  <c r="Y7" i="13"/>
  <c r="Y9" i="13"/>
  <c r="Y10" i="13"/>
  <c r="Y12" i="13"/>
  <c r="V14" i="12"/>
  <c r="Q3" i="12"/>
  <c r="Q2" i="12"/>
  <c r="M2" i="2"/>
  <c r="M3" i="2"/>
  <c r="O1" i="10"/>
  <c r="O1" i="8"/>
  <c r="O1" i="6"/>
  <c r="N1" i="4"/>
  <c r="N1" i="2"/>
  <c r="O1" i="1"/>
  <c r="AB24" i="20" l="1"/>
  <c r="AA25" i="20"/>
  <c r="X24" i="19"/>
  <c r="Y23" i="19"/>
  <c r="AA24" i="18"/>
  <c r="AB23" i="18"/>
  <c r="X23" i="17"/>
  <c r="Y22" i="17"/>
  <c r="Y24" i="16"/>
  <c r="Z23" i="16"/>
  <c r="AB23" i="10"/>
  <c r="AA24" i="10"/>
  <c r="AA22" i="8"/>
  <c r="AB21" i="8"/>
  <c r="AA23" i="6"/>
  <c r="AB22" i="6"/>
  <c r="AA23" i="4"/>
  <c r="AB22" i="4"/>
  <c r="Y23" i="2"/>
  <c r="Z22" i="2"/>
  <c r="Y22" i="1"/>
  <c r="Z21" i="1"/>
  <c r="Z23" i="12"/>
  <c r="AA22" i="12"/>
  <c r="AA23" i="13"/>
  <c r="AB22" i="13"/>
  <c r="AA21" i="14"/>
  <c r="Z22" i="14"/>
  <c r="S1" i="15"/>
  <c r="R3" i="15"/>
  <c r="T3" i="15" s="1"/>
  <c r="R2" i="15"/>
  <c r="T2" i="15" s="1"/>
  <c r="R3" i="14"/>
  <c r="R2" i="14"/>
  <c r="X12" i="12"/>
  <c r="V15" i="12"/>
  <c r="X15" i="12" s="1"/>
  <c r="R3" i="12"/>
  <c r="R2" i="12"/>
  <c r="N2" i="2"/>
  <c r="N3" i="2"/>
  <c r="P1" i="10"/>
  <c r="P1" i="8"/>
  <c r="P1" i="6"/>
  <c r="O1" i="4"/>
  <c r="O1" i="2"/>
  <c r="P1" i="1"/>
  <c r="AB25" i="20" l="1"/>
  <c r="AA26" i="20"/>
  <c r="Y24" i="19"/>
  <c r="X25" i="19"/>
  <c r="AB24" i="18"/>
  <c r="AA25" i="18"/>
  <c r="X24" i="17"/>
  <c r="Y23" i="17"/>
  <c r="Z24" i="16"/>
  <c r="Y25" i="16"/>
  <c r="AA25" i="10"/>
  <c r="AB24" i="10"/>
  <c r="AB22" i="8"/>
  <c r="AA23" i="8"/>
  <c r="AA24" i="6"/>
  <c r="AB23" i="6"/>
  <c r="AA24" i="4"/>
  <c r="AB23" i="4"/>
  <c r="Y24" i="2"/>
  <c r="Z23" i="2"/>
  <c r="Y23" i="1"/>
  <c r="Z22" i="1"/>
  <c r="Z24" i="12"/>
  <c r="AA23" i="12"/>
  <c r="AA24" i="13"/>
  <c r="AB23" i="13"/>
  <c r="AA22" i="14"/>
  <c r="Z23" i="14"/>
  <c r="S3" i="15"/>
  <c r="S2" i="15"/>
  <c r="S3" i="14"/>
  <c r="U3" i="14" s="1"/>
  <c r="S2" i="14"/>
  <c r="U2" i="14" s="1"/>
  <c r="X14" i="12"/>
  <c r="X4" i="12"/>
  <c r="X3" i="12"/>
  <c r="X1" i="12"/>
  <c r="X2" i="12"/>
  <c r="X5" i="12"/>
  <c r="X6" i="12"/>
  <c r="X7" i="12"/>
  <c r="X8" i="12"/>
  <c r="X9" i="12"/>
  <c r="X10" i="12"/>
  <c r="X11" i="12"/>
  <c r="X13" i="12"/>
  <c r="O2" i="2"/>
  <c r="O3" i="2"/>
  <c r="Q1" i="10"/>
  <c r="Q1" i="8"/>
  <c r="Q1" i="6"/>
  <c r="P1" i="4"/>
  <c r="P1" i="2"/>
  <c r="Q1" i="1"/>
  <c r="AA27" i="20" l="1"/>
  <c r="AB26" i="20"/>
  <c r="X26" i="19"/>
  <c r="Y25" i="19"/>
  <c r="AA26" i="18"/>
  <c r="AB25" i="18"/>
  <c r="Y24" i="17"/>
  <c r="X25" i="17"/>
  <c r="Y26" i="16"/>
  <c r="Z25" i="16"/>
  <c r="AA26" i="10"/>
  <c r="AB25" i="10"/>
  <c r="AB23" i="8"/>
  <c r="AA24" i="8"/>
  <c r="AA25" i="6"/>
  <c r="AB24" i="6"/>
  <c r="AA25" i="4"/>
  <c r="AB24" i="4"/>
  <c r="Z24" i="2"/>
  <c r="Y25" i="2"/>
  <c r="Z23" i="1"/>
  <c r="Y24" i="1"/>
  <c r="AA24" i="12"/>
  <c r="Z25" i="12"/>
  <c r="AB24" i="13"/>
  <c r="AA25" i="13"/>
  <c r="Z24" i="14"/>
  <c r="AA23" i="14"/>
  <c r="T3" i="14"/>
  <c r="T2" i="14"/>
  <c r="P3" i="2"/>
  <c r="P2" i="2"/>
  <c r="R1" i="10"/>
  <c r="R1" i="8"/>
  <c r="R1" i="6"/>
  <c r="Q1" i="4"/>
  <c r="Q1" i="2"/>
  <c r="AA28" i="20" l="1"/>
  <c r="AB27" i="20"/>
  <c r="X27" i="19"/>
  <c r="Y26" i="19"/>
  <c r="AA27" i="18"/>
  <c r="AB26" i="18"/>
  <c r="X26" i="17"/>
  <c r="Y25" i="17"/>
  <c r="Y27" i="16"/>
  <c r="Z26" i="16"/>
  <c r="AA27" i="10"/>
  <c r="AB26" i="10"/>
  <c r="AA25" i="8"/>
  <c r="AB24" i="8"/>
  <c r="AB25" i="6"/>
  <c r="AA26" i="6"/>
  <c r="AA26" i="4"/>
  <c r="AB25" i="4"/>
  <c r="Y26" i="2"/>
  <c r="Z25" i="2"/>
  <c r="Y25" i="1"/>
  <c r="Z24" i="1"/>
  <c r="Z26" i="12"/>
  <c r="AA25" i="12"/>
  <c r="AA26" i="13"/>
  <c r="AB25" i="13"/>
  <c r="Z25" i="14"/>
  <c r="AA24" i="14"/>
  <c r="Q3" i="2"/>
  <c r="Q2" i="2"/>
  <c r="S1" i="10"/>
  <c r="S1" i="8"/>
  <c r="S1" i="6"/>
  <c r="AB28" i="20" l="1"/>
  <c r="AA29" i="20"/>
  <c r="X28" i="19"/>
  <c r="Y27" i="19"/>
  <c r="AA28" i="18"/>
  <c r="AB27" i="18"/>
  <c r="X27" i="17"/>
  <c r="Y26" i="17"/>
  <c r="Y28" i="16"/>
  <c r="Z27" i="16"/>
  <c r="AB27" i="10"/>
  <c r="AA28" i="10"/>
  <c r="AA26" i="8"/>
  <c r="AB25" i="8"/>
  <c r="AA27" i="6"/>
  <c r="AB26" i="6"/>
  <c r="AB26" i="4"/>
  <c r="AA27" i="4"/>
  <c r="Y27" i="2"/>
  <c r="Z26" i="2"/>
  <c r="Y26" i="1"/>
  <c r="Z25" i="1"/>
  <c r="Z27" i="12"/>
  <c r="AA26" i="12"/>
  <c r="AA27" i="13"/>
  <c r="AB26" i="13"/>
  <c r="AA25" i="14"/>
  <c r="Z26" i="14"/>
  <c r="AB29" i="20" l="1"/>
  <c r="AA30" i="20"/>
  <c r="Y28" i="19"/>
  <c r="X29" i="19"/>
  <c r="AB28" i="18"/>
  <c r="AA29" i="18"/>
  <c r="X28" i="17"/>
  <c r="Y27" i="17"/>
  <c r="Z28" i="16"/>
  <c r="Y29" i="16"/>
  <c r="AA29" i="10"/>
  <c r="AB28" i="10"/>
  <c r="AA27" i="8"/>
  <c r="AB26" i="8"/>
  <c r="AA28" i="6"/>
  <c r="AB27" i="6"/>
  <c r="AA28" i="4"/>
  <c r="AB27" i="4"/>
  <c r="Y28" i="2"/>
  <c r="Z27" i="2"/>
  <c r="Z26" i="1"/>
  <c r="Y27" i="1"/>
  <c r="Z28" i="12"/>
  <c r="AA27" i="12"/>
  <c r="AA28" i="13"/>
  <c r="AB27" i="13"/>
  <c r="AA26" i="14"/>
  <c r="Z27" i="14"/>
  <c r="AA31" i="20" l="1"/>
  <c r="AB30" i="20"/>
  <c r="X30" i="19"/>
  <c r="Y29" i="19"/>
  <c r="AA30" i="18"/>
  <c r="AB29" i="18"/>
  <c r="Y28" i="17"/>
  <c r="X29" i="17"/>
  <c r="Y30" i="16"/>
  <c r="Z29" i="16"/>
  <c r="AA30" i="10"/>
  <c r="AB29" i="10"/>
  <c r="AB27" i="8"/>
  <c r="AA28" i="8"/>
  <c r="AA29" i="6"/>
  <c r="AB28" i="6"/>
  <c r="AB28" i="4"/>
  <c r="AA29" i="4"/>
  <c r="Z28" i="2"/>
  <c r="Y29" i="2"/>
  <c r="Z27" i="1"/>
  <c r="Y28" i="1"/>
  <c r="AA28" i="12"/>
  <c r="Z29" i="12"/>
  <c r="AB28" i="13"/>
  <c r="AA29" i="13"/>
  <c r="AA27" i="14"/>
  <c r="Z28" i="14"/>
  <c r="AA32" i="20" l="1"/>
  <c r="AB31" i="20"/>
  <c r="X31" i="19"/>
  <c r="Y30" i="19"/>
  <c r="AA31" i="18"/>
  <c r="AB30" i="18"/>
  <c r="Y29" i="17"/>
  <c r="X30" i="17"/>
  <c r="Y31" i="16"/>
  <c r="Z30" i="16"/>
  <c r="AA31" i="10"/>
  <c r="AB30" i="10"/>
  <c r="AA29" i="8"/>
  <c r="AB28" i="8"/>
  <c r="AB29" i="6"/>
  <c r="AA30" i="6"/>
  <c r="AB29" i="4"/>
  <c r="AA30" i="4"/>
  <c r="Y30" i="2"/>
  <c r="Z29" i="2"/>
  <c r="Y29" i="1"/>
  <c r="Z28" i="1"/>
  <c r="AA29" i="12"/>
  <c r="Z30" i="12"/>
  <c r="AA30" i="13"/>
  <c r="AB29" i="13"/>
  <c r="Z29" i="14"/>
  <c r="AA28" i="14"/>
  <c r="AB32" i="20" l="1"/>
  <c r="AA33" i="20"/>
  <c r="X32" i="19"/>
  <c r="Y31" i="19"/>
  <c r="AA32" i="18"/>
  <c r="AB31" i="18"/>
  <c r="X31" i="17"/>
  <c r="Y30" i="17"/>
  <c r="Y32" i="16"/>
  <c r="Z31" i="16"/>
  <c r="AB31" i="10"/>
  <c r="AA32" i="10"/>
  <c r="AA30" i="8"/>
  <c r="AB29" i="8"/>
  <c r="AA31" i="6"/>
  <c r="AB30" i="6"/>
  <c r="AA31" i="4"/>
  <c r="AB30" i="4"/>
  <c r="Y31" i="2"/>
  <c r="Z30" i="2"/>
  <c r="Y30" i="1"/>
  <c r="Z29" i="1"/>
  <c r="Z31" i="12"/>
  <c r="AA30" i="12"/>
  <c r="AA31" i="13"/>
  <c r="AB30" i="13"/>
  <c r="AA29" i="14"/>
  <c r="Z30" i="14"/>
  <c r="AA34" i="20" l="1"/>
  <c r="AB33" i="20"/>
  <c r="Y32" i="19"/>
  <c r="X33" i="19"/>
  <c r="AB32" i="18"/>
  <c r="AA33" i="18"/>
  <c r="X32" i="17"/>
  <c r="Y31" i="17"/>
  <c r="Z32" i="16"/>
  <c r="Y33" i="16"/>
  <c r="AA33" i="10"/>
  <c r="AB32" i="10"/>
  <c r="AB30" i="8"/>
  <c r="AA31" i="8"/>
  <c r="AA32" i="6"/>
  <c r="AB31" i="6"/>
  <c r="AA32" i="4"/>
  <c r="AB31" i="4"/>
  <c r="Y32" i="2"/>
  <c r="Z31" i="2"/>
  <c r="Y31" i="1"/>
  <c r="Z30" i="1"/>
  <c r="Z32" i="12"/>
  <c r="AA31" i="12"/>
  <c r="AA32" i="13"/>
  <c r="AB31" i="13"/>
  <c r="AA30" i="14"/>
  <c r="Z31" i="14"/>
  <c r="AA35" i="20" l="1"/>
  <c r="AB34" i="20"/>
  <c r="X34" i="19"/>
  <c r="Y33" i="19"/>
  <c r="AA34" i="18"/>
  <c r="AB33" i="18"/>
  <c r="Y32" i="17"/>
  <c r="X33" i="17"/>
  <c r="Y34" i="16"/>
  <c r="Z33" i="16"/>
  <c r="AA34" i="10"/>
  <c r="AB33" i="10"/>
  <c r="AB31" i="8"/>
  <c r="AA32" i="8"/>
  <c r="AA33" i="6"/>
  <c r="AB32" i="6"/>
  <c r="AB32" i="4"/>
  <c r="AA33" i="4"/>
  <c r="Z32" i="2"/>
  <c r="Y33" i="2"/>
  <c r="Z31" i="1"/>
  <c r="Y32" i="1"/>
  <c r="AA32" i="12"/>
  <c r="Z33" i="12"/>
  <c r="AB32" i="13"/>
  <c r="AA33" i="13"/>
  <c r="Z32" i="14"/>
  <c r="AA31" i="14"/>
  <c r="AA36" i="20" l="1"/>
  <c r="AB35" i="20"/>
  <c r="X35" i="19"/>
  <c r="Y34" i="19"/>
  <c r="AA35" i="18"/>
  <c r="AB34" i="18"/>
  <c r="X34" i="17"/>
  <c r="Y33" i="17"/>
  <c r="Y35" i="16"/>
  <c r="Z34" i="16"/>
  <c r="AA35" i="10"/>
  <c r="AB34" i="10"/>
  <c r="AA33" i="8"/>
  <c r="AB32" i="8"/>
  <c r="AB33" i="6"/>
  <c r="AA34" i="6"/>
  <c r="AA34" i="4"/>
  <c r="AB33" i="4"/>
  <c r="Y34" i="2"/>
  <c r="Z33" i="2"/>
  <c r="Y33" i="1"/>
  <c r="Z32" i="1"/>
  <c r="AA33" i="12"/>
  <c r="Z34" i="12"/>
  <c r="AB33" i="13"/>
  <c r="AA34" i="13"/>
  <c r="Z33" i="14"/>
  <c r="AA32" i="14"/>
  <c r="AB36" i="20" l="1"/>
  <c r="AA37" i="20"/>
  <c r="X36" i="19"/>
  <c r="Y35" i="19"/>
  <c r="AA36" i="18"/>
  <c r="AB35" i="18"/>
  <c r="X35" i="17"/>
  <c r="Y34" i="17"/>
  <c r="Y36" i="16"/>
  <c r="Z35" i="16"/>
  <c r="AB35" i="10"/>
  <c r="AA36" i="10"/>
  <c r="AA34" i="8"/>
  <c r="AB33" i="8"/>
  <c r="AA35" i="6"/>
  <c r="AB34" i="6"/>
  <c r="AB34" i="4"/>
  <c r="AA35" i="4"/>
  <c r="Y35" i="2"/>
  <c r="Z34" i="2"/>
  <c r="Y34" i="1"/>
  <c r="Z33" i="1"/>
  <c r="Z35" i="12"/>
  <c r="AA34" i="12"/>
  <c r="AA35" i="13"/>
  <c r="AB34" i="13"/>
  <c r="AA33" i="14"/>
  <c r="Z34" i="14"/>
  <c r="AB37" i="20" l="1"/>
  <c r="AA38" i="20"/>
  <c r="Y36" i="19"/>
  <c r="X37" i="19"/>
  <c r="AB36" i="18"/>
  <c r="AA37" i="18"/>
  <c r="X36" i="17"/>
  <c r="Y35" i="17"/>
  <c r="Z36" i="16"/>
  <c r="Y37" i="16"/>
  <c r="AA37" i="10"/>
  <c r="AB36" i="10"/>
  <c r="AB34" i="8"/>
  <c r="AA35" i="8"/>
  <c r="AA36" i="6"/>
  <c r="AB35" i="6"/>
  <c r="AA36" i="4"/>
  <c r="AB35" i="4"/>
  <c r="Y36" i="2"/>
  <c r="Z35" i="2"/>
  <c r="Z34" i="1"/>
  <c r="Y35" i="1"/>
  <c r="Z36" i="12"/>
  <c r="AA35" i="12"/>
  <c r="AA36" i="13"/>
  <c r="AB35" i="13"/>
  <c r="AA34" i="14"/>
  <c r="Z35" i="14"/>
  <c r="AA39" i="20" l="1"/>
  <c r="AB38" i="20"/>
  <c r="X38" i="19"/>
  <c r="Y37" i="19"/>
  <c r="AA38" i="18"/>
  <c r="AB37" i="18"/>
  <c r="Y36" i="17"/>
  <c r="X37" i="17"/>
  <c r="Y38" i="16"/>
  <c r="Z37" i="16"/>
  <c r="AA38" i="10"/>
  <c r="AB37" i="10"/>
  <c r="AB35" i="8"/>
  <c r="AA36" i="8"/>
  <c r="AA37" i="6"/>
  <c r="AB36" i="6"/>
  <c r="AA37" i="4"/>
  <c r="AB36" i="4"/>
  <c r="Z36" i="2"/>
  <c r="Y37" i="2"/>
  <c r="Z35" i="1"/>
  <c r="Y36" i="1"/>
  <c r="AA36" i="12"/>
  <c r="Z37" i="12"/>
  <c r="AB36" i="13"/>
  <c r="AA37" i="13"/>
  <c r="Z36" i="14"/>
  <c r="AA35" i="14"/>
  <c r="AA40" i="20" l="1"/>
  <c r="AB39" i="20"/>
  <c r="X39" i="19"/>
  <c r="Y38" i="19"/>
  <c r="AA39" i="18"/>
  <c r="AB38" i="18"/>
  <c r="Y37" i="17"/>
  <c r="X38" i="17"/>
  <c r="Y39" i="16"/>
  <c r="Z38" i="16"/>
  <c r="AA39" i="10"/>
  <c r="AB38" i="10"/>
  <c r="AA37" i="8"/>
  <c r="AB36" i="8"/>
  <c r="AB37" i="6"/>
  <c r="AA38" i="6"/>
  <c r="AB37" i="4"/>
  <c r="AA38" i="4"/>
  <c r="Y38" i="2"/>
  <c r="Z37" i="2"/>
  <c r="Y37" i="1"/>
  <c r="Z36" i="1"/>
  <c r="AA37" i="12"/>
  <c r="Z38" i="12"/>
  <c r="AA38" i="13"/>
  <c r="AB37" i="13"/>
  <c r="Z37" i="14"/>
  <c r="AA36" i="14"/>
  <c r="AB40" i="20" l="1"/>
  <c r="AA41" i="20"/>
  <c r="X40" i="19"/>
  <c r="Y39" i="19"/>
  <c r="AA40" i="18"/>
  <c r="AB39" i="18"/>
  <c r="X39" i="17"/>
  <c r="Y38" i="17"/>
  <c r="Y40" i="16"/>
  <c r="Z39" i="16"/>
  <c r="AB39" i="10"/>
  <c r="AA40" i="10"/>
  <c r="AA38" i="8"/>
  <c r="AB37" i="8"/>
  <c r="AA39" i="6"/>
  <c r="AB38" i="6"/>
  <c r="AA39" i="4"/>
  <c r="AB38" i="4"/>
  <c r="Y39" i="2"/>
  <c r="Z38" i="2"/>
  <c r="Y38" i="1"/>
  <c r="Z37" i="1"/>
  <c r="Z39" i="12"/>
  <c r="AA38" i="12"/>
  <c r="AA39" i="13"/>
  <c r="AB38" i="13"/>
  <c r="AA37" i="14"/>
  <c r="Z38" i="14"/>
  <c r="AB41" i="20" l="1"/>
  <c r="AA42" i="20"/>
  <c r="Y40" i="19"/>
  <c r="X41" i="19"/>
  <c r="AB40" i="18"/>
  <c r="AA41" i="18"/>
  <c r="X40" i="17"/>
  <c r="Y39" i="17"/>
  <c r="Z40" i="16"/>
  <c r="Y41" i="16"/>
  <c r="AA41" i="10"/>
  <c r="AB40" i="10"/>
  <c r="AA39" i="8"/>
  <c r="AB38" i="8"/>
  <c r="AA40" i="6"/>
  <c r="AB39" i="6"/>
  <c r="AA40" i="4"/>
  <c r="AB39" i="4"/>
  <c r="Y40" i="2"/>
  <c r="Z39" i="2"/>
  <c r="Y39" i="1"/>
  <c r="Z38" i="1"/>
  <c r="Z40" i="12"/>
  <c r="AA39" i="12"/>
  <c r="AA40" i="13"/>
  <c r="AB39" i="13"/>
  <c r="AA38" i="14"/>
  <c r="Z39" i="14"/>
  <c r="AA43" i="20" l="1"/>
  <c r="AB42" i="20"/>
  <c r="X42" i="19"/>
  <c r="Y41" i="19"/>
  <c r="AA42" i="18"/>
  <c r="AB41" i="18"/>
  <c r="Y40" i="17"/>
  <c r="X41" i="17"/>
  <c r="Y42" i="16"/>
  <c r="Z41" i="16"/>
  <c r="AA42" i="10"/>
  <c r="AB41" i="10"/>
  <c r="AB39" i="8"/>
  <c r="AA40" i="8"/>
  <c r="AA41" i="6"/>
  <c r="AB40" i="6"/>
  <c r="AB40" i="4"/>
  <c r="AA41" i="4"/>
  <c r="Z40" i="2"/>
  <c r="Y41" i="2"/>
  <c r="Z39" i="1"/>
  <c r="Y40" i="1"/>
  <c r="AA40" i="12"/>
  <c r="Z41" i="12"/>
  <c r="AB40" i="13"/>
  <c r="AA41" i="13"/>
  <c r="Z40" i="14"/>
  <c r="AA39" i="14"/>
  <c r="AA44" i="20" l="1"/>
  <c r="AB43" i="20"/>
  <c r="X43" i="19"/>
  <c r="Y42" i="19"/>
  <c r="AA43" i="18"/>
  <c r="AB42" i="18"/>
  <c r="Y41" i="17"/>
  <c r="X42" i="17"/>
  <c r="Y43" i="16"/>
  <c r="Z42" i="16"/>
  <c r="AA43" i="10"/>
  <c r="AB42" i="10"/>
  <c r="AA41" i="8"/>
  <c r="AB40" i="8"/>
  <c r="AB41" i="6"/>
  <c r="AA42" i="6"/>
  <c r="AA42" i="4"/>
  <c r="AB41" i="4"/>
  <c r="Y42" i="2"/>
  <c r="Z41" i="2"/>
  <c r="Y41" i="1"/>
  <c r="Z40" i="1"/>
  <c r="Z42" i="12"/>
  <c r="AA41" i="12"/>
  <c r="AB41" i="13"/>
  <c r="AA42" i="13"/>
  <c r="Z41" i="14"/>
  <c r="AA40" i="14"/>
  <c r="AB44" i="20" l="1"/>
  <c r="AA45" i="20"/>
  <c r="X44" i="19"/>
  <c r="Y43" i="19"/>
  <c r="AA44" i="18"/>
  <c r="AB43" i="18"/>
  <c r="X43" i="17"/>
  <c r="Y42" i="17"/>
  <c r="Y44" i="16"/>
  <c r="Z43" i="16"/>
  <c r="AB43" i="10"/>
  <c r="AA44" i="10"/>
  <c r="AA42" i="8"/>
  <c r="AB41" i="8"/>
  <c r="AA43" i="6"/>
  <c r="AB42" i="6"/>
  <c r="AB42" i="4"/>
  <c r="AA43" i="4"/>
  <c r="Y43" i="2"/>
  <c r="Z42" i="2"/>
  <c r="Y42" i="1"/>
  <c r="Z41" i="1"/>
  <c r="Z43" i="12"/>
  <c r="AA42" i="12"/>
  <c r="AA43" i="13"/>
  <c r="AB42" i="13"/>
  <c r="AA41" i="14"/>
  <c r="Z42" i="14"/>
  <c r="AA46" i="20" l="1"/>
  <c r="AB45" i="20"/>
  <c r="Y44" i="19"/>
  <c r="X45" i="19"/>
  <c r="AB44" i="18"/>
  <c r="AA45" i="18"/>
  <c r="Y43" i="17"/>
  <c r="X44" i="17"/>
  <c r="Z44" i="16"/>
  <c r="Y45" i="16"/>
  <c r="AA45" i="10"/>
  <c r="AB44" i="10"/>
  <c r="AB42" i="8"/>
  <c r="AA43" i="8"/>
  <c r="AA44" i="6"/>
  <c r="AB43" i="6"/>
  <c r="AA44" i="4"/>
  <c r="AB43" i="4"/>
  <c r="Y44" i="2"/>
  <c r="Z43" i="2"/>
  <c r="Z42" i="1"/>
  <c r="Y43" i="1"/>
  <c r="Z44" i="12"/>
  <c r="AA43" i="12"/>
  <c r="AA44" i="13"/>
  <c r="AB43" i="13"/>
  <c r="AA42" i="14"/>
  <c r="Z43" i="14"/>
  <c r="AA47" i="20" l="1"/>
  <c r="AB46" i="20"/>
  <c r="X46" i="19"/>
  <c r="Y45" i="19"/>
  <c r="AA46" i="18"/>
  <c r="AB45" i="18"/>
  <c r="Y44" i="17"/>
  <c r="X45" i="17"/>
  <c r="Y46" i="16"/>
  <c r="Z45" i="16"/>
  <c r="AA46" i="10"/>
  <c r="AB45" i="10"/>
  <c r="AB43" i="8"/>
  <c r="AA44" i="8"/>
  <c r="AA45" i="6"/>
  <c r="AB44" i="6"/>
  <c r="AB44" i="4"/>
  <c r="AA45" i="4"/>
  <c r="Z44" i="2"/>
  <c r="Y45" i="2"/>
  <c r="Z43" i="1"/>
  <c r="Y44" i="1"/>
  <c r="AA44" i="12"/>
  <c r="Z45" i="12"/>
  <c r="AB44" i="13"/>
  <c r="AA45" i="13"/>
  <c r="Z44" i="14"/>
  <c r="AA43" i="14"/>
  <c r="AA48" i="20" l="1"/>
  <c r="AB47" i="20"/>
  <c r="X47" i="19"/>
  <c r="Y46" i="19"/>
  <c r="AA47" i="18"/>
  <c r="AB46" i="18"/>
  <c r="X46" i="17"/>
  <c r="Y45" i="17"/>
  <c r="Y47" i="16"/>
  <c r="Z46" i="16"/>
  <c r="AA47" i="10"/>
  <c r="AB46" i="10"/>
  <c r="AA45" i="8"/>
  <c r="AB44" i="8"/>
  <c r="AB45" i="6"/>
  <c r="AA46" i="6"/>
  <c r="AB45" i="4"/>
  <c r="AA46" i="4"/>
  <c r="Y46" i="2"/>
  <c r="Z45" i="2"/>
  <c r="Y45" i="1"/>
  <c r="Z44" i="1"/>
  <c r="AA45" i="12"/>
  <c r="Z46" i="12"/>
  <c r="AB45" i="13"/>
  <c r="AA46" i="13"/>
  <c r="Z45" i="14"/>
  <c r="AA44" i="14"/>
  <c r="AB48" i="20" l="1"/>
  <c r="AA49" i="20"/>
  <c r="X48" i="19"/>
  <c r="Y47" i="19"/>
  <c r="AA48" i="18"/>
  <c r="AB47" i="18"/>
  <c r="X47" i="17"/>
  <c r="Y46" i="17"/>
  <c r="Y48" i="16"/>
  <c r="Z47" i="16"/>
  <c r="AB47" i="10"/>
  <c r="AA48" i="10"/>
  <c r="AA46" i="8"/>
  <c r="AB45" i="8"/>
  <c r="AA47" i="6"/>
  <c r="AB46" i="6"/>
  <c r="AA47" i="4"/>
  <c r="AB46" i="4"/>
  <c r="Y47" i="2"/>
  <c r="Z46" i="2"/>
  <c r="Y46" i="1"/>
  <c r="Z45" i="1"/>
  <c r="Z47" i="12"/>
  <c r="AA46" i="12"/>
  <c r="AA47" i="13"/>
  <c r="AB46" i="13"/>
  <c r="AA45" i="14"/>
  <c r="Z46" i="14"/>
  <c r="AB49" i="20" l="1"/>
  <c r="AA50" i="20"/>
  <c r="Y48" i="19"/>
  <c r="X49" i="19"/>
  <c r="AB48" i="18"/>
  <c r="AA49" i="18"/>
  <c r="X48" i="17"/>
  <c r="Y47" i="17"/>
  <c r="Z48" i="16"/>
  <c r="Y49" i="16"/>
  <c r="AA49" i="10"/>
  <c r="AB48" i="10"/>
  <c r="AA47" i="8"/>
  <c r="AB46" i="8"/>
  <c r="AA48" i="6"/>
  <c r="AB47" i="6"/>
  <c r="AA48" i="4"/>
  <c r="AB47" i="4"/>
  <c r="Y48" i="2"/>
  <c r="Z47" i="2"/>
  <c r="Y47" i="1"/>
  <c r="Z46" i="1"/>
  <c r="Z48" i="12"/>
  <c r="AA47" i="12"/>
  <c r="AA48" i="13"/>
  <c r="AB47" i="13"/>
  <c r="AA46" i="14"/>
  <c r="Z47" i="14"/>
  <c r="AA51" i="20" l="1"/>
  <c r="AB50" i="20"/>
  <c r="X50" i="19"/>
  <c r="Y49" i="19"/>
  <c r="AA50" i="18"/>
  <c r="AB49" i="18"/>
  <c r="Y48" i="17"/>
  <c r="X49" i="17"/>
  <c r="Y50" i="16"/>
  <c r="Z49" i="16"/>
  <c r="AA50" i="10"/>
  <c r="AB49" i="10"/>
  <c r="AB47" i="8"/>
  <c r="AA48" i="8"/>
  <c r="AA49" i="6"/>
  <c r="AB48" i="6"/>
  <c r="AA49" i="4"/>
  <c r="AB48" i="4"/>
  <c r="Z48" i="2"/>
  <c r="Y49" i="2"/>
  <c r="Z47" i="1"/>
  <c r="Y48" i="1"/>
  <c r="AA48" i="12"/>
  <c r="Z49" i="12"/>
  <c r="AB48" i="13"/>
  <c r="AA49" i="13"/>
  <c r="Z48" i="14"/>
  <c r="AA47" i="14"/>
  <c r="AA52" i="20" l="1"/>
  <c r="AB51" i="20"/>
  <c r="X51" i="19"/>
  <c r="Y50" i="19"/>
  <c r="AA51" i="18"/>
  <c r="AB50" i="18"/>
  <c r="X50" i="17"/>
  <c r="Y49" i="17"/>
  <c r="Y51" i="16"/>
  <c r="Z50" i="16"/>
  <c r="AA51" i="10"/>
  <c r="AB50" i="10"/>
  <c r="AA49" i="8"/>
  <c r="AB48" i="8"/>
  <c r="AB49" i="6"/>
  <c r="AA50" i="6"/>
  <c r="AA50" i="4"/>
  <c r="AB49" i="4"/>
  <c r="Y50" i="2"/>
  <c r="Z49" i="2"/>
  <c r="Y49" i="1"/>
  <c r="Z48" i="1"/>
  <c r="AA49" i="12"/>
  <c r="Z50" i="12"/>
  <c r="AB49" i="13"/>
  <c r="AA50" i="13"/>
  <c r="Z49" i="14"/>
  <c r="AA48" i="14"/>
  <c r="AB52" i="20" l="1"/>
  <c r="AA53" i="20"/>
  <c r="X52" i="19"/>
  <c r="Y51" i="19"/>
  <c r="AA52" i="18"/>
  <c r="AB51" i="18"/>
  <c r="X51" i="17"/>
  <c r="Y50" i="17"/>
  <c r="Y52" i="16"/>
  <c r="Z51" i="16"/>
  <c r="AB51" i="10"/>
  <c r="AA52" i="10"/>
  <c r="AA50" i="8"/>
  <c r="AB49" i="8"/>
  <c r="AA51" i="6"/>
  <c r="AB50" i="6"/>
  <c r="AB50" i="4"/>
  <c r="AA51" i="4"/>
  <c r="Y51" i="2"/>
  <c r="Z50" i="2"/>
  <c r="Y50" i="1"/>
  <c r="Z49" i="1"/>
  <c r="Z51" i="12"/>
  <c r="AA50" i="12"/>
  <c r="AA51" i="13"/>
  <c r="AB50" i="13"/>
  <c r="AA49" i="14"/>
  <c r="Z50" i="14"/>
  <c r="AB53" i="20" l="1"/>
  <c r="AA54" i="20"/>
  <c r="Y52" i="19"/>
  <c r="X53" i="19"/>
  <c r="AB52" i="18"/>
  <c r="AA53" i="18"/>
  <c r="X52" i="17"/>
  <c r="Y51" i="17"/>
  <c r="Z52" i="16"/>
  <c r="Y53" i="16"/>
  <c r="AA53" i="10"/>
  <c r="AB52" i="10"/>
  <c r="AB50" i="8"/>
  <c r="AA51" i="8"/>
  <c r="AA52" i="6"/>
  <c r="AB51" i="6"/>
  <c r="AA52" i="4"/>
  <c r="AB51" i="4"/>
  <c r="Y52" i="2"/>
  <c r="Z51" i="2"/>
  <c r="Z50" i="1"/>
  <c r="Y51" i="1"/>
  <c r="Z52" i="12"/>
  <c r="AA51" i="12"/>
  <c r="AA52" i="13"/>
  <c r="AB51" i="13"/>
  <c r="AA50" i="14"/>
  <c r="Z51" i="14"/>
  <c r="AA55" i="20" l="1"/>
  <c r="AB54" i="20"/>
  <c r="X54" i="19"/>
  <c r="Y53" i="19"/>
  <c r="AA54" i="18"/>
  <c r="AB53" i="18"/>
  <c r="Y52" i="17"/>
  <c r="X53" i="17"/>
  <c r="Y54" i="16"/>
  <c r="Z53" i="16"/>
  <c r="AA54" i="10"/>
  <c r="AB53" i="10"/>
  <c r="AB51" i="8"/>
  <c r="AA52" i="8"/>
  <c r="AA53" i="6"/>
  <c r="AB52" i="6"/>
  <c r="AB52" i="4"/>
  <c r="AA53" i="4"/>
  <c r="Z52" i="2"/>
  <c r="Y53" i="2"/>
  <c r="Z51" i="1"/>
  <c r="Y52" i="1"/>
  <c r="AA52" i="12"/>
  <c r="Z53" i="12"/>
  <c r="AB52" i="13"/>
  <c r="AA53" i="13"/>
  <c r="Z52" i="14"/>
  <c r="AA51" i="14"/>
  <c r="AA56" i="20" l="1"/>
  <c r="AB55" i="20"/>
  <c r="X55" i="19"/>
  <c r="Y54" i="19"/>
  <c r="AA55" i="18"/>
  <c r="AB54" i="18"/>
  <c r="Y53" i="17"/>
  <c r="X54" i="17"/>
  <c r="Y55" i="16"/>
  <c r="Z54" i="16"/>
  <c r="AA55" i="10"/>
  <c r="AB54" i="10"/>
  <c r="AA53" i="8"/>
  <c r="AB52" i="8"/>
  <c r="AB53" i="6"/>
  <c r="AA54" i="6"/>
  <c r="AB53" i="4"/>
  <c r="AA54" i="4"/>
  <c r="Y54" i="2"/>
  <c r="Z53" i="2"/>
  <c r="Y53" i="1"/>
  <c r="Z52" i="1"/>
  <c r="Z54" i="12"/>
  <c r="AA53" i="12"/>
  <c r="AB53" i="13"/>
  <c r="AA54" i="13"/>
  <c r="Z53" i="14"/>
  <c r="AA52" i="14"/>
  <c r="AB56" i="20" l="1"/>
  <c r="AA57" i="20"/>
  <c r="X56" i="19"/>
  <c r="Y55" i="19"/>
  <c r="AA56" i="18"/>
  <c r="AB55" i="18"/>
  <c r="X55" i="17"/>
  <c r="Y54" i="17"/>
  <c r="Y56" i="16"/>
  <c r="Z55" i="16"/>
  <c r="AB55" i="10"/>
  <c r="AA56" i="10"/>
  <c r="AA54" i="8"/>
  <c r="AB53" i="8"/>
  <c r="AA55" i="6"/>
  <c r="AB54" i="6"/>
  <c r="AA55" i="4"/>
  <c r="AB54" i="4"/>
  <c r="Y55" i="2"/>
  <c r="Z54" i="2"/>
  <c r="Y54" i="1"/>
  <c r="Z53" i="1"/>
  <c r="Z55" i="12"/>
  <c r="AA54" i="12"/>
  <c r="AA55" i="13"/>
  <c r="AB54" i="13"/>
  <c r="AA53" i="14"/>
  <c r="Z54" i="14"/>
  <c r="AB57" i="20" l="1"/>
  <c r="AA58" i="20"/>
  <c r="Y56" i="19"/>
  <c r="X57" i="19"/>
  <c r="AB56" i="18"/>
  <c r="AA57" i="18"/>
  <c r="X56" i="17"/>
  <c r="Y55" i="17"/>
  <c r="Z56" i="16"/>
  <c r="Y57" i="16"/>
  <c r="AA57" i="10"/>
  <c r="AB56" i="10"/>
  <c r="AA55" i="8"/>
  <c r="AB54" i="8"/>
  <c r="AA56" i="6"/>
  <c r="AB55" i="6"/>
  <c r="AA56" i="4"/>
  <c r="AB55" i="4"/>
  <c r="Y56" i="2"/>
  <c r="Z55" i="2"/>
  <c r="Z54" i="1"/>
  <c r="Y55" i="1"/>
  <c r="Z56" i="12"/>
  <c r="AA55" i="12"/>
  <c r="AA56" i="13"/>
  <c r="AB55" i="13"/>
  <c r="AA54" i="14"/>
  <c r="Z55" i="14"/>
  <c r="AA59" i="20" l="1"/>
  <c r="AB58" i="20"/>
  <c r="X58" i="19"/>
  <c r="Y57" i="19"/>
  <c r="AA58" i="18"/>
  <c r="AB57" i="18"/>
  <c r="Y56" i="17"/>
  <c r="X57" i="17"/>
  <c r="Y58" i="16"/>
  <c r="Z57" i="16"/>
  <c r="AA58" i="10"/>
  <c r="AB57" i="10"/>
  <c r="AB55" i="8"/>
  <c r="AA56" i="8"/>
  <c r="AA57" i="6"/>
  <c r="AB56" i="6"/>
  <c r="AB56" i="4"/>
  <c r="AA57" i="4"/>
  <c r="Z56" i="2"/>
  <c r="Y57" i="2"/>
  <c r="Z55" i="1"/>
  <c r="Y56" i="1"/>
  <c r="AA56" i="12"/>
  <c r="Z57" i="12"/>
  <c r="AB56" i="13"/>
  <c r="AA57" i="13"/>
  <c r="Z56" i="14"/>
  <c r="AA55" i="14"/>
  <c r="AA60" i="20" l="1"/>
  <c r="AB59" i="20"/>
  <c r="X59" i="19"/>
  <c r="Y58" i="19"/>
  <c r="AA59" i="18"/>
  <c r="AB58" i="18"/>
  <c r="Y57" i="17"/>
  <c r="X58" i="17"/>
  <c r="Y59" i="16"/>
  <c r="Z58" i="16"/>
  <c r="AA59" i="10"/>
  <c r="AB58" i="10"/>
  <c r="AA57" i="8"/>
  <c r="AB56" i="8"/>
  <c r="AB57" i="6"/>
  <c r="AA58" i="6"/>
  <c r="AA58" i="4"/>
  <c r="AB57" i="4"/>
  <c r="Y58" i="2"/>
  <c r="Z57" i="2"/>
  <c r="Y57" i="1"/>
  <c r="Z56" i="1"/>
  <c r="AA57" i="12"/>
  <c r="Z58" i="12"/>
  <c r="AA58" i="13"/>
  <c r="AB57" i="13"/>
  <c r="Z57" i="14"/>
  <c r="AA56" i="14"/>
  <c r="AB60" i="20" l="1"/>
  <c r="AA61" i="20"/>
  <c r="X60" i="19"/>
  <c r="Y59" i="19"/>
  <c r="AA60" i="18"/>
  <c r="AB59" i="18"/>
  <c r="X59" i="17"/>
  <c r="Y58" i="17"/>
  <c r="Y60" i="16"/>
  <c r="Z59" i="16"/>
  <c r="AB59" i="10"/>
  <c r="AA60" i="10"/>
  <c r="AA58" i="8"/>
  <c r="AB57" i="8"/>
  <c r="AA59" i="6"/>
  <c r="AB58" i="6"/>
  <c r="AB58" i="4"/>
  <c r="AA59" i="4"/>
  <c r="Y59" i="2"/>
  <c r="Z58" i="2"/>
  <c r="Y58" i="1"/>
  <c r="Z57" i="1"/>
  <c r="Z59" i="12"/>
  <c r="AA58" i="12"/>
  <c r="AA59" i="13"/>
  <c r="AB58" i="13"/>
  <c r="AA57" i="14"/>
  <c r="Z58" i="14"/>
  <c r="AA62" i="20" l="1"/>
  <c r="AB61" i="20"/>
  <c r="Y60" i="19"/>
  <c r="X61" i="19"/>
  <c r="AB60" i="18"/>
  <c r="AA61" i="18"/>
  <c r="X60" i="17"/>
  <c r="Y59" i="17"/>
  <c r="Z60" i="16"/>
  <c r="Y61" i="16"/>
  <c r="AA61" i="10"/>
  <c r="AB60" i="10"/>
  <c r="AB58" i="8"/>
  <c r="AA59" i="8"/>
  <c r="AA60" i="6"/>
  <c r="AB59" i="6"/>
  <c r="AA60" i="4"/>
  <c r="AB59" i="4"/>
  <c r="Y60" i="2"/>
  <c r="Z59" i="2"/>
  <c r="Y59" i="1"/>
  <c r="Z58" i="1"/>
  <c r="Z60" i="12"/>
  <c r="AA59" i="12"/>
  <c r="AA60" i="13"/>
  <c r="AB59" i="13"/>
  <c r="AA58" i="14"/>
  <c r="Z59" i="14"/>
  <c r="AA63" i="20" l="1"/>
  <c r="AB62" i="20"/>
  <c r="X62" i="19"/>
  <c r="Y61" i="19"/>
  <c r="AA62" i="18"/>
  <c r="AB61" i="18"/>
  <c r="Y60" i="17"/>
  <c r="X61" i="17"/>
  <c r="Y62" i="16"/>
  <c r="Z61" i="16"/>
  <c r="AA62" i="10"/>
  <c r="AB61" i="10"/>
  <c r="AB59" i="8"/>
  <c r="AA60" i="8"/>
  <c r="AA61" i="6"/>
  <c r="AB60" i="6"/>
  <c r="AA61" i="4"/>
  <c r="AB60" i="4"/>
  <c r="Z60" i="2"/>
  <c r="Y61" i="2"/>
  <c r="Z59" i="1"/>
  <c r="Y60" i="1"/>
  <c r="AA60" i="12"/>
  <c r="Z61" i="12"/>
  <c r="AB60" i="13"/>
  <c r="AA61" i="13"/>
  <c r="Z60" i="14"/>
  <c r="AA59" i="14"/>
  <c r="AA64" i="20" l="1"/>
  <c r="AB63" i="20"/>
  <c r="X63" i="19"/>
  <c r="Y62" i="19"/>
  <c r="AA63" i="18"/>
  <c r="AB62" i="18"/>
  <c r="X62" i="17"/>
  <c r="Y61" i="17"/>
  <c r="Y63" i="16"/>
  <c r="Z62" i="16"/>
  <c r="AA63" i="10"/>
  <c r="AB62" i="10"/>
  <c r="AA61" i="8"/>
  <c r="AB60" i="8"/>
  <c r="AB61" i="6"/>
  <c r="AA62" i="6"/>
  <c r="AB61" i="4"/>
  <c r="AA62" i="4"/>
  <c r="Y62" i="2"/>
  <c r="Z61" i="2"/>
  <c r="Y61" i="1"/>
  <c r="Z60" i="1"/>
  <c r="Z62" i="12"/>
  <c r="AA61" i="12"/>
  <c r="AB61" i="13"/>
  <c r="AA62" i="13"/>
  <c r="Z61" i="14"/>
  <c r="AA60" i="14"/>
  <c r="AB64" i="20" l="1"/>
  <c r="AA65" i="20"/>
  <c r="X64" i="19"/>
  <c r="Y63" i="19"/>
  <c r="AA64" i="18"/>
  <c r="AB63" i="18"/>
  <c r="Y62" i="17"/>
  <c r="X63" i="17"/>
  <c r="Y64" i="16"/>
  <c r="Z63" i="16"/>
  <c r="AB63" i="10"/>
  <c r="AA64" i="10"/>
  <c r="AA62" i="8"/>
  <c r="AB61" i="8"/>
  <c r="AA63" i="6"/>
  <c r="AB62" i="6"/>
  <c r="AA63" i="4"/>
  <c r="AB62" i="4"/>
  <c r="Y63" i="2"/>
  <c r="Z62" i="2"/>
  <c r="Y62" i="1"/>
  <c r="Z61" i="1"/>
  <c r="Z63" i="12"/>
  <c r="AA62" i="12"/>
  <c r="AA63" i="13"/>
  <c r="AB62" i="13"/>
  <c r="AA61" i="14"/>
  <c r="Z62" i="14"/>
  <c r="AB65" i="20" l="1"/>
  <c r="AA66" i="20"/>
  <c r="Y64" i="19"/>
  <c r="X65" i="19"/>
  <c r="AB64" i="18"/>
  <c r="AA65" i="18"/>
  <c r="X64" i="17"/>
  <c r="Y63" i="17"/>
  <c r="Z64" i="16"/>
  <c r="Y65" i="16"/>
  <c r="AA65" i="10"/>
  <c r="AB64" i="10"/>
  <c r="AA63" i="8"/>
  <c r="AB62" i="8"/>
  <c r="AA64" i="6"/>
  <c r="AB63" i="6"/>
  <c r="AA64" i="4"/>
  <c r="AB63" i="4"/>
  <c r="Y64" i="2"/>
  <c r="Z63" i="2"/>
  <c r="Z62" i="1"/>
  <c r="Y63" i="1"/>
  <c r="Z64" i="12"/>
  <c r="AA63" i="12"/>
  <c r="AA64" i="13"/>
  <c r="AB63" i="13"/>
  <c r="AA62" i="14"/>
  <c r="Z63" i="14"/>
  <c r="AA67" i="20" l="1"/>
  <c r="AB66" i="20"/>
  <c r="X66" i="19"/>
  <c r="Y65" i="19"/>
  <c r="AA66" i="18"/>
  <c r="AB65" i="18"/>
  <c r="Y64" i="17"/>
  <c r="X65" i="17"/>
  <c r="Y66" i="16"/>
  <c r="Z65" i="16"/>
  <c r="AA66" i="10"/>
  <c r="AB65" i="10"/>
  <c r="AB63" i="8"/>
  <c r="AA64" i="8"/>
  <c r="AA65" i="6"/>
  <c r="AB64" i="6"/>
  <c r="AB64" i="4"/>
  <c r="AA65" i="4"/>
  <c r="Z64" i="2"/>
  <c r="Y65" i="2"/>
  <c r="Z63" i="1"/>
  <c r="Y64" i="1"/>
  <c r="AA64" i="12"/>
  <c r="Z65" i="12"/>
  <c r="AB64" i="13"/>
  <c r="AA65" i="13"/>
  <c r="Z64" i="14"/>
  <c r="AA63" i="14"/>
  <c r="AA68" i="20" l="1"/>
  <c r="AB67" i="20"/>
  <c r="X67" i="19"/>
  <c r="Y66" i="19"/>
  <c r="AA67" i="18"/>
  <c r="AB66" i="18"/>
  <c r="Y65" i="17"/>
  <c r="X66" i="17"/>
  <c r="Y67" i="16"/>
  <c r="Z66" i="16"/>
  <c r="AA67" i="10"/>
  <c r="AB66" i="10"/>
  <c r="AA65" i="8"/>
  <c r="AB64" i="8"/>
  <c r="AB65" i="6"/>
  <c r="AA66" i="6"/>
  <c r="AA66" i="4"/>
  <c r="AB65" i="4"/>
  <c r="Y66" i="2"/>
  <c r="Z65" i="2"/>
  <c r="Y65" i="1"/>
  <c r="Z64" i="1"/>
  <c r="AA65" i="12"/>
  <c r="Z66" i="12"/>
  <c r="AA66" i="13"/>
  <c r="AB65" i="13"/>
  <c r="Z65" i="14"/>
  <c r="AA64" i="14"/>
  <c r="AB68" i="20" l="1"/>
  <c r="AA69" i="20"/>
  <c r="X68" i="19"/>
  <c r="Y67" i="19"/>
  <c r="AA68" i="18"/>
  <c r="AB67" i="18"/>
  <c r="X67" i="17"/>
  <c r="Y66" i="17"/>
  <c r="Y68" i="16"/>
  <c r="Z67" i="16"/>
  <c r="AB67" i="10"/>
  <c r="AA68" i="10"/>
  <c r="AA66" i="8"/>
  <c r="AB65" i="8"/>
  <c r="AA67" i="6"/>
  <c r="AB66" i="6"/>
  <c r="AB66" i="4"/>
  <c r="AA67" i="4"/>
  <c r="Y67" i="2"/>
  <c r="Z66" i="2"/>
  <c r="Y66" i="1"/>
  <c r="Z65" i="1"/>
  <c r="Z67" i="12"/>
  <c r="AA66" i="12"/>
  <c r="AA67" i="13"/>
  <c r="AB66" i="13"/>
  <c r="AA65" i="14"/>
  <c r="Z66" i="14"/>
  <c r="AB69" i="20" l="1"/>
  <c r="AA70" i="20"/>
  <c r="Y68" i="19"/>
  <c r="X69" i="19"/>
  <c r="AB68" i="18"/>
  <c r="AA69" i="18"/>
  <c r="X68" i="17"/>
  <c r="Y67" i="17"/>
  <c r="Z68" i="16"/>
  <c r="Y69" i="16"/>
  <c r="AA69" i="10"/>
  <c r="AB68" i="10"/>
  <c r="AB66" i="8"/>
  <c r="AA67" i="8"/>
  <c r="AA68" i="6"/>
  <c r="AB67" i="6"/>
  <c r="AA68" i="4"/>
  <c r="AB67" i="4"/>
  <c r="Y68" i="2"/>
  <c r="Z67" i="2"/>
  <c r="Y67" i="1"/>
  <c r="Z66" i="1"/>
  <c r="Z68" i="12"/>
  <c r="AA67" i="12"/>
  <c r="AA68" i="13"/>
  <c r="AB67" i="13"/>
  <c r="AA66" i="14"/>
  <c r="Z67" i="14"/>
  <c r="AA71" i="20" l="1"/>
  <c r="AB70" i="20"/>
  <c r="X70" i="19"/>
  <c r="Y69" i="19"/>
  <c r="AA70" i="18"/>
  <c r="AB69" i="18"/>
  <c r="Y68" i="17"/>
  <c r="X69" i="17"/>
  <c r="Y70" i="16"/>
  <c r="Z69" i="16"/>
  <c r="AA70" i="10"/>
  <c r="AB69" i="10"/>
  <c r="AB67" i="8"/>
  <c r="AA68" i="8"/>
  <c r="AA69" i="6"/>
  <c r="AB68" i="6"/>
  <c r="AB68" i="4"/>
  <c r="AA69" i="4"/>
  <c r="Z68" i="2"/>
  <c r="Y69" i="2"/>
  <c r="Z67" i="1"/>
  <c r="Y68" i="1"/>
  <c r="AA68" i="12"/>
  <c r="Z69" i="12"/>
  <c r="AB68" i="13"/>
  <c r="AA69" i="13"/>
  <c r="Z68" i="14"/>
  <c r="AA67" i="14"/>
  <c r="AA72" i="20" l="1"/>
  <c r="AB71" i="20"/>
  <c r="X71" i="19"/>
  <c r="Y70" i="19"/>
  <c r="AA71" i="18"/>
  <c r="AB70" i="18"/>
  <c r="Y69" i="17"/>
  <c r="X70" i="17"/>
  <c r="Y71" i="16"/>
  <c r="Z70" i="16"/>
  <c r="AA71" i="10"/>
  <c r="AB70" i="10"/>
  <c r="AA69" i="8"/>
  <c r="AB68" i="8"/>
  <c r="AB69" i="6"/>
  <c r="AA70" i="6"/>
  <c r="AB69" i="4"/>
  <c r="AA70" i="4"/>
  <c r="Y70" i="2"/>
  <c r="Z69" i="2"/>
  <c r="Y69" i="1"/>
  <c r="Z68" i="1"/>
  <c r="AA69" i="12"/>
  <c r="Z70" i="12"/>
  <c r="AB69" i="13"/>
  <c r="AA70" i="13"/>
  <c r="Z69" i="14"/>
  <c r="AA68" i="14"/>
  <c r="AB72" i="20" l="1"/>
  <c r="AA73" i="20"/>
  <c r="X72" i="19"/>
  <c r="Y71" i="19"/>
  <c r="AA72" i="18"/>
  <c r="AB71" i="18"/>
  <c r="X71" i="17"/>
  <c r="Y70" i="17"/>
  <c r="Y72" i="16"/>
  <c r="Z71" i="16"/>
  <c r="AB71" i="10"/>
  <c r="AA72" i="10"/>
  <c r="AA70" i="8"/>
  <c r="AB69" i="8"/>
  <c r="AA71" i="6"/>
  <c r="AB70" i="6"/>
  <c r="AA71" i="4"/>
  <c r="AB70" i="4"/>
  <c r="Y71" i="2"/>
  <c r="Z70" i="2"/>
  <c r="Y70" i="1"/>
  <c r="Z69" i="1"/>
  <c r="Z71" i="12"/>
  <c r="AA70" i="12"/>
  <c r="AA71" i="13"/>
  <c r="AB70" i="13"/>
  <c r="AA69" i="14"/>
  <c r="Z70" i="14"/>
  <c r="AB73" i="20" l="1"/>
  <c r="AA74" i="20"/>
  <c r="Y72" i="19"/>
  <c r="X73" i="19"/>
  <c r="AB72" i="18"/>
  <c r="AA73" i="18"/>
  <c r="X72" i="17"/>
  <c r="Y71" i="17"/>
  <c r="Z72" i="16"/>
  <c r="Y73" i="16"/>
  <c r="AA73" i="10"/>
  <c r="AB72" i="10"/>
  <c r="AA71" i="8"/>
  <c r="AB70" i="8"/>
  <c r="AA72" i="6"/>
  <c r="AB71" i="6"/>
  <c r="AA72" i="4"/>
  <c r="AB71" i="4"/>
  <c r="Y72" i="2"/>
  <c r="Z71" i="2"/>
  <c r="Z70" i="1"/>
  <c r="Y71" i="1"/>
  <c r="Z72" i="12"/>
  <c r="AA71" i="12"/>
  <c r="AA72" i="13"/>
  <c r="AB71" i="13"/>
  <c r="AA70" i="14"/>
  <c r="Z71" i="14"/>
  <c r="AA75" i="20" l="1"/>
  <c r="AB74" i="20"/>
  <c r="X74" i="19"/>
  <c r="Y73" i="19"/>
  <c r="AA74" i="18"/>
  <c r="AB73" i="18"/>
  <c r="Y72" i="17"/>
  <c r="X73" i="17"/>
  <c r="Y74" i="16"/>
  <c r="Z73" i="16"/>
  <c r="AA74" i="10"/>
  <c r="AB73" i="10"/>
  <c r="AB71" i="8"/>
  <c r="AA72" i="8"/>
  <c r="AA73" i="6"/>
  <c r="AB72" i="6"/>
  <c r="AA73" i="4"/>
  <c r="AB72" i="4"/>
  <c r="Z72" i="2"/>
  <c r="Y73" i="2"/>
  <c r="Z71" i="1"/>
  <c r="Y72" i="1"/>
  <c r="AA72" i="12"/>
  <c r="Z73" i="12"/>
  <c r="AB72" i="13"/>
  <c r="AA73" i="13"/>
  <c r="Z72" i="14"/>
  <c r="AA71" i="14"/>
  <c r="AA76" i="20" l="1"/>
  <c r="AB75" i="20"/>
  <c r="X75" i="19"/>
  <c r="Y74" i="19"/>
  <c r="AA75" i="18"/>
  <c r="AB74" i="18"/>
  <c r="X74" i="17"/>
  <c r="Y73" i="17"/>
  <c r="Y75" i="16"/>
  <c r="Z74" i="16"/>
  <c r="AA75" i="10"/>
  <c r="AB74" i="10"/>
  <c r="AA73" i="8"/>
  <c r="AB72" i="8"/>
  <c r="AB73" i="6"/>
  <c r="AA74" i="6"/>
  <c r="AA74" i="4"/>
  <c r="AB73" i="4"/>
  <c r="Y74" i="2"/>
  <c r="Z73" i="2"/>
  <c r="Y73" i="1"/>
  <c r="Z72" i="1"/>
  <c r="Z74" i="12"/>
  <c r="AA73" i="12"/>
  <c r="AA74" i="13"/>
  <c r="AB73" i="13"/>
  <c r="Z73" i="14"/>
  <c r="AA72" i="14"/>
  <c r="AB76" i="20" l="1"/>
  <c r="AA77" i="20"/>
  <c r="X76" i="19"/>
  <c r="Y75" i="19"/>
  <c r="AA76" i="18"/>
  <c r="AB75" i="18"/>
  <c r="Y74" i="17"/>
  <c r="X75" i="17"/>
  <c r="Y76" i="16"/>
  <c r="Z75" i="16"/>
  <c r="AB75" i="10"/>
  <c r="AA76" i="10"/>
  <c r="AA74" i="8"/>
  <c r="AB73" i="8"/>
  <c r="AA75" i="6"/>
  <c r="AB74" i="6"/>
  <c r="AA75" i="4"/>
  <c r="AB74" i="4"/>
  <c r="Y75" i="2"/>
  <c r="Z74" i="2"/>
  <c r="Y74" i="1"/>
  <c r="Z73" i="1"/>
  <c r="Z75" i="12"/>
  <c r="AA74" i="12"/>
  <c r="AA75" i="13"/>
  <c r="AB74" i="13"/>
  <c r="AA73" i="14"/>
  <c r="Z74" i="14"/>
  <c r="AB77" i="20" l="1"/>
  <c r="AA78" i="20"/>
  <c r="Y76" i="19"/>
  <c r="X77" i="19"/>
  <c r="AB76" i="18"/>
  <c r="AA77" i="18"/>
  <c r="X76" i="17"/>
  <c r="Y75" i="17"/>
  <c r="Z76" i="16"/>
  <c r="Y77" i="16"/>
  <c r="AA77" i="10"/>
  <c r="AB76" i="10"/>
  <c r="AB74" i="8"/>
  <c r="AA75" i="8"/>
  <c r="AA76" i="6"/>
  <c r="AB75" i="6"/>
  <c r="AA76" i="4"/>
  <c r="AB75" i="4"/>
  <c r="Y76" i="2"/>
  <c r="Z75" i="2"/>
  <c r="Y75" i="1"/>
  <c r="Z74" i="1"/>
  <c r="Z76" i="12"/>
  <c r="AA75" i="12"/>
  <c r="AA76" i="13"/>
  <c r="AB75" i="13"/>
  <c r="AA74" i="14"/>
  <c r="Z75" i="14"/>
  <c r="AA79" i="20" l="1"/>
  <c r="AB78" i="20"/>
  <c r="X78" i="19"/>
  <c r="Y77" i="19"/>
  <c r="AA78" i="18"/>
  <c r="AB77" i="18"/>
  <c r="Y76" i="17"/>
  <c r="X77" i="17"/>
  <c r="Y78" i="16"/>
  <c r="Z77" i="16"/>
  <c r="AA78" i="10"/>
  <c r="AB77" i="10"/>
  <c r="AB75" i="8"/>
  <c r="AA76" i="8"/>
  <c r="AA77" i="6"/>
  <c r="AB76" i="6"/>
  <c r="AB76" i="4"/>
  <c r="AA77" i="4"/>
  <c r="Z76" i="2"/>
  <c r="Y77" i="2"/>
  <c r="Z75" i="1"/>
  <c r="Y76" i="1"/>
  <c r="AA76" i="12"/>
  <c r="Z77" i="12"/>
  <c r="AB76" i="13"/>
  <c r="AA77" i="13"/>
  <c r="Z76" i="14"/>
  <c r="AA75" i="14"/>
  <c r="AA80" i="20" l="1"/>
  <c r="AB79" i="20"/>
  <c r="X79" i="19"/>
  <c r="Y78" i="19"/>
  <c r="AA79" i="18"/>
  <c r="AB78" i="18"/>
  <c r="Y77" i="17"/>
  <c r="X78" i="17"/>
  <c r="Y79" i="16"/>
  <c r="Z78" i="16"/>
  <c r="AA79" i="10"/>
  <c r="AB78" i="10"/>
  <c r="AA77" i="8"/>
  <c r="AB76" i="8"/>
  <c r="AB77" i="6"/>
  <c r="AA78" i="6"/>
  <c r="AB77" i="4"/>
  <c r="AA78" i="4"/>
  <c r="Y78" i="2"/>
  <c r="Z77" i="2"/>
  <c r="Y77" i="1"/>
  <c r="Z76" i="1"/>
  <c r="AA77" i="12"/>
  <c r="Z78" i="12"/>
  <c r="AB77" i="13"/>
  <c r="AA78" i="13"/>
  <c r="Z77" i="14"/>
  <c r="AA76" i="14"/>
  <c r="AB80" i="20" l="1"/>
  <c r="AA81" i="20"/>
  <c r="X80" i="19"/>
  <c r="Y79" i="19"/>
  <c r="AA80" i="18"/>
  <c r="AB79" i="18"/>
  <c r="X79" i="17"/>
  <c r="Y78" i="17"/>
  <c r="Y80" i="16"/>
  <c r="Z79" i="16"/>
  <c r="AB79" i="10"/>
  <c r="AA80" i="10"/>
  <c r="AA78" i="8"/>
  <c r="AB77" i="8"/>
  <c r="AA79" i="6"/>
  <c r="AB78" i="6"/>
  <c r="AB78" i="4"/>
  <c r="AA79" i="4"/>
  <c r="Y79" i="2"/>
  <c r="Z78" i="2"/>
  <c r="Y78" i="1"/>
  <c r="Z77" i="1"/>
  <c r="Z79" i="12"/>
  <c r="AA78" i="12"/>
  <c r="AA79" i="13"/>
  <c r="AB78" i="13"/>
  <c r="AA77" i="14"/>
  <c r="Z78" i="14"/>
  <c r="AB81" i="20" l="1"/>
  <c r="AA82" i="20"/>
  <c r="Y80" i="19"/>
  <c r="X81" i="19"/>
  <c r="AB80" i="18"/>
  <c r="AA81" i="18"/>
  <c r="X80" i="17"/>
  <c r="Y79" i="17"/>
  <c r="Z80" i="16"/>
  <c r="Y81" i="16"/>
  <c r="AA81" i="10"/>
  <c r="AB80" i="10"/>
  <c r="AA79" i="8"/>
  <c r="AB78" i="8"/>
  <c r="AA80" i="6"/>
  <c r="AB79" i="6"/>
  <c r="AA80" i="4"/>
  <c r="AB79" i="4"/>
  <c r="Y80" i="2"/>
  <c r="Z79" i="2"/>
  <c r="Z78" i="1"/>
  <c r="Y79" i="1"/>
  <c r="Z80" i="12"/>
  <c r="AA79" i="12"/>
  <c r="AA80" i="13"/>
  <c r="AB79" i="13"/>
  <c r="AA78" i="14"/>
  <c r="Z79" i="14"/>
  <c r="AA83" i="20" l="1"/>
  <c r="AB82" i="20"/>
  <c r="X82" i="19"/>
  <c r="Y81" i="19"/>
  <c r="AA82" i="18"/>
  <c r="AB81" i="18"/>
  <c r="Y80" i="17"/>
  <c r="X81" i="17"/>
  <c r="Y82" i="16"/>
  <c r="Z81" i="16"/>
  <c r="AA82" i="10"/>
  <c r="AB81" i="10"/>
  <c r="AB79" i="8"/>
  <c r="AA80" i="8"/>
  <c r="AA81" i="6"/>
  <c r="AB80" i="6"/>
  <c r="AA81" i="4"/>
  <c r="AB80" i="4"/>
  <c r="Z80" i="2"/>
  <c r="Y81" i="2"/>
  <c r="Z79" i="1"/>
  <c r="Y80" i="1"/>
  <c r="AA80" i="12"/>
  <c r="Z81" i="12"/>
  <c r="AB80" i="13"/>
  <c r="AA81" i="13"/>
  <c r="Z80" i="14"/>
  <c r="AA79" i="14"/>
  <c r="AA84" i="20" l="1"/>
  <c r="AB83" i="20"/>
  <c r="X83" i="19"/>
  <c r="Y82" i="19"/>
  <c r="AA83" i="18"/>
  <c r="AB82" i="18"/>
  <c r="Y81" i="17"/>
  <c r="X82" i="17"/>
  <c r="Y83" i="16"/>
  <c r="Z82" i="16"/>
  <c r="AA83" i="10"/>
  <c r="AB82" i="10"/>
  <c r="AA81" i="8"/>
  <c r="AB80" i="8"/>
  <c r="AB81" i="6"/>
  <c r="AA82" i="6"/>
  <c r="AA82" i="4"/>
  <c r="AB81" i="4"/>
  <c r="Y82" i="2"/>
  <c r="Z81" i="2"/>
  <c r="Y81" i="1"/>
  <c r="Z80" i="1"/>
  <c r="Z82" i="12"/>
  <c r="AA81" i="12"/>
  <c r="AA82" i="13"/>
  <c r="AB81" i="13"/>
  <c r="Z81" i="14"/>
  <c r="AA80" i="14"/>
  <c r="AB84" i="20" l="1"/>
  <c r="AA85" i="20"/>
  <c r="X84" i="19"/>
  <c r="Y83" i="19"/>
  <c r="AA84" i="18"/>
  <c r="AB83" i="18"/>
  <c r="X83" i="17"/>
  <c r="Y82" i="17"/>
  <c r="Y84" i="16"/>
  <c r="Z83" i="16"/>
  <c r="AB83" i="10"/>
  <c r="AA84" i="10"/>
  <c r="AA82" i="8"/>
  <c r="AB81" i="8"/>
  <c r="AA83" i="6"/>
  <c r="AB82" i="6"/>
  <c r="AA83" i="4"/>
  <c r="AB82" i="4"/>
  <c r="Y83" i="2"/>
  <c r="Z82" i="2"/>
  <c r="Y82" i="1"/>
  <c r="Z81" i="1"/>
  <c r="Z83" i="12"/>
  <c r="AA82" i="12"/>
  <c r="AA83" i="13"/>
  <c r="AB82" i="13"/>
  <c r="AA81" i="14"/>
  <c r="Z82" i="14"/>
  <c r="AB85" i="20" l="1"/>
  <c r="AA86" i="20"/>
  <c r="Y84" i="19"/>
  <c r="X85" i="19"/>
  <c r="AB84" i="18"/>
  <c r="AA85" i="18"/>
  <c r="X84" i="17"/>
  <c r="Y83" i="17"/>
  <c r="Z84" i="16"/>
  <c r="Y85" i="16"/>
  <c r="AA85" i="10"/>
  <c r="AB84" i="10"/>
  <c r="AB82" i="8"/>
  <c r="AA83" i="8"/>
  <c r="AA84" i="6"/>
  <c r="AB83" i="6"/>
  <c r="AA84" i="4"/>
  <c r="AB83" i="4"/>
  <c r="Y84" i="2"/>
  <c r="Z83" i="2"/>
  <c r="Z82" i="1"/>
  <c r="Y83" i="1"/>
  <c r="Z84" i="12"/>
  <c r="AA83" i="12"/>
  <c r="AA84" i="13"/>
  <c r="AB83" i="13"/>
  <c r="AA82" i="14"/>
  <c r="Z83" i="14"/>
  <c r="AA87" i="20" l="1"/>
  <c r="AB86" i="20"/>
  <c r="X86" i="19"/>
  <c r="Y85" i="19"/>
  <c r="AA86" i="18"/>
  <c r="AB85" i="18"/>
  <c r="Y84" i="17"/>
  <c r="X85" i="17"/>
  <c r="Y86" i="16"/>
  <c r="Z85" i="16"/>
  <c r="AA86" i="10"/>
  <c r="AB85" i="10"/>
  <c r="AB83" i="8"/>
  <c r="AA84" i="8"/>
  <c r="AA85" i="6"/>
  <c r="AB84" i="6"/>
  <c r="AB84" i="4"/>
  <c r="AA85" i="4"/>
  <c r="Z84" i="2"/>
  <c r="Y85" i="2"/>
  <c r="Z83" i="1"/>
  <c r="Y84" i="1"/>
  <c r="AA84" i="12"/>
  <c r="Z85" i="12"/>
  <c r="AB84" i="13"/>
  <c r="AA85" i="13"/>
  <c r="Z84" i="14"/>
  <c r="AA83" i="14"/>
  <c r="AA88" i="20" l="1"/>
  <c r="AB87" i="20"/>
  <c r="X87" i="19"/>
  <c r="Y86" i="19"/>
  <c r="AA87" i="18"/>
  <c r="AB86" i="18"/>
  <c r="X86" i="17"/>
  <c r="Y85" i="17"/>
  <c r="Y87" i="16"/>
  <c r="Z86" i="16"/>
  <c r="AA87" i="10"/>
  <c r="AB86" i="10"/>
  <c r="AA85" i="8"/>
  <c r="AB84" i="8"/>
  <c r="AB85" i="6"/>
  <c r="AA86" i="6"/>
  <c r="AA86" i="4"/>
  <c r="AB85" i="4"/>
  <c r="Y86" i="2"/>
  <c r="Z85" i="2"/>
  <c r="Y85" i="1"/>
  <c r="Z84" i="1"/>
  <c r="AA85" i="12"/>
  <c r="Z86" i="12"/>
  <c r="AB85" i="13"/>
  <c r="AA86" i="13"/>
  <c r="Z85" i="14"/>
  <c r="AA84" i="14"/>
  <c r="AB88" i="20" l="1"/>
  <c r="AA89" i="20"/>
  <c r="X88" i="19"/>
  <c r="Y87" i="19"/>
  <c r="AA88" i="18"/>
  <c r="AB87" i="18"/>
  <c r="X87" i="17"/>
  <c r="Y86" i="17"/>
  <c r="Y88" i="16"/>
  <c r="Z87" i="16"/>
  <c r="AB87" i="10"/>
  <c r="AA88" i="10"/>
  <c r="AA86" i="8"/>
  <c r="AB85" i="8"/>
  <c r="AA87" i="6"/>
  <c r="AB86" i="6"/>
  <c r="AA87" i="4"/>
  <c r="AB86" i="4"/>
  <c r="Y87" i="2"/>
  <c r="Z86" i="2"/>
  <c r="Y86" i="1"/>
  <c r="Z85" i="1"/>
  <c r="Z87" i="12"/>
  <c r="AA86" i="12"/>
  <c r="AA87" i="13"/>
  <c r="AB86" i="13"/>
  <c r="AA85" i="14"/>
  <c r="Z86" i="14"/>
  <c r="AB89" i="20" l="1"/>
  <c r="AA90" i="20"/>
  <c r="Y88" i="19"/>
  <c r="X89" i="19"/>
  <c r="AB88" i="18"/>
  <c r="AA89" i="18"/>
  <c r="X88" i="17"/>
  <c r="Y87" i="17"/>
  <c r="Z88" i="16"/>
  <c r="Y89" i="16"/>
  <c r="AA89" i="10"/>
  <c r="AB88" i="10"/>
  <c r="AB86" i="8"/>
  <c r="AA87" i="8"/>
  <c r="AA88" i="6"/>
  <c r="AB87" i="6"/>
  <c r="AA88" i="4"/>
  <c r="AB87" i="4"/>
  <c r="Y88" i="2"/>
  <c r="Z87" i="2"/>
  <c r="Y87" i="1"/>
  <c r="Z86" i="1"/>
  <c r="Z88" i="12"/>
  <c r="AA87" i="12"/>
  <c r="AA88" i="13"/>
  <c r="AB87" i="13"/>
  <c r="AA86" i="14"/>
  <c r="Z87" i="14"/>
  <c r="AA91" i="20" l="1"/>
  <c r="AB90" i="20"/>
  <c r="X90" i="19"/>
  <c r="Y89" i="19"/>
  <c r="AA90" i="18"/>
  <c r="AB89" i="18"/>
  <c r="Y88" i="17"/>
  <c r="X89" i="17"/>
  <c r="Y90" i="16"/>
  <c r="Z89" i="16"/>
  <c r="AA90" i="10"/>
  <c r="AB89" i="10"/>
  <c r="AB87" i="8"/>
  <c r="AA88" i="8"/>
  <c r="AA89" i="6"/>
  <c r="AB88" i="6"/>
  <c r="AB88" i="4"/>
  <c r="AA89" i="4"/>
  <c r="Z88" i="2"/>
  <c r="Y89" i="2"/>
  <c r="Z87" i="1"/>
  <c r="Y88" i="1"/>
  <c r="AA88" i="12"/>
  <c r="Z89" i="12"/>
  <c r="AB88" i="13"/>
  <c r="AA89" i="13"/>
  <c r="Z88" i="14"/>
  <c r="AA87" i="14"/>
  <c r="AA92" i="20" l="1"/>
  <c r="AB91" i="20"/>
  <c r="X91" i="19"/>
  <c r="Y90" i="19"/>
  <c r="AA91" i="18"/>
  <c r="AB90" i="18"/>
  <c r="Y89" i="17"/>
  <c r="X90" i="17"/>
  <c r="Y91" i="16"/>
  <c r="Z90" i="16"/>
  <c r="AA91" i="10"/>
  <c r="AB90" i="10"/>
  <c r="AA89" i="8"/>
  <c r="AB88" i="8"/>
  <c r="AB89" i="6"/>
  <c r="AA90" i="6"/>
  <c r="AB89" i="4"/>
  <c r="AA90" i="4"/>
  <c r="Y90" i="2"/>
  <c r="Z89" i="2"/>
  <c r="Y89" i="1"/>
  <c r="Z88" i="1"/>
  <c r="Z90" i="12"/>
  <c r="AA89" i="12"/>
  <c r="AA90" i="13"/>
  <c r="AB89" i="13"/>
  <c r="Z89" i="14"/>
  <c r="AA88" i="14"/>
  <c r="AB92" i="20" l="1"/>
  <c r="AA93" i="20"/>
  <c r="X92" i="19"/>
  <c r="Y91" i="19"/>
  <c r="AA92" i="18"/>
  <c r="AB91" i="18"/>
  <c r="X91" i="17"/>
  <c r="Y90" i="17"/>
  <c r="Y92" i="16"/>
  <c r="Z91" i="16"/>
  <c r="AB91" i="10"/>
  <c r="AA92" i="10"/>
  <c r="AA90" i="8"/>
  <c r="AB89" i="8"/>
  <c r="AA91" i="6"/>
  <c r="AB90" i="6"/>
  <c r="AA91" i="4"/>
  <c r="AB90" i="4"/>
  <c r="Y91" i="2"/>
  <c r="Z90" i="2"/>
  <c r="Y90" i="1"/>
  <c r="Z89" i="1"/>
  <c r="Z91" i="12"/>
  <c r="AA90" i="12"/>
  <c r="AA91" i="13"/>
  <c r="AB90" i="13"/>
  <c r="AA89" i="14"/>
  <c r="Z90" i="14"/>
  <c r="AB93" i="20" l="1"/>
  <c r="AA94" i="20"/>
  <c r="Y92" i="19"/>
  <c r="X93" i="19"/>
  <c r="AB92" i="18"/>
  <c r="AA93" i="18"/>
  <c r="X92" i="17"/>
  <c r="Y91" i="17"/>
  <c r="Z92" i="16"/>
  <c r="Y93" i="16"/>
  <c r="AA93" i="10"/>
  <c r="AB92" i="10"/>
  <c r="AA91" i="8"/>
  <c r="AB90" i="8"/>
  <c r="AA92" i="6"/>
  <c r="AB91" i="6"/>
  <c r="AA92" i="4"/>
  <c r="AB91" i="4"/>
  <c r="Y92" i="2"/>
  <c r="Z91" i="2"/>
  <c r="Z90" i="1"/>
  <c r="Y91" i="1"/>
  <c r="Z92" i="12"/>
  <c r="AA91" i="12"/>
  <c r="AA92" i="13"/>
  <c r="AB91" i="13"/>
  <c r="AA90" i="14"/>
  <c r="Z91" i="14"/>
  <c r="AA95" i="20" l="1"/>
  <c r="AB94" i="20"/>
  <c r="X94" i="19"/>
  <c r="Y93" i="19"/>
  <c r="AA94" i="18"/>
  <c r="AB93" i="18"/>
  <c r="Y92" i="17"/>
  <c r="X93" i="17"/>
  <c r="Y94" i="16"/>
  <c r="Z93" i="16"/>
  <c r="AA94" i="10"/>
  <c r="AB93" i="10"/>
  <c r="AB91" i="8"/>
  <c r="AA92" i="8"/>
  <c r="AA93" i="6"/>
  <c r="AB92" i="6"/>
  <c r="AA93" i="4"/>
  <c r="AB92" i="4"/>
  <c r="Z92" i="2"/>
  <c r="Y93" i="2"/>
  <c r="Z91" i="1"/>
  <c r="Y92" i="1"/>
  <c r="AA92" i="12"/>
  <c r="Z93" i="12"/>
  <c r="AB92" i="13"/>
  <c r="AA93" i="13"/>
  <c r="Z92" i="14"/>
  <c r="AA91" i="14"/>
  <c r="AA96" i="20" l="1"/>
  <c r="AB95" i="20"/>
  <c r="X95" i="19"/>
  <c r="Y94" i="19"/>
  <c r="AA95" i="18"/>
  <c r="AB94" i="18"/>
  <c r="X94" i="17"/>
  <c r="Y93" i="17"/>
  <c r="Y95" i="16"/>
  <c r="Z94" i="16"/>
  <c r="AA95" i="10"/>
  <c r="AB94" i="10"/>
  <c r="AA93" i="8"/>
  <c r="AB92" i="8"/>
  <c r="AB93" i="6"/>
  <c r="AA94" i="6"/>
  <c r="AA94" i="4"/>
  <c r="AB93" i="4"/>
  <c r="Y94" i="2"/>
  <c r="Z93" i="2"/>
  <c r="Y93" i="1"/>
  <c r="Z92" i="1"/>
  <c r="AA93" i="12"/>
  <c r="Z94" i="12"/>
  <c r="AB93" i="13"/>
  <c r="AA94" i="13"/>
  <c r="Z93" i="14"/>
  <c r="AA92" i="14"/>
  <c r="AB96" i="20" l="1"/>
  <c r="AA97" i="20"/>
  <c r="X96" i="19"/>
  <c r="Y95" i="19"/>
  <c r="AA96" i="18"/>
  <c r="AB95" i="18"/>
  <c r="X95" i="17"/>
  <c r="Y94" i="17"/>
  <c r="Y96" i="16"/>
  <c r="Z95" i="16"/>
  <c r="AB95" i="10"/>
  <c r="AA96" i="10"/>
  <c r="AA94" i="8"/>
  <c r="AB93" i="8"/>
  <c r="AA95" i="6"/>
  <c r="AB94" i="6"/>
  <c r="AA95" i="4"/>
  <c r="AB94" i="4"/>
  <c r="Y95" i="2"/>
  <c r="Z94" i="2"/>
  <c r="Y94" i="1"/>
  <c r="Z93" i="1"/>
  <c r="Z95" i="12"/>
  <c r="AA94" i="12"/>
  <c r="AA95" i="13"/>
  <c r="AB94" i="13"/>
  <c r="AA93" i="14"/>
  <c r="Z94" i="14"/>
  <c r="AB97" i="20" l="1"/>
  <c r="AA98" i="20"/>
  <c r="Y96" i="19"/>
  <c r="X97" i="19"/>
  <c r="AB96" i="18"/>
  <c r="AA97" i="18"/>
  <c r="X96" i="17"/>
  <c r="Y95" i="17"/>
  <c r="Z96" i="16"/>
  <c r="Y97" i="16"/>
  <c r="AA97" i="10"/>
  <c r="AB96" i="10"/>
  <c r="AB94" i="8"/>
  <c r="AA95" i="8"/>
  <c r="AA96" i="6"/>
  <c r="AB95" i="6"/>
  <c r="AA96" i="4"/>
  <c r="AB95" i="4"/>
  <c r="Y96" i="2"/>
  <c r="Z95" i="2"/>
  <c r="Z94" i="1"/>
  <c r="Y95" i="1"/>
  <c r="Z96" i="12"/>
  <c r="AA95" i="12"/>
  <c r="AA96" i="13"/>
  <c r="AB95" i="13"/>
  <c r="AA94" i="14"/>
  <c r="Z95" i="14"/>
  <c r="AA99" i="20" l="1"/>
  <c r="AB98" i="20"/>
  <c r="X98" i="19"/>
  <c r="Y97" i="19"/>
  <c r="AA98" i="18"/>
  <c r="AB97" i="18"/>
  <c r="Y96" i="17"/>
  <c r="X97" i="17"/>
  <c r="Y98" i="16"/>
  <c r="Z97" i="16"/>
  <c r="AA98" i="10"/>
  <c r="AB97" i="10"/>
  <c r="AB95" i="8"/>
  <c r="AA96" i="8"/>
  <c r="AA97" i="6"/>
  <c r="AB96" i="6"/>
  <c r="AB96" i="4"/>
  <c r="AA97" i="4"/>
  <c r="Z96" i="2"/>
  <c r="Y97" i="2"/>
  <c r="Z95" i="1"/>
  <c r="Y96" i="1"/>
  <c r="AA96" i="12"/>
  <c r="Z97" i="12"/>
  <c r="AB96" i="13"/>
  <c r="AA97" i="13"/>
  <c r="Z96" i="14"/>
  <c r="AA95" i="14"/>
  <c r="AA100" i="20" l="1"/>
  <c r="AB99" i="20"/>
  <c r="X99" i="19"/>
  <c r="Y98" i="19"/>
  <c r="AA99" i="18"/>
  <c r="AB98" i="18"/>
  <c r="Y97" i="17"/>
  <c r="X98" i="17"/>
  <c r="Y99" i="16"/>
  <c r="Z98" i="16"/>
  <c r="AA99" i="10"/>
  <c r="AB98" i="10"/>
  <c r="AB96" i="8"/>
  <c r="AA97" i="8"/>
  <c r="AB97" i="6"/>
  <c r="AA98" i="6"/>
  <c r="AA98" i="4"/>
  <c r="AB97" i="4"/>
  <c r="Y98" i="2"/>
  <c r="Z97" i="2"/>
  <c r="Y97" i="1"/>
  <c r="Z96" i="1"/>
  <c r="AA97" i="12"/>
  <c r="Z98" i="12"/>
  <c r="AA98" i="13"/>
  <c r="AB97" i="13"/>
  <c r="Z97" i="14"/>
  <c r="AA96" i="14"/>
  <c r="AB100" i="20" l="1"/>
  <c r="AA101" i="20"/>
  <c r="X100" i="19"/>
  <c r="Y99" i="19"/>
  <c r="AA100" i="18"/>
  <c r="AB99" i="18"/>
  <c r="X99" i="17"/>
  <c r="Y98" i="17"/>
  <c r="Y100" i="16"/>
  <c r="Z99" i="16"/>
  <c r="AB99" i="10"/>
  <c r="AA100" i="10"/>
  <c r="AA98" i="8"/>
  <c r="AB97" i="8"/>
  <c r="AA99" i="6"/>
  <c r="AB98" i="6"/>
  <c r="AB98" i="4"/>
  <c r="AA99" i="4"/>
  <c r="Y99" i="2"/>
  <c r="Z98" i="2"/>
  <c r="Y98" i="1"/>
  <c r="Z97" i="1"/>
  <c r="Z99" i="12"/>
  <c r="AA98" i="12"/>
  <c r="AA99" i="13"/>
  <c r="AB98" i="13"/>
  <c r="AA97" i="14"/>
  <c r="Z98" i="14"/>
  <c r="AB101" i="20" l="1"/>
  <c r="AA102" i="20"/>
  <c r="Y100" i="19"/>
  <c r="X101" i="19"/>
  <c r="AB100" i="18"/>
  <c r="AA101" i="18"/>
  <c r="X100" i="17"/>
  <c r="Y99" i="17"/>
  <c r="Z100" i="16"/>
  <c r="Y101" i="16"/>
  <c r="AA101" i="10"/>
  <c r="AB100" i="10"/>
  <c r="AB98" i="8"/>
  <c r="AA99" i="8"/>
  <c r="AA100" i="6"/>
  <c r="AB99" i="6"/>
  <c r="AA100" i="4"/>
  <c r="AB99" i="4"/>
  <c r="Y100" i="2"/>
  <c r="Z99" i="2"/>
  <c r="Y99" i="1"/>
  <c r="Z98" i="1"/>
  <c r="Z100" i="12"/>
  <c r="AA99" i="12"/>
  <c r="AA100" i="13"/>
  <c r="AB99" i="13"/>
  <c r="AA98" i="14"/>
  <c r="Z99" i="14"/>
  <c r="AA103" i="20" l="1"/>
  <c r="AB102" i="20"/>
  <c r="X102" i="19"/>
  <c r="Y101" i="19"/>
  <c r="AA102" i="18"/>
  <c r="AB101" i="18"/>
  <c r="Y100" i="17"/>
  <c r="X101" i="17"/>
  <c r="Y102" i="16"/>
  <c r="Z101" i="16"/>
  <c r="AA102" i="10"/>
  <c r="AB101" i="10"/>
  <c r="AB99" i="8"/>
  <c r="AA100" i="8"/>
  <c r="AA101" i="6"/>
  <c r="AB100" i="6"/>
  <c r="AA101" i="4"/>
  <c r="AB100" i="4"/>
  <c r="Z100" i="2"/>
  <c r="Y101" i="2"/>
  <c r="Z99" i="1"/>
  <c r="Y100" i="1"/>
  <c r="AA100" i="12"/>
  <c r="Z101" i="12"/>
  <c r="AB100" i="13"/>
  <c r="AA101" i="13"/>
  <c r="Z100" i="14"/>
  <c r="AA99" i="14"/>
  <c r="AA104" i="20" l="1"/>
  <c r="AB103" i="20"/>
  <c r="X103" i="19"/>
  <c r="Y102" i="19"/>
  <c r="AA103" i="18"/>
  <c r="AB102" i="18"/>
  <c r="X102" i="17"/>
  <c r="Y101" i="17"/>
  <c r="Y103" i="16"/>
  <c r="Z102" i="16"/>
  <c r="AA103" i="10"/>
  <c r="AB102" i="10"/>
  <c r="AA101" i="8"/>
  <c r="AB100" i="8"/>
  <c r="AB101" i="6"/>
  <c r="AA102" i="6"/>
  <c r="AA102" i="4"/>
  <c r="AB101" i="4"/>
  <c r="Y102" i="2"/>
  <c r="Z101" i="2"/>
  <c r="Y101" i="1"/>
  <c r="Z100" i="1"/>
  <c r="Z102" i="12"/>
  <c r="AA101" i="12"/>
  <c r="AB101" i="13"/>
  <c r="AA102" i="13"/>
  <c r="Z101" i="14"/>
  <c r="AA100" i="14"/>
  <c r="AB104" i="20" l="1"/>
  <c r="AA105" i="20"/>
  <c r="X104" i="19"/>
  <c r="Y103" i="19"/>
  <c r="AA104" i="18"/>
  <c r="AB103" i="18"/>
  <c r="X103" i="17"/>
  <c r="Y102" i="17"/>
  <c r="Y104" i="16"/>
  <c r="Z103" i="16"/>
  <c r="AB103" i="10"/>
  <c r="AA104" i="10"/>
  <c r="AA102" i="8"/>
  <c r="AB101" i="8"/>
  <c r="AA103" i="6"/>
  <c r="AB102" i="6"/>
  <c r="AA103" i="4"/>
  <c r="AB102" i="4"/>
  <c r="Y103" i="2"/>
  <c r="Z102" i="2"/>
  <c r="Y102" i="1"/>
  <c r="Z101" i="1"/>
  <c r="Z103" i="12"/>
  <c r="AA102" i="12"/>
  <c r="AA103" i="13"/>
  <c r="AB102" i="13"/>
  <c r="AA101" i="14"/>
  <c r="Z102" i="14"/>
  <c r="AA106" i="20" l="1"/>
  <c r="AB105" i="20"/>
  <c r="Y104" i="19"/>
  <c r="X105" i="19"/>
  <c r="AB104" i="18"/>
  <c r="AA105" i="18"/>
  <c r="X104" i="17"/>
  <c r="Y103" i="17"/>
  <c r="Z104" i="16"/>
  <c r="Y105" i="16"/>
  <c r="AA105" i="10"/>
  <c r="AB104" i="10"/>
  <c r="AA103" i="8"/>
  <c r="AB102" i="8"/>
  <c r="AA104" i="6"/>
  <c r="AB103" i="6"/>
  <c r="AA104" i="4"/>
  <c r="AB103" i="4"/>
  <c r="Y104" i="2"/>
  <c r="Z103" i="2"/>
  <c r="Z102" i="1"/>
  <c r="Y103" i="1"/>
  <c r="Z104" i="12"/>
  <c r="AA103" i="12"/>
  <c r="AA104" i="13"/>
  <c r="AB103" i="13"/>
  <c r="AA102" i="14"/>
  <c r="Z103" i="14"/>
  <c r="AA107" i="20" l="1"/>
  <c r="AB106" i="20"/>
  <c r="X106" i="19"/>
  <c r="Y105" i="19"/>
  <c r="AA106" i="18"/>
  <c r="AB105" i="18"/>
  <c r="Y104" i="17"/>
  <c r="X105" i="17"/>
  <c r="Y106" i="16"/>
  <c r="Z105" i="16"/>
  <c r="AA106" i="10"/>
  <c r="AB105" i="10"/>
  <c r="AB103" i="8"/>
  <c r="AA104" i="8"/>
  <c r="AA105" i="6"/>
  <c r="AB104" i="6"/>
  <c r="AB104" i="4"/>
  <c r="AA105" i="4"/>
  <c r="Z104" i="2"/>
  <c r="Y105" i="2"/>
  <c r="Z103" i="1"/>
  <c r="Y104" i="1"/>
  <c r="AA104" i="12"/>
  <c r="Z105" i="12"/>
  <c r="AB104" i="13"/>
  <c r="AA105" i="13"/>
  <c r="Z104" i="14"/>
  <c r="AA103" i="14"/>
  <c r="AA108" i="20" l="1"/>
  <c r="AB107" i="20"/>
  <c r="X107" i="19"/>
  <c r="Y106" i="19"/>
  <c r="AA107" i="18"/>
  <c r="AB106" i="18"/>
  <c r="Y105" i="17"/>
  <c r="X106" i="17"/>
  <c r="Y107" i="16"/>
  <c r="Z106" i="16"/>
  <c r="AA107" i="10"/>
  <c r="AB106" i="10"/>
  <c r="AB104" i="8"/>
  <c r="AA105" i="8"/>
  <c r="AB105" i="6"/>
  <c r="AA106" i="6"/>
  <c r="AA106" i="4"/>
  <c r="AB105" i="4"/>
  <c r="Y106" i="2"/>
  <c r="Z105" i="2"/>
  <c r="Y105" i="1"/>
  <c r="Z104" i="1"/>
  <c r="AA105" i="12"/>
  <c r="Z106" i="12"/>
  <c r="AB105" i="13"/>
  <c r="AA106" i="13"/>
  <c r="Z105" i="14"/>
  <c r="AA104" i="14"/>
  <c r="AB108" i="20" l="1"/>
  <c r="AA109" i="20"/>
  <c r="X108" i="19"/>
  <c r="Y107" i="19"/>
  <c r="AA108" i="18"/>
  <c r="AB107" i="18"/>
  <c r="X107" i="17"/>
  <c r="Y106" i="17"/>
  <c r="Y108" i="16"/>
  <c r="Z107" i="16"/>
  <c r="AB107" i="10"/>
  <c r="AA108" i="10"/>
  <c r="AA106" i="8"/>
  <c r="AB105" i="8"/>
  <c r="AA107" i="6"/>
  <c r="AB106" i="6"/>
  <c r="AA107" i="4"/>
  <c r="AB106" i="4"/>
  <c r="Y107" i="2"/>
  <c r="Z106" i="2"/>
  <c r="Y106" i="1"/>
  <c r="Z105" i="1"/>
  <c r="Z107" i="12"/>
  <c r="AA106" i="12"/>
  <c r="AA107" i="13"/>
  <c r="AB106" i="13"/>
  <c r="AA105" i="14"/>
  <c r="Z106" i="14"/>
  <c r="AB109" i="20" l="1"/>
  <c r="AA110" i="20"/>
  <c r="Y108" i="19"/>
  <c r="X109" i="19"/>
  <c r="AB108" i="18"/>
  <c r="AA109" i="18"/>
  <c r="X108" i="17"/>
  <c r="Y107" i="17"/>
  <c r="Z108" i="16"/>
  <c r="Y109" i="16"/>
  <c r="AA109" i="10"/>
  <c r="AB108" i="10"/>
  <c r="AB106" i="8"/>
  <c r="AA107" i="8"/>
  <c r="AA108" i="6"/>
  <c r="AB107" i="6"/>
  <c r="AA108" i="4"/>
  <c r="AB107" i="4"/>
  <c r="Y108" i="2"/>
  <c r="Z107" i="2"/>
  <c r="Z106" i="1"/>
  <c r="Y107" i="1"/>
  <c r="Z108" i="12"/>
  <c r="AA107" i="12"/>
  <c r="AA108" i="13"/>
  <c r="AB107" i="13"/>
  <c r="AA106" i="14"/>
  <c r="Z107" i="14"/>
  <c r="AA111" i="20" l="1"/>
  <c r="AB110" i="20"/>
  <c r="X110" i="19"/>
  <c r="Y109" i="19"/>
  <c r="AA110" i="18"/>
  <c r="AB109" i="18"/>
  <c r="Y108" i="17"/>
  <c r="X109" i="17"/>
  <c r="Y110" i="16"/>
  <c r="Z109" i="16"/>
  <c r="AA110" i="10"/>
  <c r="AB109" i="10"/>
  <c r="AB107" i="8"/>
  <c r="AA108" i="8"/>
  <c r="AA109" i="6"/>
  <c r="AB108" i="6"/>
  <c r="AA109" i="4"/>
  <c r="AB108" i="4"/>
  <c r="Z108" i="2"/>
  <c r="Y109" i="2"/>
  <c r="Z107" i="1"/>
  <c r="Y108" i="1"/>
  <c r="AA108" i="12"/>
  <c r="Z109" i="12"/>
  <c r="AB108" i="13"/>
  <c r="AA109" i="13"/>
  <c r="Z108" i="14"/>
  <c r="AA107" i="14"/>
  <c r="AA112" i="20" l="1"/>
  <c r="AB111" i="20"/>
  <c r="X111" i="19"/>
  <c r="Y110" i="19"/>
  <c r="AA111" i="18"/>
  <c r="AB110" i="18"/>
  <c r="Y109" i="17"/>
  <c r="X110" i="17"/>
  <c r="Y111" i="16"/>
  <c r="Z110" i="16"/>
  <c r="AA111" i="10"/>
  <c r="AB110" i="10"/>
  <c r="AA109" i="8"/>
  <c r="AB108" i="8"/>
  <c r="AB109" i="6"/>
  <c r="AA110" i="6"/>
  <c r="AB109" i="4"/>
  <c r="AA110" i="4"/>
  <c r="Y110" i="2"/>
  <c r="Z109" i="2"/>
  <c r="Y109" i="1"/>
  <c r="Z108" i="1"/>
  <c r="Z110" i="12"/>
  <c r="AA109" i="12"/>
  <c r="AB109" i="13"/>
  <c r="AA110" i="13"/>
  <c r="Z109" i="14"/>
  <c r="AA108" i="14"/>
  <c r="AB112" i="20" l="1"/>
  <c r="AA113" i="20"/>
  <c r="X112" i="19"/>
  <c r="Y111" i="19"/>
  <c r="AA112" i="18"/>
  <c r="AB111" i="18"/>
  <c r="X111" i="17"/>
  <c r="Y110" i="17"/>
  <c r="Y112" i="16"/>
  <c r="Z111" i="16"/>
  <c r="AB111" i="10"/>
  <c r="AA112" i="10"/>
  <c r="AA110" i="8"/>
  <c r="AB109" i="8"/>
  <c r="AA111" i="6"/>
  <c r="AB110" i="6"/>
  <c r="AA111" i="4"/>
  <c r="AB110" i="4"/>
  <c r="Y111" i="2"/>
  <c r="Z110" i="2"/>
  <c r="Y110" i="1"/>
  <c r="Z109" i="1"/>
  <c r="Z111" i="12"/>
  <c r="AA110" i="12"/>
  <c r="AA111" i="13"/>
  <c r="AB110" i="13"/>
  <c r="AA109" i="14"/>
  <c r="Z110" i="14"/>
  <c r="AB113" i="20" l="1"/>
  <c r="AA114" i="20"/>
  <c r="Y112" i="19"/>
  <c r="X113" i="19"/>
  <c r="AB112" i="18"/>
  <c r="AA113" i="18"/>
  <c r="X112" i="17"/>
  <c r="Y111" i="17"/>
  <c r="Z112" i="16"/>
  <c r="Y113" i="16"/>
  <c r="AA113" i="10"/>
  <c r="AB112" i="10"/>
  <c r="AB110" i="8"/>
  <c r="AA111" i="8"/>
  <c r="AA112" i="6"/>
  <c r="AB111" i="6"/>
  <c r="AA112" i="4"/>
  <c r="AB111" i="4"/>
  <c r="Y112" i="2"/>
  <c r="Z111" i="2"/>
  <c r="Z110" i="1"/>
  <c r="Y111" i="1"/>
  <c r="Z112" i="12"/>
  <c r="AA111" i="12"/>
  <c r="AA112" i="13"/>
  <c r="AB111" i="13"/>
  <c r="AA110" i="14"/>
  <c r="Z111" i="14"/>
  <c r="AA115" i="20" l="1"/>
  <c r="AB114" i="20"/>
  <c r="X114" i="19"/>
  <c r="Y113" i="19"/>
  <c r="AA114" i="18"/>
  <c r="AB113" i="18"/>
  <c r="Y112" i="17"/>
  <c r="X113" i="17"/>
  <c r="Y114" i="16"/>
  <c r="Z113" i="16"/>
  <c r="AA114" i="10"/>
  <c r="AB113" i="10"/>
  <c r="AB111" i="8"/>
  <c r="AA112" i="8"/>
  <c r="AA113" i="6"/>
  <c r="AB112" i="6"/>
  <c r="AB112" i="4"/>
  <c r="AA113" i="4"/>
  <c r="Z112" i="2"/>
  <c r="Y113" i="2"/>
  <c r="Z111" i="1"/>
  <c r="Y112" i="1"/>
  <c r="AA112" i="12"/>
  <c r="Z113" i="12"/>
  <c r="AB112" i="13"/>
  <c r="AA113" i="13"/>
  <c r="Z112" i="14"/>
  <c r="AA111" i="14"/>
  <c r="AA116" i="20" l="1"/>
  <c r="AB115" i="20"/>
  <c r="X115" i="19"/>
  <c r="Y114" i="19"/>
  <c r="AA115" i="18"/>
  <c r="AB114" i="18"/>
  <c r="Y113" i="17"/>
  <c r="X114" i="17"/>
  <c r="Y115" i="16"/>
  <c r="Z114" i="16"/>
  <c r="AA115" i="10"/>
  <c r="AB114" i="10"/>
  <c r="AB112" i="8"/>
  <c r="AA113" i="8"/>
  <c r="AB113" i="6"/>
  <c r="AA114" i="6"/>
  <c r="AA114" i="4"/>
  <c r="AB113" i="4"/>
  <c r="Y114" i="2"/>
  <c r="Z113" i="2"/>
  <c r="Y113" i="1"/>
  <c r="Z112" i="1"/>
  <c r="AA113" i="12"/>
  <c r="Z114" i="12"/>
  <c r="AB113" i="13"/>
  <c r="AA114" i="13"/>
  <c r="Z113" i="14"/>
  <c r="AA112" i="14"/>
  <c r="AB116" i="20" l="1"/>
  <c r="AA117" i="20"/>
  <c r="X116" i="19"/>
  <c r="Y115" i="19"/>
  <c r="AA116" i="18"/>
  <c r="AB115" i="18"/>
  <c r="X115" i="17"/>
  <c r="Y114" i="17"/>
  <c r="Y116" i="16"/>
  <c r="Z115" i="16"/>
  <c r="AB115" i="10"/>
  <c r="AA116" i="10"/>
  <c r="AA114" i="8"/>
  <c r="AB113" i="8"/>
  <c r="AA115" i="6"/>
  <c r="AB114" i="6"/>
  <c r="AA115" i="4"/>
  <c r="AB114" i="4"/>
  <c r="Y115" i="2"/>
  <c r="Z114" i="2"/>
  <c r="Y114" i="1"/>
  <c r="Z113" i="1"/>
  <c r="Z115" i="12"/>
  <c r="AA114" i="12"/>
  <c r="AA115" i="13"/>
  <c r="AB114" i="13"/>
  <c r="AA113" i="14"/>
  <c r="Z114" i="14"/>
  <c r="AB117" i="20" l="1"/>
  <c r="AA118" i="20"/>
  <c r="Y116" i="19"/>
  <c r="X117" i="19"/>
  <c r="AB116" i="18"/>
  <c r="AA117" i="18"/>
  <c r="X116" i="17"/>
  <c r="Y115" i="17"/>
  <c r="Z116" i="16"/>
  <c r="Y117" i="16"/>
  <c r="AA117" i="10"/>
  <c r="AB116" i="10"/>
  <c r="AB114" i="8"/>
  <c r="AA115" i="8"/>
  <c r="AB115" i="6"/>
  <c r="AA116" i="6"/>
  <c r="AA116" i="4"/>
  <c r="AB115" i="4"/>
  <c r="Y116" i="2"/>
  <c r="Z115" i="2"/>
  <c r="Z114" i="1"/>
  <c r="Y115" i="1"/>
  <c r="Z116" i="12"/>
  <c r="AA115" i="12"/>
  <c r="AA116" i="13"/>
  <c r="AB115" i="13"/>
  <c r="AA114" i="14"/>
  <c r="Z115" i="14"/>
  <c r="AA119" i="20" l="1"/>
  <c r="AB118" i="20"/>
  <c r="X118" i="19"/>
  <c r="Y117" i="19"/>
  <c r="AA118" i="18"/>
  <c r="AB117" i="18"/>
  <c r="Y116" i="17"/>
  <c r="X117" i="17"/>
  <c r="Y118" i="16"/>
  <c r="Z117" i="16"/>
  <c r="AA118" i="10"/>
  <c r="AB117" i="10"/>
  <c r="AB115" i="8"/>
  <c r="AA116" i="8"/>
  <c r="AA117" i="6"/>
  <c r="AB116" i="6"/>
  <c r="AA117" i="4"/>
  <c r="AB116" i="4"/>
  <c r="Z116" i="2"/>
  <c r="Y117" i="2"/>
  <c r="Z115" i="1"/>
  <c r="Y116" i="1"/>
  <c r="AA116" i="12"/>
  <c r="Z117" i="12"/>
  <c r="AB116" i="13"/>
  <c r="AA117" i="13"/>
  <c r="Z116" i="14"/>
  <c r="AA115" i="14"/>
  <c r="AA120" i="20" l="1"/>
  <c r="AB120" i="20" s="1"/>
  <c r="AB119" i="20"/>
  <c r="X119" i="19"/>
  <c r="Y118" i="19"/>
  <c r="AA119" i="18"/>
  <c r="AB118" i="18"/>
  <c r="X118" i="17"/>
  <c r="Y117" i="17"/>
  <c r="Y119" i="16"/>
  <c r="Z118" i="16"/>
  <c r="AA119" i="10"/>
  <c r="AB118" i="10"/>
  <c r="AA117" i="8"/>
  <c r="AB116" i="8"/>
  <c r="AB117" i="6"/>
  <c r="AA118" i="6"/>
  <c r="AA118" i="4"/>
  <c r="AB117" i="4"/>
  <c r="Y118" i="2"/>
  <c r="Z117" i="2"/>
  <c r="Y117" i="1"/>
  <c r="Z116" i="1"/>
  <c r="AA117" i="12"/>
  <c r="Z118" i="12"/>
  <c r="AA118" i="13"/>
  <c r="AB117" i="13"/>
  <c r="Z117" i="14"/>
  <c r="AA116" i="14"/>
  <c r="X120" i="19" l="1"/>
  <c r="Y120" i="19" s="1"/>
  <c r="Y119" i="19"/>
  <c r="AA120" i="18"/>
  <c r="AB120" i="18" s="1"/>
  <c r="AB119" i="18"/>
  <c r="X119" i="17"/>
  <c r="Y118" i="17"/>
  <c r="Y120" i="16"/>
  <c r="Z120" i="16" s="1"/>
  <c r="Z119" i="16"/>
  <c r="AB119" i="10"/>
  <c r="AA120" i="10"/>
  <c r="AB120" i="10" s="1"/>
  <c r="AA118" i="8"/>
  <c r="AB117" i="8"/>
  <c r="AA119" i="6"/>
  <c r="AB118" i="6"/>
  <c r="AA119" i="4"/>
  <c r="AB118" i="4"/>
  <c r="Y119" i="2"/>
  <c r="Z118" i="2"/>
  <c r="Y118" i="1"/>
  <c r="Z117" i="1"/>
  <c r="Z119" i="12"/>
  <c r="AA118" i="12"/>
  <c r="AA119" i="13"/>
  <c r="AB118" i="13"/>
  <c r="AA117" i="14"/>
  <c r="Z118" i="14"/>
  <c r="X120" i="17" l="1"/>
  <c r="Y120" i="17" s="1"/>
  <c r="Y119" i="17"/>
  <c r="AA119" i="8"/>
  <c r="AB118" i="8"/>
  <c r="AA120" i="6"/>
  <c r="AB120" i="6" s="1"/>
  <c r="AB119" i="6"/>
  <c r="AA120" i="4"/>
  <c r="AB120" i="4" s="1"/>
  <c r="AB119" i="4"/>
  <c r="Y120" i="2"/>
  <c r="Z120" i="2" s="1"/>
  <c r="Z119" i="2"/>
  <c r="Y119" i="1"/>
  <c r="Z118" i="1"/>
  <c r="Z120" i="12"/>
  <c r="AA120" i="12" s="1"/>
  <c r="AA119" i="12"/>
  <c r="AA120" i="13"/>
  <c r="AB120" i="13" s="1"/>
  <c r="AB119" i="13"/>
  <c r="AA118" i="14"/>
  <c r="Z119" i="14"/>
  <c r="AB119" i="8" l="1"/>
  <c r="AA120" i="8"/>
  <c r="AB120" i="8" s="1"/>
  <c r="Z119" i="1"/>
  <c r="Y120" i="1"/>
  <c r="Z120" i="1" s="1"/>
  <c r="Z120" i="14"/>
  <c r="AA120" i="14" s="1"/>
  <c r="AA119" i="14"/>
</calcChain>
</file>

<file path=xl/sharedStrings.xml><?xml version="1.0" encoding="utf-8"?>
<sst xmlns="http://schemas.openxmlformats.org/spreadsheetml/2006/main" count="39082" uniqueCount="233">
  <si>
    <t>Score:</t>
  </si>
  <si>
    <t>Home:</t>
  </si>
  <si>
    <t>Pts:</t>
  </si>
  <si>
    <t>Away:</t>
  </si>
  <si>
    <t>Status:</t>
  </si>
  <si>
    <t>Player Name</t>
  </si>
  <si>
    <t>TravelerBruce</t>
  </si>
  <si>
    <t>mab81</t>
  </si>
  <si>
    <t>Shanny5129</t>
  </si>
  <si>
    <t>SamudaFTW</t>
  </si>
  <si>
    <t>jreveal1001</t>
  </si>
  <si>
    <t>MikeMel</t>
  </si>
  <si>
    <t>jxstova</t>
  </si>
  <si>
    <t>paul50</t>
  </si>
  <si>
    <t>54Myers</t>
  </si>
  <si>
    <t>Jondempsey76</t>
  </si>
  <si>
    <t>Ilovepap</t>
  </si>
  <si>
    <t>Ksimp1313</t>
  </si>
  <si>
    <t>YoRocco</t>
  </si>
  <si>
    <t>SayOW</t>
  </si>
  <si>
    <t>Mgpalatiello</t>
  </si>
  <si>
    <t>GDonnal</t>
  </si>
  <si>
    <t>paulrush10</t>
  </si>
  <si>
    <t>Rob144</t>
  </si>
  <si>
    <t>StuntmanMikeR</t>
  </si>
  <si>
    <t>winkieblinkie</t>
  </si>
  <si>
    <t>Gungi07</t>
  </si>
  <si>
    <t>villanuevacole</t>
  </si>
  <si>
    <t>JessicaGagliano</t>
  </si>
  <si>
    <t>LLsGarbageTime</t>
  </si>
  <si>
    <t>Dziadzinator</t>
  </si>
  <si>
    <t>mhaltuch</t>
  </si>
  <si>
    <t>docholiday321</t>
  </si>
  <si>
    <t>balira</t>
  </si>
  <si>
    <t>GoBillsMFS</t>
  </si>
  <si>
    <t>souls4life</t>
  </si>
  <si>
    <t>bridgeplayer55</t>
  </si>
  <si>
    <t>cecons25</t>
  </si>
  <si>
    <t>btcons23</t>
  </si>
  <si>
    <t>Js13</t>
  </si>
  <si>
    <t>Kenya84</t>
  </si>
  <si>
    <t>BlameChampagne</t>
  </si>
  <si>
    <t>ELP10</t>
  </si>
  <si>
    <t>hcbrock4</t>
  </si>
  <si>
    <t>Csamuels</t>
  </si>
  <si>
    <t>troypinto</t>
  </si>
  <si>
    <t>Rank</t>
  </si>
  <si>
    <t>SEA</t>
  </si>
  <si>
    <t>SF</t>
  </si>
  <si>
    <t>Final</t>
  </si>
  <si>
    <t>CHI</t>
  </si>
  <si>
    <t>JAC</t>
  </si>
  <si>
    <t>BAL</t>
  </si>
  <si>
    <t>WAS</t>
  </si>
  <si>
    <t>GB</t>
  </si>
  <si>
    <t>AZ</t>
  </si>
  <si>
    <t>NE</t>
  </si>
  <si>
    <t>HOU</t>
  </si>
  <si>
    <t>NO</t>
  </si>
  <si>
    <t>TB</t>
  </si>
  <si>
    <t>PHI</t>
  </si>
  <si>
    <t>CLE</t>
  </si>
  <si>
    <t>TEN</t>
  </si>
  <si>
    <t>IND</t>
  </si>
  <si>
    <t>DEN</t>
  </si>
  <si>
    <t>LAC</t>
  </si>
  <si>
    <t>LV</t>
  </si>
  <si>
    <t>PIT</t>
  </si>
  <si>
    <t>CAR</t>
  </si>
  <si>
    <t>ATL</t>
  </si>
  <si>
    <t>DAL</t>
  </si>
  <si>
    <t>DET</t>
  </si>
  <si>
    <t>NYG</t>
  </si>
  <si>
    <t>CIN</t>
  </si>
  <si>
    <t>NYJ</t>
  </si>
  <si>
    <t>BUF</t>
  </si>
  <si>
    <t>Week</t>
  </si>
  <si>
    <t>Total</t>
  </si>
  <si>
    <t>NYJ/BUF</t>
  </si>
  <si>
    <t>AaronZ</t>
  </si>
  <si>
    <t>SMcKeon42</t>
  </si>
  <si>
    <t>whitegb23</t>
  </si>
  <si>
    <t>Jay417</t>
  </si>
  <si>
    <t>Delo6254</t>
  </si>
  <si>
    <t>mbhays</t>
  </si>
  <si>
    <t>dankatz</t>
  </si>
  <si>
    <t>6Shooter</t>
  </si>
  <si>
    <t>Rnatelli406</t>
  </si>
  <si>
    <t>NanaKras</t>
  </si>
  <si>
    <t>Gmoody112</t>
  </si>
  <si>
    <t>ThePollack</t>
  </si>
  <si>
    <t>RFalco</t>
  </si>
  <si>
    <t>jgardner2118</t>
  </si>
  <si>
    <t>dohertrs</t>
  </si>
  <si>
    <t>49ers203</t>
  </si>
  <si>
    <t>McDizzle</t>
  </si>
  <si>
    <t>ALubrano</t>
  </si>
  <si>
    <t>Delo</t>
  </si>
  <si>
    <t>SeanEC</t>
  </si>
  <si>
    <t>tristanharding</t>
  </si>
  <si>
    <t>Bieds25</t>
  </si>
  <si>
    <t>200Proof</t>
  </si>
  <si>
    <t>TimmyO14</t>
  </si>
  <si>
    <t>chuckozolins</t>
  </si>
  <si>
    <t>GreenBay19</t>
  </si>
  <si>
    <t>hamilli</t>
  </si>
  <si>
    <t>Maclaga</t>
  </si>
  <si>
    <t>Rossomca</t>
  </si>
  <si>
    <t>IvanDragomiloff</t>
  </si>
  <si>
    <t>Sconset</t>
  </si>
  <si>
    <t>clowe718</t>
  </si>
  <si>
    <t>samplat</t>
  </si>
  <si>
    <t>McWinner123</t>
  </si>
  <si>
    <t>SippinBruschis</t>
  </si>
  <si>
    <t>Shephappens</t>
  </si>
  <si>
    <t>slystarnes</t>
  </si>
  <si>
    <t>g-man1717</t>
  </si>
  <si>
    <t>FingerLickinPicks</t>
  </si>
  <si>
    <t>scialam</t>
  </si>
  <si>
    <t>rb24</t>
  </si>
  <si>
    <t>jc11195</t>
  </si>
  <si>
    <t>mchoate</t>
  </si>
  <si>
    <t>Hammerfrank</t>
  </si>
  <si>
    <t>oldmanskier</t>
  </si>
  <si>
    <t>Duckhookers</t>
  </si>
  <si>
    <t>NixonTheVixen</t>
  </si>
  <si>
    <t>csaie</t>
  </si>
  <si>
    <t>Keelah12</t>
  </si>
  <si>
    <t>KHo</t>
  </si>
  <si>
    <t>Whirled</t>
  </si>
  <si>
    <t>natreyk</t>
  </si>
  <si>
    <t>aphillips</t>
  </si>
  <si>
    <t>WontYouBeMyNabers</t>
  </si>
  <si>
    <t>SHM-6BURGH</t>
  </si>
  <si>
    <t>TheBandwagoner</t>
  </si>
  <si>
    <t>SirBacon9</t>
  </si>
  <si>
    <t>mplante</t>
  </si>
  <si>
    <t>KARENBOYS</t>
  </si>
  <si>
    <t>swojo</t>
  </si>
  <si>
    <t>WillyMortadella</t>
  </si>
  <si>
    <t>Professor Philly</t>
  </si>
  <si>
    <t>JDog12</t>
  </si>
  <si>
    <t>CCeh95</t>
  </si>
  <si>
    <t>PappyVanTinkle</t>
  </si>
  <si>
    <t>JCakes</t>
  </si>
  <si>
    <t>CrazyColt</t>
  </si>
  <si>
    <t>str8downnh</t>
  </si>
  <si>
    <t>thomasdrake</t>
  </si>
  <si>
    <t>bsmith7476</t>
  </si>
  <si>
    <t>jnr23</t>
  </si>
  <si>
    <t>stein25</t>
  </si>
  <si>
    <t>YeahSure</t>
  </si>
  <si>
    <t>HutDog</t>
  </si>
  <si>
    <t>ryanriley1</t>
  </si>
  <si>
    <t>RobertGlassman</t>
  </si>
  <si>
    <t>tj2</t>
  </si>
  <si>
    <t>lgc36</t>
  </si>
  <si>
    <t>Robot2</t>
  </si>
  <si>
    <t>Bobcats65</t>
  </si>
  <si>
    <t>thelarnbarn</t>
  </si>
  <si>
    <t>coconnor74</t>
  </si>
  <si>
    <t>Bkdehm</t>
  </si>
  <si>
    <t>Bronco_Maniac</t>
  </si>
  <si>
    <t>ncolagreco</t>
  </si>
  <si>
    <t>TC18and1</t>
  </si>
  <si>
    <t>ClavenBolsters</t>
  </si>
  <si>
    <t>Steve58</t>
  </si>
  <si>
    <t>GOAT7sbrings</t>
  </si>
  <si>
    <t>TBGOAT</t>
  </si>
  <si>
    <t>kydav3</t>
  </si>
  <si>
    <t>brianhamm</t>
  </si>
  <si>
    <t>Cowboys2Superbowl</t>
  </si>
  <si>
    <t>BringBackMarino</t>
  </si>
  <si>
    <t>bolenick</t>
  </si>
  <si>
    <t>Massenelli</t>
  </si>
  <si>
    <t>TheLittleK</t>
  </si>
  <si>
    <t>License2Gil</t>
  </si>
  <si>
    <t>FORTDADDY</t>
  </si>
  <si>
    <t>Igc</t>
  </si>
  <si>
    <t>cwall0868</t>
  </si>
  <si>
    <t>tba4931</t>
  </si>
  <si>
    <t>LittleFort</t>
  </si>
  <si>
    <t>MatthewNess</t>
  </si>
  <si>
    <t>rdalen</t>
  </si>
  <si>
    <t>ChrisLarson</t>
  </si>
  <si>
    <t>timothycoghlan</t>
  </si>
  <si>
    <t>Naruto25</t>
  </si>
  <si>
    <t>Bob7</t>
  </si>
  <si>
    <t>rouseylovessteelers</t>
  </si>
  <si>
    <t>Friarsin20</t>
  </si>
  <si>
    <t>Lisamc</t>
  </si>
  <si>
    <t>mattycurran1</t>
  </si>
  <si>
    <t>ERicordi12</t>
  </si>
  <si>
    <t>PickItAndStickIt21</t>
  </si>
  <si>
    <t>husker5</t>
  </si>
  <si>
    <t>LHicks12</t>
  </si>
  <si>
    <t>seahawks5</t>
  </si>
  <si>
    <t>IwillWinThisYear</t>
  </si>
  <si>
    <t>Axpgburg98</t>
  </si>
  <si>
    <t>Coylem1</t>
  </si>
  <si>
    <t>steelscott10</t>
  </si>
  <si>
    <t>s3nsasian</t>
  </si>
  <si>
    <t xml:space="preserve">Home </t>
  </si>
  <si>
    <t>Away</t>
  </si>
  <si>
    <t>fingerlickinpicks</t>
  </si>
  <si>
    <t>% picking home team</t>
  </si>
  <si>
    <t>OT</t>
  </si>
  <si>
    <t>MIN</t>
  </si>
  <si>
    <t>MIA</t>
  </si>
  <si>
    <t>LAR</t>
  </si>
  <si>
    <t>KC</t>
  </si>
  <si>
    <t>KC/NO</t>
  </si>
  <si>
    <t>Winner</t>
  </si>
  <si>
    <t>Was majority right?</t>
  </si>
  <si>
    <t>DET/SEA</t>
  </si>
  <si>
    <t>CIN/WAS</t>
  </si>
  <si>
    <t>PHI/ATL</t>
  </si>
  <si>
    <t>week</t>
  </si>
  <si>
    <t>total</t>
  </si>
  <si>
    <t>SF/NYJ</t>
  </si>
  <si>
    <t>Majority</t>
  </si>
  <si>
    <t>AZ/LAC</t>
  </si>
  <si>
    <t>Name</t>
  </si>
  <si>
    <t>PIT/NYG</t>
  </si>
  <si>
    <t>KC/TB</t>
  </si>
  <si>
    <t>LAR/MIA</t>
  </si>
  <si>
    <t>check</t>
  </si>
  <si>
    <t>point spread</t>
  </si>
  <si>
    <t>DAL/HOU</t>
  </si>
  <si>
    <t>LAC/BAL</t>
  </si>
  <si>
    <t>DEN/CLE</t>
  </si>
  <si>
    <t>DAL/CIN</t>
  </si>
  <si>
    <t>LV/ATL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</si>
</sst>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3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0" borderId="3" xfId="1" applyFont="1" applyBorder="1" applyAlignment="1">
      <alignment horizontal="center"/>
    </xf>
    <xf numFmtId="9" fontId="0" fillId="0" borderId="4" xfId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9" fontId="0" fillId="0" borderId="0" xfId="1" applyFont="1"/>
    <xf numFmtId="0" fontId="0" fillId="4" borderId="1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9" fontId="0" fillId="4" borderId="4" xfId="1" applyFont="1" applyFill="1" applyBorder="1" applyAlignment="1">
      <alignment horizontal="center"/>
    </xf>
    <xf numFmtId="0" fontId="0" fillId="4" borderId="11" xfId="0" applyFill="1" applyBorder="1"/>
    <xf numFmtId="0" fontId="0" fillId="4" borderId="13" xfId="0" applyFill="1" applyBorder="1" applyAlignment="1">
      <alignment horizontal="center"/>
    </xf>
    <xf numFmtId="0" fontId="2" fillId="2" borderId="2" xfId="2" applyBorder="1" applyAlignment="1">
      <alignment horizontal="center"/>
    </xf>
    <xf numFmtId="0" fontId="2" fillId="2" borderId="6" xfId="2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/>
    <xf numFmtId="0" fontId="7" fillId="5" borderId="0" xfId="3" applyFill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14" fillId="0" borderId="0" xfId="0" applyFont="1" applyAlignment="1">
      <alignment horizontal="left" vertical="center" wrapText="1"/>
    </xf>
  </cellXfs>
  <cellStyles count="4">
    <cellStyle name="Hyperlink" xfId="3" builtinId="8"/>
    <cellStyle name="Neutral" xfId="2" builtinId="28"/>
    <cellStyle name="Normal" xfId="0" builtinId="0"/>
    <cellStyle name="Percent" xfId="1" builtinId="5"/>
  </cellStyles>
  <dxfs count="1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oolhost.com/profootball/playerstats/1697912" TargetMode="External"/><Relationship Id="rId117" Type="http://schemas.openxmlformats.org/officeDocument/2006/relationships/hyperlink" Target="https://poolhost.com/profootball/playerstats/1732996" TargetMode="External"/><Relationship Id="rId21" Type="http://schemas.openxmlformats.org/officeDocument/2006/relationships/hyperlink" Target="https://poolhost.com/profootball/playerstats/1705029" TargetMode="External"/><Relationship Id="rId42" Type="http://schemas.openxmlformats.org/officeDocument/2006/relationships/hyperlink" Target="https://poolhost.com/profootball/playerstats/1684266" TargetMode="External"/><Relationship Id="rId47" Type="http://schemas.openxmlformats.org/officeDocument/2006/relationships/hyperlink" Target="https://poolhost.com/profootball/playerstats/1677370" TargetMode="External"/><Relationship Id="rId63" Type="http://schemas.openxmlformats.org/officeDocument/2006/relationships/hyperlink" Target="https://poolhost.com/profootball/playerstats/1657583" TargetMode="External"/><Relationship Id="rId68" Type="http://schemas.openxmlformats.org/officeDocument/2006/relationships/hyperlink" Target="https://poolhost.com/profootball/playerstats/1700157" TargetMode="External"/><Relationship Id="rId84" Type="http://schemas.openxmlformats.org/officeDocument/2006/relationships/hyperlink" Target="https://poolhost.com/profootball/playerstats/1731755" TargetMode="External"/><Relationship Id="rId89" Type="http://schemas.openxmlformats.org/officeDocument/2006/relationships/hyperlink" Target="https://poolhost.com/profootball/playerstats/1680041" TargetMode="External"/><Relationship Id="rId112" Type="http://schemas.openxmlformats.org/officeDocument/2006/relationships/hyperlink" Target="https://poolhost.com/profootball/playerstats/1703401" TargetMode="External"/><Relationship Id="rId133" Type="http://schemas.openxmlformats.org/officeDocument/2006/relationships/hyperlink" Target="https://poolhost.com/profootball/playerstats/1733415" TargetMode="External"/><Relationship Id="rId138" Type="http://schemas.openxmlformats.org/officeDocument/2006/relationships/hyperlink" Target="https://poolhost.com/profootball/playerstats/1711169" TargetMode="External"/><Relationship Id="rId154" Type="http://schemas.openxmlformats.org/officeDocument/2006/relationships/hyperlink" Target="https://poolhost.com/profootball/playerstats/1674022" TargetMode="External"/><Relationship Id="rId159" Type="http://schemas.openxmlformats.org/officeDocument/2006/relationships/hyperlink" Target="https://poolhost.com/profootball/playerstats/1702449" TargetMode="External"/><Relationship Id="rId16" Type="http://schemas.openxmlformats.org/officeDocument/2006/relationships/hyperlink" Target="https://poolhost.com/profootball/playerstats/1727170" TargetMode="External"/><Relationship Id="rId107" Type="http://schemas.openxmlformats.org/officeDocument/2006/relationships/hyperlink" Target="https://poolhost.com/profootball/playerstats/1654484" TargetMode="External"/><Relationship Id="rId11" Type="http://schemas.openxmlformats.org/officeDocument/2006/relationships/hyperlink" Target="https://poolhost.com/profootball/playerstats/1708312" TargetMode="External"/><Relationship Id="rId32" Type="http://schemas.openxmlformats.org/officeDocument/2006/relationships/hyperlink" Target="https://poolhost.com/profootball/playerstats/1676125" TargetMode="External"/><Relationship Id="rId37" Type="http://schemas.openxmlformats.org/officeDocument/2006/relationships/hyperlink" Target="https://poolhost.com/profootball/playerstats/1708448" TargetMode="External"/><Relationship Id="rId53" Type="http://schemas.openxmlformats.org/officeDocument/2006/relationships/hyperlink" Target="https://poolhost.com/profootball/playerstats/1657214" TargetMode="External"/><Relationship Id="rId58" Type="http://schemas.openxmlformats.org/officeDocument/2006/relationships/hyperlink" Target="https://poolhost.com/profootball/playerstats/1678667" TargetMode="External"/><Relationship Id="rId74" Type="http://schemas.openxmlformats.org/officeDocument/2006/relationships/hyperlink" Target="https://poolhost.com/profootball/playerstats/1665910" TargetMode="External"/><Relationship Id="rId79" Type="http://schemas.openxmlformats.org/officeDocument/2006/relationships/hyperlink" Target="https://poolhost.com/profootball/playerstats/1668682" TargetMode="External"/><Relationship Id="rId102" Type="http://schemas.openxmlformats.org/officeDocument/2006/relationships/hyperlink" Target="https://poolhost.com/profootball/playerstats/1732851" TargetMode="External"/><Relationship Id="rId123" Type="http://schemas.openxmlformats.org/officeDocument/2006/relationships/hyperlink" Target="https://poolhost.com/profootball/playerstats/1705346" TargetMode="External"/><Relationship Id="rId128" Type="http://schemas.openxmlformats.org/officeDocument/2006/relationships/hyperlink" Target="https://poolhost.com/profootball/playerstats/1704026" TargetMode="External"/><Relationship Id="rId144" Type="http://schemas.openxmlformats.org/officeDocument/2006/relationships/hyperlink" Target="https://poolhost.com/profootball/playerstats/1677049" TargetMode="External"/><Relationship Id="rId149" Type="http://schemas.openxmlformats.org/officeDocument/2006/relationships/hyperlink" Target="https://poolhost.com/profootball/playerstats/1715552" TargetMode="External"/><Relationship Id="rId5" Type="http://schemas.openxmlformats.org/officeDocument/2006/relationships/hyperlink" Target="https://poolhost.com/profootball/playerstats/1668628" TargetMode="External"/><Relationship Id="rId90" Type="http://schemas.openxmlformats.org/officeDocument/2006/relationships/hyperlink" Target="https://poolhost.com/profootball/playerstats/1724223" TargetMode="External"/><Relationship Id="rId95" Type="http://schemas.openxmlformats.org/officeDocument/2006/relationships/hyperlink" Target="https://poolhost.com/profootball/playerstats/1722233" TargetMode="External"/><Relationship Id="rId160" Type="http://schemas.openxmlformats.org/officeDocument/2006/relationships/hyperlink" Target="https://poolhost.com/profootball/playerstats/1685066" TargetMode="External"/><Relationship Id="rId22" Type="http://schemas.openxmlformats.org/officeDocument/2006/relationships/hyperlink" Target="https://poolhost.com/profootball/playerstats/1731690" TargetMode="External"/><Relationship Id="rId27" Type="http://schemas.openxmlformats.org/officeDocument/2006/relationships/hyperlink" Target="https://poolhost.com/profootball/playerstats/1673222" TargetMode="External"/><Relationship Id="rId43" Type="http://schemas.openxmlformats.org/officeDocument/2006/relationships/hyperlink" Target="https://poolhost.com/profootball/playerstats/1695716" TargetMode="External"/><Relationship Id="rId48" Type="http://schemas.openxmlformats.org/officeDocument/2006/relationships/hyperlink" Target="https://poolhost.com/profootball/playerstats/1678377" TargetMode="External"/><Relationship Id="rId64" Type="http://schemas.openxmlformats.org/officeDocument/2006/relationships/hyperlink" Target="https://poolhost.com/profootball/playerstats/1657024" TargetMode="External"/><Relationship Id="rId69" Type="http://schemas.openxmlformats.org/officeDocument/2006/relationships/hyperlink" Target="https://poolhost.com/profootball/playerstats/1654623" TargetMode="External"/><Relationship Id="rId113" Type="http://schemas.openxmlformats.org/officeDocument/2006/relationships/hyperlink" Target="https://poolhost.com/profootball/playerstats/1654791" TargetMode="External"/><Relationship Id="rId118" Type="http://schemas.openxmlformats.org/officeDocument/2006/relationships/hyperlink" Target="https://poolhost.com/profootball/playerstats/1649341" TargetMode="External"/><Relationship Id="rId134" Type="http://schemas.openxmlformats.org/officeDocument/2006/relationships/hyperlink" Target="https://poolhost.com/profootball/playerstats/1735486" TargetMode="External"/><Relationship Id="rId139" Type="http://schemas.openxmlformats.org/officeDocument/2006/relationships/hyperlink" Target="https://poolhost.com/profootball/playerstats/1672167" TargetMode="External"/><Relationship Id="rId80" Type="http://schemas.openxmlformats.org/officeDocument/2006/relationships/hyperlink" Target="https://poolhost.com/profootball/playerstats/1709552" TargetMode="External"/><Relationship Id="rId85" Type="http://schemas.openxmlformats.org/officeDocument/2006/relationships/hyperlink" Target="https://poolhost.com/profootball/playerstats/1654485" TargetMode="External"/><Relationship Id="rId150" Type="http://schemas.openxmlformats.org/officeDocument/2006/relationships/hyperlink" Target="https://poolhost.com/profootball/playerstats/1670226" TargetMode="External"/><Relationship Id="rId155" Type="http://schemas.openxmlformats.org/officeDocument/2006/relationships/hyperlink" Target="https://poolhost.com/profootball/playerstats/1700155" TargetMode="External"/><Relationship Id="rId12" Type="http://schemas.openxmlformats.org/officeDocument/2006/relationships/hyperlink" Target="https://poolhost.com/profootball/playerstats/1695492" TargetMode="External"/><Relationship Id="rId17" Type="http://schemas.openxmlformats.org/officeDocument/2006/relationships/hyperlink" Target="https://poolhost.com/profootball/playerstats/1727817" TargetMode="External"/><Relationship Id="rId33" Type="http://schemas.openxmlformats.org/officeDocument/2006/relationships/hyperlink" Target="https://poolhost.com/profootball/playerstats/1662306" TargetMode="External"/><Relationship Id="rId38" Type="http://schemas.openxmlformats.org/officeDocument/2006/relationships/hyperlink" Target="https://poolhost.com/profootball/playerstats/1686727" TargetMode="External"/><Relationship Id="rId59" Type="http://schemas.openxmlformats.org/officeDocument/2006/relationships/hyperlink" Target="https://poolhost.com/profootball/playerstats/1668687" TargetMode="External"/><Relationship Id="rId103" Type="http://schemas.openxmlformats.org/officeDocument/2006/relationships/hyperlink" Target="https://poolhost.com/profootball/playerstats/1660811" TargetMode="External"/><Relationship Id="rId108" Type="http://schemas.openxmlformats.org/officeDocument/2006/relationships/hyperlink" Target="https://poolhost.com/profootball/playerstats/1672298" TargetMode="External"/><Relationship Id="rId124" Type="http://schemas.openxmlformats.org/officeDocument/2006/relationships/hyperlink" Target="https://poolhost.com/profootball/playerstats/1681958" TargetMode="External"/><Relationship Id="rId129" Type="http://schemas.openxmlformats.org/officeDocument/2006/relationships/hyperlink" Target="https://poolhost.com/profootball/playerstats/1654649" TargetMode="External"/><Relationship Id="rId54" Type="http://schemas.openxmlformats.org/officeDocument/2006/relationships/hyperlink" Target="https://poolhost.com/profootball/playerstats/1729491" TargetMode="External"/><Relationship Id="rId70" Type="http://schemas.openxmlformats.org/officeDocument/2006/relationships/hyperlink" Target="https://poolhost.com/profootball/playerstats/1725535" TargetMode="External"/><Relationship Id="rId75" Type="http://schemas.openxmlformats.org/officeDocument/2006/relationships/hyperlink" Target="https://poolhost.com/profootball/playerstats/1654603" TargetMode="External"/><Relationship Id="rId91" Type="http://schemas.openxmlformats.org/officeDocument/2006/relationships/hyperlink" Target="https://poolhost.com/profootball/playerstats/1732953" TargetMode="External"/><Relationship Id="rId96" Type="http://schemas.openxmlformats.org/officeDocument/2006/relationships/hyperlink" Target="https://poolhost.com/profootball/playerstats/1654448" TargetMode="External"/><Relationship Id="rId140" Type="http://schemas.openxmlformats.org/officeDocument/2006/relationships/hyperlink" Target="https://poolhost.com/profootball/playerstats/1683389" TargetMode="External"/><Relationship Id="rId145" Type="http://schemas.openxmlformats.org/officeDocument/2006/relationships/hyperlink" Target="https://poolhost.com/profootball/playerstats/1691673" TargetMode="External"/><Relationship Id="rId161" Type="http://schemas.openxmlformats.org/officeDocument/2006/relationships/hyperlink" Target="https://poolhost.com/profootball/playerstats/1681897" TargetMode="External"/><Relationship Id="rId1" Type="http://schemas.openxmlformats.org/officeDocument/2006/relationships/hyperlink" Target="https://poolhost.com/profootball/playerstats/1659558" TargetMode="External"/><Relationship Id="rId6" Type="http://schemas.openxmlformats.org/officeDocument/2006/relationships/hyperlink" Target="https://poolhost.com/profootball/playerstats/1673761" TargetMode="External"/><Relationship Id="rId15" Type="http://schemas.openxmlformats.org/officeDocument/2006/relationships/hyperlink" Target="https://poolhost.com/profootball/playerstats/1730270" TargetMode="External"/><Relationship Id="rId23" Type="http://schemas.openxmlformats.org/officeDocument/2006/relationships/hyperlink" Target="https://poolhost.com/profootball/playerstats/1732788" TargetMode="External"/><Relationship Id="rId28" Type="http://schemas.openxmlformats.org/officeDocument/2006/relationships/hyperlink" Target="https://poolhost.com/profootball/playerstats/1702170" TargetMode="External"/><Relationship Id="rId36" Type="http://schemas.openxmlformats.org/officeDocument/2006/relationships/hyperlink" Target="https://poolhost.com/profootball/playerstats/1665614" TargetMode="External"/><Relationship Id="rId49" Type="http://schemas.openxmlformats.org/officeDocument/2006/relationships/hyperlink" Target="https://poolhost.com/profootball/playerstats/1708505" TargetMode="External"/><Relationship Id="rId57" Type="http://schemas.openxmlformats.org/officeDocument/2006/relationships/hyperlink" Target="https://poolhost.com/profootball/playerstats/1661981" TargetMode="External"/><Relationship Id="rId106" Type="http://schemas.openxmlformats.org/officeDocument/2006/relationships/hyperlink" Target="https://poolhost.com/profootball/playerstats/1678632" TargetMode="External"/><Relationship Id="rId114" Type="http://schemas.openxmlformats.org/officeDocument/2006/relationships/hyperlink" Target="https://poolhost.com/profootball/playerstats/1671837" TargetMode="External"/><Relationship Id="rId119" Type="http://schemas.openxmlformats.org/officeDocument/2006/relationships/hyperlink" Target="https://poolhost.com/profootball/playerstats/1726326" TargetMode="External"/><Relationship Id="rId127" Type="http://schemas.openxmlformats.org/officeDocument/2006/relationships/hyperlink" Target="https://poolhost.com/profootball/playerstats/1699660" TargetMode="External"/><Relationship Id="rId10" Type="http://schemas.openxmlformats.org/officeDocument/2006/relationships/hyperlink" Target="https://poolhost.com/profootball/playerstats/1654500" TargetMode="External"/><Relationship Id="rId31" Type="http://schemas.openxmlformats.org/officeDocument/2006/relationships/hyperlink" Target="https://poolhost.com/profootball/playerstats/1721401" TargetMode="External"/><Relationship Id="rId44" Type="http://schemas.openxmlformats.org/officeDocument/2006/relationships/hyperlink" Target="https://poolhost.com/profootball/playerstats/1728787" TargetMode="External"/><Relationship Id="rId52" Type="http://schemas.openxmlformats.org/officeDocument/2006/relationships/hyperlink" Target="https://poolhost.com/profootball/playerstats/1732254" TargetMode="External"/><Relationship Id="rId60" Type="http://schemas.openxmlformats.org/officeDocument/2006/relationships/hyperlink" Target="https://poolhost.com/profootball/playerstats/1729314" TargetMode="External"/><Relationship Id="rId65" Type="http://schemas.openxmlformats.org/officeDocument/2006/relationships/hyperlink" Target="https://poolhost.com/profootball/playerstats/1699810" TargetMode="External"/><Relationship Id="rId73" Type="http://schemas.openxmlformats.org/officeDocument/2006/relationships/hyperlink" Target="https://poolhost.com/profootball/playerstats/1659875" TargetMode="External"/><Relationship Id="rId78" Type="http://schemas.openxmlformats.org/officeDocument/2006/relationships/hyperlink" Target="https://poolhost.com/profootball/playerstats/1674086" TargetMode="External"/><Relationship Id="rId81" Type="http://schemas.openxmlformats.org/officeDocument/2006/relationships/hyperlink" Target="https://poolhost.com/profootball/playerstats/1655447" TargetMode="External"/><Relationship Id="rId86" Type="http://schemas.openxmlformats.org/officeDocument/2006/relationships/hyperlink" Target="https://poolhost.com/profootball/playerstats/1701053" TargetMode="External"/><Relationship Id="rId94" Type="http://schemas.openxmlformats.org/officeDocument/2006/relationships/hyperlink" Target="https://poolhost.com/profootball/playerstats/1666473" TargetMode="External"/><Relationship Id="rId99" Type="http://schemas.openxmlformats.org/officeDocument/2006/relationships/hyperlink" Target="https://poolhost.com/profootball/playerstats/1684491" TargetMode="External"/><Relationship Id="rId101" Type="http://schemas.openxmlformats.org/officeDocument/2006/relationships/hyperlink" Target="https://poolhost.com/profootball/playerstats/1679300" TargetMode="External"/><Relationship Id="rId122" Type="http://schemas.openxmlformats.org/officeDocument/2006/relationships/hyperlink" Target="https://poolhost.com/profootball/playerstats/1730676" TargetMode="External"/><Relationship Id="rId130" Type="http://schemas.openxmlformats.org/officeDocument/2006/relationships/hyperlink" Target="https://poolhost.com/profootball/playerstats/1683531" TargetMode="External"/><Relationship Id="rId135" Type="http://schemas.openxmlformats.org/officeDocument/2006/relationships/hyperlink" Target="https://poolhost.com/profootball/playerstats/1707988" TargetMode="External"/><Relationship Id="rId143" Type="http://schemas.openxmlformats.org/officeDocument/2006/relationships/hyperlink" Target="https://poolhost.com/profootball/playerstats/1705272" TargetMode="External"/><Relationship Id="rId148" Type="http://schemas.openxmlformats.org/officeDocument/2006/relationships/hyperlink" Target="https://poolhost.com/profootball/playerstats/1657241" TargetMode="External"/><Relationship Id="rId151" Type="http://schemas.openxmlformats.org/officeDocument/2006/relationships/hyperlink" Target="https://poolhost.com/profootball/playerstats/1657801" TargetMode="External"/><Relationship Id="rId156" Type="http://schemas.openxmlformats.org/officeDocument/2006/relationships/hyperlink" Target="https://poolhost.com/profootball/playerstats/1671748" TargetMode="External"/><Relationship Id="rId4" Type="http://schemas.openxmlformats.org/officeDocument/2006/relationships/hyperlink" Target="https://poolhost.com/profootball/playerstats/1694354" TargetMode="External"/><Relationship Id="rId9" Type="http://schemas.openxmlformats.org/officeDocument/2006/relationships/hyperlink" Target="https://poolhost.com/profootball/playerstats/1686915" TargetMode="External"/><Relationship Id="rId13" Type="http://schemas.openxmlformats.org/officeDocument/2006/relationships/hyperlink" Target="https://poolhost.com/profootball/playerstats/1663641" TargetMode="External"/><Relationship Id="rId18" Type="http://schemas.openxmlformats.org/officeDocument/2006/relationships/hyperlink" Target="https://poolhost.com/profootball/playerstats/1733218" TargetMode="External"/><Relationship Id="rId39" Type="http://schemas.openxmlformats.org/officeDocument/2006/relationships/hyperlink" Target="https://poolhost.com/profootball/playerstats/1670484" TargetMode="External"/><Relationship Id="rId109" Type="http://schemas.openxmlformats.org/officeDocument/2006/relationships/hyperlink" Target="https://poolhost.com/profootball/playerstats/1663101" TargetMode="External"/><Relationship Id="rId34" Type="http://schemas.openxmlformats.org/officeDocument/2006/relationships/hyperlink" Target="https://poolhost.com/profootball/playerstats/1731780" TargetMode="External"/><Relationship Id="rId50" Type="http://schemas.openxmlformats.org/officeDocument/2006/relationships/hyperlink" Target="https://poolhost.com/profootball/playerstats/1669212" TargetMode="External"/><Relationship Id="rId55" Type="http://schemas.openxmlformats.org/officeDocument/2006/relationships/hyperlink" Target="https://poolhost.com/profootball/playerstats/1679009" TargetMode="External"/><Relationship Id="rId76" Type="http://schemas.openxmlformats.org/officeDocument/2006/relationships/hyperlink" Target="https://poolhost.com/profootball/playerstats/1703435" TargetMode="External"/><Relationship Id="rId97" Type="http://schemas.openxmlformats.org/officeDocument/2006/relationships/hyperlink" Target="https://poolhost.com/profootball/playerstats/1670025" TargetMode="External"/><Relationship Id="rId104" Type="http://schemas.openxmlformats.org/officeDocument/2006/relationships/hyperlink" Target="https://poolhost.com/profootball/playerstats/1682523" TargetMode="External"/><Relationship Id="rId120" Type="http://schemas.openxmlformats.org/officeDocument/2006/relationships/hyperlink" Target="https://poolhost.com/profootball/playerstats/1669323" TargetMode="External"/><Relationship Id="rId125" Type="http://schemas.openxmlformats.org/officeDocument/2006/relationships/hyperlink" Target="https://poolhost.com/profootball/playerstats/1741250" TargetMode="External"/><Relationship Id="rId141" Type="http://schemas.openxmlformats.org/officeDocument/2006/relationships/hyperlink" Target="https://poolhost.com/profootball/playerstats/1665810" TargetMode="External"/><Relationship Id="rId146" Type="http://schemas.openxmlformats.org/officeDocument/2006/relationships/hyperlink" Target="https://poolhost.com/profootball/playerstats/1676654" TargetMode="External"/><Relationship Id="rId7" Type="http://schemas.openxmlformats.org/officeDocument/2006/relationships/hyperlink" Target="https://poolhost.com/profootball/playerstats/1666034" TargetMode="External"/><Relationship Id="rId71" Type="http://schemas.openxmlformats.org/officeDocument/2006/relationships/hyperlink" Target="https://poolhost.com/profootball/playerstats/1701354" TargetMode="External"/><Relationship Id="rId92" Type="http://schemas.openxmlformats.org/officeDocument/2006/relationships/hyperlink" Target="https://poolhost.com/profootball/playerstats/1709781" TargetMode="External"/><Relationship Id="rId162" Type="http://schemas.openxmlformats.org/officeDocument/2006/relationships/hyperlink" Target="https://poolhost.com/profootball/playerstats/1687892" TargetMode="External"/><Relationship Id="rId2" Type="http://schemas.openxmlformats.org/officeDocument/2006/relationships/hyperlink" Target="https://poolhost.com/profootball/playerstats/1732411" TargetMode="External"/><Relationship Id="rId29" Type="http://schemas.openxmlformats.org/officeDocument/2006/relationships/hyperlink" Target="https://poolhost.com/profootball/playerstats/1705249" TargetMode="External"/><Relationship Id="rId24" Type="http://schemas.openxmlformats.org/officeDocument/2006/relationships/hyperlink" Target="https://poolhost.com/profootball/playerstats/1696717" TargetMode="External"/><Relationship Id="rId40" Type="http://schemas.openxmlformats.org/officeDocument/2006/relationships/hyperlink" Target="https://poolhost.com/profootball/playerstats/1721307" TargetMode="External"/><Relationship Id="rId45" Type="http://schemas.openxmlformats.org/officeDocument/2006/relationships/hyperlink" Target="https://poolhost.com/profootball/playerstats/1655488" TargetMode="External"/><Relationship Id="rId66" Type="http://schemas.openxmlformats.org/officeDocument/2006/relationships/hyperlink" Target="https://poolhost.com/profootball/playerstats/1704294" TargetMode="External"/><Relationship Id="rId87" Type="http://schemas.openxmlformats.org/officeDocument/2006/relationships/hyperlink" Target="https://poolhost.com/profootball/playerstats/1729262" TargetMode="External"/><Relationship Id="rId110" Type="http://schemas.openxmlformats.org/officeDocument/2006/relationships/hyperlink" Target="https://poolhost.com/profootball/playerstats/1732290" TargetMode="External"/><Relationship Id="rId115" Type="http://schemas.openxmlformats.org/officeDocument/2006/relationships/hyperlink" Target="https://poolhost.com/profootball/playerstats/1666449" TargetMode="External"/><Relationship Id="rId131" Type="http://schemas.openxmlformats.org/officeDocument/2006/relationships/hyperlink" Target="https://poolhost.com/profootball/playerstats/1679156" TargetMode="External"/><Relationship Id="rId136" Type="http://schemas.openxmlformats.org/officeDocument/2006/relationships/hyperlink" Target="https://poolhost.com/profootball/playerstats/1656464" TargetMode="External"/><Relationship Id="rId157" Type="http://schemas.openxmlformats.org/officeDocument/2006/relationships/hyperlink" Target="https://poolhost.com/profootball/playerstats/1669305" TargetMode="External"/><Relationship Id="rId61" Type="http://schemas.openxmlformats.org/officeDocument/2006/relationships/hyperlink" Target="https://poolhost.com/profootball/playerstats/1705049" TargetMode="External"/><Relationship Id="rId82" Type="http://schemas.openxmlformats.org/officeDocument/2006/relationships/hyperlink" Target="https://poolhost.com/profootball/playerstats/1685256" TargetMode="External"/><Relationship Id="rId152" Type="http://schemas.openxmlformats.org/officeDocument/2006/relationships/hyperlink" Target="https://poolhost.com/profootball/playerstats/1722206" TargetMode="External"/><Relationship Id="rId19" Type="http://schemas.openxmlformats.org/officeDocument/2006/relationships/hyperlink" Target="https://poolhost.com/profootball/playerstats/1708805" TargetMode="External"/><Relationship Id="rId14" Type="http://schemas.openxmlformats.org/officeDocument/2006/relationships/hyperlink" Target="https://poolhost.com/profootball/playerstats/1679667" TargetMode="External"/><Relationship Id="rId30" Type="http://schemas.openxmlformats.org/officeDocument/2006/relationships/hyperlink" Target="https://poolhost.com/profootball/playerstats/1722286" TargetMode="External"/><Relationship Id="rId35" Type="http://schemas.openxmlformats.org/officeDocument/2006/relationships/hyperlink" Target="https://poolhost.com/profootball/playerstats/1694017" TargetMode="External"/><Relationship Id="rId56" Type="http://schemas.openxmlformats.org/officeDocument/2006/relationships/hyperlink" Target="https://poolhost.com/profootball/playerstats/1681946" TargetMode="External"/><Relationship Id="rId77" Type="http://schemas.openxmlformats.org/officeDocument/2006/relationships/hyperlink" Target="https://poolhost.com/profootball/playerstats/1662606" TargetMode="External"/><Relationship Id="rId100" Type="http://schemas.openxmlformats.org/officeDocument/2006/relationships/hyperlink" Target="https://poolhost.com/profootball/playerstats/1658459" TargetMode="External"/><Relationship Id="rId105" Type="http://schemas.openxmlformats.org/officeDocument/2006/relationships/hyperlink" Target="https://poolhost.com/profootball/playerstats/1673234" TargetMode="External"/><Relationship Id="rId126" Type="http://schemas.openxmlformats.org/officeDocument/2006/relationships/hyperlink" Target="https://poolhost.com/profootball/playerstats/1667937" TargetMode="External"/><Relationship Id="rId147" Type="http://schemas.openxmlformats.org/officeDocument/2006/relationships/hyperlink" Target="https://poolhost.com/profootball/playerstats/1730347" TargetMode="External"/><Relationship Id="rId8" Type="http://schemas.openxmlformats.org/officeDocument/2006/relationships/hyperlink" Target="https://poolhost.com/profootball/playerstats/1682884" TargetMode="External"/><Relationship Id="rId51" Type="http://schemas.openxmlformats.org/officeDocument/2006/relationships/hyperlink" Target="https://poolhost.com/profootball/playerstats/1665631" TargetMode="External"/><Relationship Id="rId72" Type="http://schemas.openxmlformats.org/officeDocument/2006/relationships/hyperlink" Target="https://poolhost.com/profootball/playerstats/1659846" TargetMode="External"/><Relationship Id="rId93" Type="http://schemas.openxmlformats.org/officeDocument/2006/relationships/hyperlink" Target="https://poolhost.com/profootball/playerstats/1729617" TargetMode="External"/><Relationship Id="rId98" Type="http://schemas.openxmlformats.org/officeDocument/2006/relationships/hyperlink" Target="https://poolhost.com/profootball/playerstats/1649126" TargetMode="External"/><Relationship Id="rId121" Type="http://schemas.openxmlformats.org/officeDocument/2006/relationships/hyperlink" Target="https://poolhost.com/profootball/playerstats/1728782" TargetMode="External"/><Relationship Id="rId142" Type="http://schemas.openxmlformats.org/officeDocument/2006/relationships/hyperlink" Target="https://poolhost.com/profootball/playerstats/1734363" TargetMode="External"/><Relationship Id="rId163" Type="http://schemas.openxmlformats.org/officeDocument/2006/relationships/hyperlink" Target="https://poolhost.com/profootball/playerstats/1684290" TargetMode="External"/><Relationship Id="rId3" Type="http://schemas.openxmlformats.org/officeDocument/2006/relationships/hyperlink" Target="https://poolhost.com/profootball/playerstats/1668461" TargetMode="External"/><Relationship Id="rId25" Type="http://schemas.openxmlformats.org/officeDocument/2006/relationships/hyperlink" Target="https://poolhost.com/profootball/playerstats/1657103" TargetMode="External"/><Relationship Id="rId46" Type="http://schemas.openxmlformats.org/officeDocument/2006/relationships/hyperlink" Target="https://poolhost.com/profootball/playerstats/1699295" TargetMode="External"/><Relationship Id="rId67" Type="http://schemas.openxmlformats.org/officeDocument/2006/relationships/hyperlink" Target="https://poolhost.com/profootball/playerstats/1654634" TargetMode="External"/><Relationship Id="rId116" Type="http://schemas.openxmlformats.org/officeDocument/2006/relationships/hyperlink" Target="https://poolhost.com/profootball/playerstats/1726632" TargetMode="External"/><Relationship Id="rId137" Type="http://schemas.openxmlformats.org/officeDocument/2006/relationships/hyperlink" Target="https://poolhost.com/profootball/playerstats/1666027" TargetMode="External"/><Relationship Id="rId158" Type="http://schemas.openxmlformats.org/officeDocument/2006/relationships/hyperlink" Target="https://poolhost.com/profootball/playerstats/1712780" TargetMode="External"/><Relationship Id="rId20" Type="http://schemas.openxmlformats.org/officeDocument/2006/relationships/hyperlink" Target="https://poolhost.com/profootball/playerstats/1723980" TargetMode="External"/><Relationship Id="rId41" Type="http://schemas.openxmlformats.org/officeDocument/2006/relationships/hyperlink" Target="https://poolhost.com/profootball/playerstats/1673248" TargetMode="External"/><Relationship Id="rId62" Type="http://schemas.openxmlformats.org/officeDocument/2006/relationships/hyperlink" Target="https://poolhost.com/profootball/playerstats/1665979" TargetMode="External"/><Relationship Id="rId83" Type="http://schemas.openxmlformats.org/officeDocument/2006/relationships/hyperlink" Target="https://poolhost.com/profootball/playerstats/1667866" TargetMode="External"/><Relationship Id="rId88" Type="http://schemas.openxmlformats.org/officeDocument/2006/relationships/hyperlink" Target="https://poolhost.com/profootball/playerstats/1661711" TargetMode="External"/><Relationship Id="rId111" Type="http://schemas.openxmlformats.org/officeDocument/2006/relationships/hyperlink" Target="https://poolhost.com/profootball/playerstats/1734172" TargetMode="External"/><Relationship Id="rId132" Type="http://schemas.openxmlformats.org/officeDocument/2006/relationships/hyperlink" Target="https://poolhost.com/profootball/playerstats/1666092" TargetMode="External"/><Relationship Id="rId153" Type="http://schemas.openxmlformats.org/officeDocument/2006/relationships/hyperlink" Target="https://poolhost.com/profootball/playerstats/1667376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poolhost.com/profootball/playerstats/1679300" TargetMode="External"/><Relationship Id="rId117" Type="http://schemas.openxmlformats.org/officeDocument/2006/relationships/hyperlink" Target="https://poolhost.com/profootball/playerstats/1660811" TargetMode="External"/><Relationship Id="rId21" Type="http://schemas.openxmlformats.org/officeDocument/2006/relationships/hyperlink" Target="https://poolhost.com/profootball/playerstats/1671837" TargetMode="External"/><Relationship Id="rId42" Type="http://schemas.openxmlformats.org/officeDocument/2006/relationships/hyperlink" Target="https://poolhost.com/profootball/playerstats/1683531" TargetMode="External"/><Relationship Id="rId47" Type="http://schemas.openxmlformats.org/officeDocument/2006/relationships/hyperlink" Target="https://poolhost.com/profootball/playerstats/1703435" TargetMode="External"/><Relationship Id="rId63" Type="http://schemas.openxmlformats.org/officeDocument/2006/relationships/hyperlink" Target="https://poolhost.com/profootball/playerstats/1655488" TargetMode="External"/><Relationship Id="rId68" Type="http://schemas.openxmlformats.org/officeDocument/2006/relationships/hyperlink" Target="https://poolhost.com/profootball/playerstats/1730347" TargetMode="External"/><Relationship Id="rId84" Type="http://schemas.openxmlformats.org/officeDocument/2006/relationships/hyperlink" Target="https://poolhost.com/profootball/playerstats/1662606" TargetMode="External"/><Relationship Id="rId89" Type="http://schemas.openxmlformats.org/officeDocument/2006/relationships/hyperlink" Target="https://poolhost.com/profootball/playerstats/1681946" TargetMode="External"/><Relationship Id="rId112" Type="http://schemas.openxmlformats.org/officeDocument/2006/relationships/hyperlink" Target="https://poolhost.com/profootball/playerstats/1695716" TargetMode="External"/><Relationship Id="rId133" Type="http://schemas.openxmlformats.org/officeDocument/2006/relationships/hyperlink" Target="https://poolhost.com/profootball/playerstats/1694354" TargetMode="External"/><Relationship Id="rId138" Type="http://schemas.openxmlformats.org/officeDocument/2006/relationships/hyperlink" Target="https://poolhost.com/profootball/playerstats/1655447" TargetMode="External"/><Relationship Id="rId154" Type="http://schemas.openxmlformats.org/officeDocument/2006/relationships/hyperlink" Target="https://poolhost.com/profootball/playerstats/1726326" TargetMode="External"/><Relationship Id="rId159" Type="http://schemas.openxmlformats.org/officeDocument/2006/relationships/hyperlink" Target="https://poolhost.com/profootball/playerstats/1679667" TargetMode="External"/><Relationship Id="rId16" Type="http://schemas.openxmlformats.org/officeDocument/2006/relationships/hyperlink" Target="https://poolhost.com/profootball/playerstats/1711169" TargetMode="External"/><Relationship Id="rId107" Type="http://schemas.openxmlformats.org/officeDocument/2006/relationships/hyperlink" Target="https://poolhost.com/profootball/playerstats/1657583" TargetMode="External"/><Relationship Id="rId11" Type="http://schemas.openxmlformats.org/officeDocument/2006/relationships/hyperlink" Target="https://poolhost.com/profootball/playerstats/1669212" TargetMode="External"/><Relationship Id="rId32" Type="http://schemas.openxmlformats.org/officeDocument/2006/relationships/hyperlink" Target="https://poolhost.com/profootball/playerstats/1667937" TargetMode="External"/><Relationship Id="rId37" Type="http://schemas.openxmlformats.org/officeDocument/2006/relationships/hyperlink" Target="https://poolhost.com/profootball/playerstats/1734363" TargetMode="External"/><Relationship Id="rId53" Type="http://schemas.openxmlformats.org/officeDocument/2006/relationships/hyperlink" Target="https://poolhost.com/profootball/playerstats/1666027" TargetMode="External"/><Relationship Id="rId58" Type="http://schemas.openxmlformats.org/officeDocument/2006/relationships/hyperlink" Target="https://poolhost.com/profootball/playerstats/1686915" TargetMode="External"/><Relationship Id="rId74" Type="http://schemas.openxmlformats.org/officeDocument/2006/relationships/hyperlink" Target="https://poolhost.com/profootball/playerstats/1722233" TargetMode="External"/><Relationship Id="rId79" Type="http://schemas.openxmlformats.org/officeDocument/2006/relationships/hyperlink" Target="https://poolhost.com/profootball/playerstats/1654634" TargetMode="External"/><Relationship Id="rId102" Type="http://schemas.openxmlformats.org/officeDocument/2006/relationships/hyperlink" Target="https://poolhost.com/profootball/playerstats/1730270" TargetMode="External"/><Relationship Id="rId123" Type="http://schemas.openxmlformats.org/officeDocument/2006/relationships/hyperlink" Target="https://poolhost.com/profootball/playerstats/1705029" TargetMode="External"/><Relationship Id="rId128" Type="http://schemas.openxmlformats.org/officeDocument/2006/relationships/hyperlink" Target="https://poolhost.com/profootball/playerstats/1681897" TargetMode="External"/><Relationship Id="rId144" Type="http://schemas.openxmlformats.org/officeDocument/2006/relationships/hyperlink" Target="https://poolhost.com/profootball/playerstats/1723980" TargetMode="External"/><Relationship Id="rId149" Type="http://schemas.openxmlformats.org/officeDocument/2006/relationships/hyperlink" Target="https://poolhost.com/profootball/playerstats/1729491" TargetMode="External"/><Relationship Id="rId5" Type="http://schemas.openxmlformats.org/officeDocument/2006/relationships/hyperlink" Target="https://poolhost.com/profootball/playerstats/1722206" TargetMode="External"/><Relationship Id="rId90" Type="http://schemas.openxmlformats.org/officeDocument/2006/relationships/hyperlink" Target="https://poolhost.com/profootball/playerstats/1701354" TargetMode="External"/><Relationship Id="rId95" Type="http://schemas.openxmlformats.org/officeDocument/2006/relationships/hyperlink" Target="https://poolhost.com/profootball/playerstats/1680041" TargetMode="External"/><Relationship Id="rId160" Type="http://schemas.openxmlformats.org/officeDocument/2006/relationships/hyperlink" Target="https://poolhost.com/profootball/playerstats/1687892" TargetMode="External"/><Relationship Id="rId22" Type="http://schemas.openxmlformats.org/officeDocument/2006/relationships/hyperlink" Target="https://poolhost.com/profootball/playerstats/1727170" TargetMode="External"/><Relationship Id="rId27" Type="http://schemas.openxmlformats.org/officeDocument/2006/relationships/hyperlink" Target="https://poolhost.com/profootball/playerstats/1700157" TargetMode="External"/><Relationship Id="rId43" Type="http://schemas.openxmlformats.org/officeDocument/2006/relationships/hyperlink" Target="https://poolhost.com/profootball/playerstats/1724223" TargetMode="External"/><Relationship Id="rId48" Type="http://schemas.openxmlformats.org/officeDocument/2006/relationships/hyperlink" Target="https://poolhost.com/profootball/playerstats/1669305" TargetMode="External"/><Relationship Id="rId64" Type="http://schemas.openxmlformats.org/officeDocument/2006/relationships/hyperlink" Target="https://poolhost.com/profootball/playerstats/1708312" TargetMode="External"/><Relationship Id="rId69" Type="http://schemas.openxmlformats.org/officeDocument/2006/relationships/hyperlink" Target="https://poolhost.com/profootball/playerstats/1685066" TargetMode="External"/><Relationship Id="rId113" Type="http://schemas.openxmlformats.org/officeDocument/2006/relationships/hyperlink" Target="https://poolhost.com/profootball/playerstats/1728787" TargetMode="External"/><Relationship Id="rId118" Type="http://schemas.openxmlformats.org/officeDocument/2006/relationships/hyperlink" Target="https://poolhost.com/profootball/playerstats/1732290" TargetMode="External"/><Relationship Id="rId134" Type="http://schemas.openxmlformats.org/officeDocument/2006/relationships/hyperlink" Target="https://poolhost.com/profootball/playerstats/1673222" TargetMode="External"/><Relationship Id="rId139" Type="http://schemas.openxmlformats.org/officeDocument/2006/relationships/hyperlink" Target="https://poolhost.com/profootball/playerstats/1708805" TargetMode="External"/><Relationship Id="rId80" Type="http://schemas.openxmlformats.org/officeDocument/2006/relationships/hyperlink" Target="https://poolhost.com/profootball/playerstats/1673248" TargetMode="External"/><Relationship Id="rId85" Type="http://schemas.openxmlformats.org/officeDocument/2006/relationships/hyperlink" Target="https://poolhost.com/profootball/playerstats/1676125" TargetMode="External"/><Relationship Id="rId150" Type="http://schemas.openxmlformats.org/officeDocument/2006/relationships/hyperlink" Target="https://poolhost.com/profootball/playerstats/1734172" TargetMode="External"/><Relationship Id="rId155" Type="http://schemas.openxmlformats.org/officeDocument/2006/relationships/hyperlink" Target="https://poolhost.com/profootball/playerstats/1729314" TargetMode="External"/><Relationship Id="rId12" Type="http://schemas.openxmlformats.org/officeDocument/2006/relationships/hyperlink" Target="https://poolhost.com/profootball/playerstats/1691673" TargetMode="External"/><Relationship Id="rId17" Type="http://schemas.openxmlformats.org/officeDocument/2006/relationships/hyperlink" Target="https://poolhost.com/profootball/playerstats/1663101" TargetMode="External"/><Relationship Id="rId33" Type="http://schemas.openxmlformats.org/officeDocument/2006/relationships/hyperlink" Target="https://poolhost.com/profootball/playerstats/1663641" TargetMode="External"/><Relationship Id="rId38" Type="http://schemas.openxmlformats.org/officeDocument/2006/relationships/hyperlink" Target="https://poolhost.com/profootball/playerstats/1681958" TargetMode="External"/><Relationship Id="rId59" Type="http://schemas.openxmlformats.org/officeDocument/2006/relationships/hyperlink" Target="https://poolhost.com/profootball/playerstats/1654649" TargetMode="External"/><Relationship Id="rId103" Type="http://schemas.openxmlformats.org/officeDocument/2006/relationships/hyperlink" Target="https://poolhost.com/profootball/playerstats/1686727" TargetMode="External"/><Relationship Id="rId108" Type="http://schemas.openxmlformats.org/officeDocument/2006/relationships/hyperlink" Target="https://poolhost.com/profootball/playerstats/1670025" TargetMode="External"/><Relationship Id="rId124" Type="http://schemas.openxmlformats.org/officeDocument/2006/relationships/hyperlink" Target="https://poolhost.com/profootball/playerstats/1732254" TargetMode="External"/><Relationship Id="rId129" Type="http://schemas.openxmlformats.org/officeDocument/2006/relationships/hyperlink" Target="https://poolhost.com/profootball/playerstats/1732996" TargetMode="External"/><Relationship Id="rId54" Type="http://schemas.openxmlformats.org/officeDocument/2006/relationships/hyperlink" Target="https://poolhost.com/profootball/playerstats/1709781" TargetMode="External"/><Relationship Id="rId70" Type="http://schemas.openxmlformats.org/officeDocument/2006/relationships/hyperlink" Target="https://poolhost.com/profootball/playerstats/1666449" TargetMode="External"/><Relationship Id="rId75" Type="http://schemas.openxmlformats.org/officeDocument/2006/relationships/hyperlink" Target="https://poolhost.com/profootball/playerstats/1677049" TargetMode="External"/><Relationship Id="rId91" Type="http://schemas.openxmlformats.org/officeDocument/2006/relationships/hyperlink" Target="https://poolhost.com/profootball/playerstats/1668461" TargetMode="External"/><Relationship Id="rId96" Type="http://schemas.openxmlformats.org/officeDocument/2006/relationships/hyperlink" Target="https://poolhost.com/profootball/playerstats/1721307" TargetMode="External"/><Relationship Id="rId140" Type="http://schemas.openxmlformats.org/officeDocument/2006/relationships/hyperlink" Target="https://poolhost.com/profootball/playerstats/1654500" TargetMode="External"/><Relationship Id="rId145" Type="http://schemas.openxmlformats.org/officeDocument/2006/relationships/hyperlink" Target="https://poolhost.com/profootball/playerstats/1677370" TargetMode="External"/><Relationship Id="rId161" Type="http://schemas.openxmlformats.org/officeDocument/2006/relationships/hyperlink" Target="https://poolhost.com/profootball/playerstats/1668628" TargetMode="External"/><Relationship Id="rId1" Type="http://schemas.openxmlformats.org/officeDocument/2006/relationships/hyperlink" Target="https://poolhost.com/profootball/playerstats/1670226" TargetMode="External"/><Relationship Id="rId6" Type="http://schemas.openxmlformats.org/officeDocument/2006/relationships/hyperlink" Target="https://poolhost.com/profootball/playerstats/1665910" TargetMode="External"/><Relationship Id="rId15" Type="http://schemas.openxmlformats.org/officeDocument/2006/relationships/hyperlink" Target="https://poolhost.com/profootball/playerstats/1704026" TargetMode="External"/><Relationship Id="rId23" Type="http://schemas.openxmlformats.org/officeDocument/2006/relationships/hyperlink" Target="https://poolhost.com/profootball/playerstats/1679156" TargetMode="External"/><Relationship Id="rId28" Type="http://schemas.openxmlformats.org/officeDocument/2006/relationships/hyperlink" Target="https://poolhost.com/profootball/playerstats/1666034" TargetMode="External"/><Relationship Id="rId36" Type="http://schemas.openxmlformats.org/officeDocument/2006/relationships/hyperlink" Target="https://poolhost.com/profootball/playerstats/1666092" TargetMode="External"/><Relationship Id="rId49" Type="http://schemas.openxmlformats.org/officeDocument/2006/relationships/hyperlink" Target="https://poolhost.com/profootball/playerstats/1728782" TargetMode="External"/><Relationship Id="rId57" Type="http://schemas.openxmlformats.org/officeDocument/2006/relationships/hyperlink" Target="https://poolhost.com/profootball/playerstats/1707988" TargetMode="External"/><Relationship Id="rId106" Type="http://schemas.openxmlformats.org/officeDocument/2006/relationships/hyperlink" Target="https://poolhost.com/profootball/playerstats/1665614" TargetMode="External"/><Relationship Id="rId114" Type="http://schemas.openxmlformats.org/officeDocument/2006/relationships/hyperlink" Target="https://poolhost.com/profootball/playerstats/1683389" TargetMode="External"/><Relationship Id="rId119" Type="http://schemas.openxmlformats.org/officeDocument/2006/relationships/hyperlink" Target="https://poolhost.com/profootball/playerstats/1654448" TargetMode="External"/><Relationship Id="rId127" Type="http://schemas.openxmlformats.org/officeDocument/2006/relationships/hyperlink" Target="https://poolhost.com/profootball/playerstats/1684290" TargetMode="External"/><Relationship Id="rId10" Type="http://schemas.openxmlformats.org/officeDocument/2006/relationships/hyperlink" Target="https://poolhost.com/profootball/playerstats/1682523" TargetMode="External"/><Relationship Id="rId31" Type="http://schemas.openxmlformats.org/officeDocument/2006/relationships/hyperlink" Target="https://poolhost.com/profootball/playerstats/1715552" TargetMode="External"/><Relationship Id="rId44" Type="http://schemas.openxmlformats.org/officeDocument/2006/relationships/hyperlink" Target="https://poolhost.com/profootball/playerstats/1741250" TargetMode="External"/><Relationship Id="rId52" Type="http://schemas.openxmlformats.org/officeDocument/2006/relationships/hyperlink" Target="https://poolhost.com/profootball/playerstats/1679009" TargetMode="External"/><Relationship Id="rId60" Type="http://schemas.openxmlformats.org/officeDocument/2006/relationships/hyperlink" Target="https://poolhost.com/profootball/playerstats/1726632" TargetMode="External"/><Relationship Id="rId65" Type="http://schemas.openxmlformats.org/officeDocument/2006/relationships/hyperlink" Target="https://poolhost.com/profootball/playerstats/1732851" TargetMode="External"/><Relationship Id="rId73" Type="http://schemas.openxmlformats.org/officeDocument/2006/relationships/hyperlink" Target="https://poolhost.com/profootball/playerstats/1657214" TargetMode="External"/><Relationship Id="rId78" Type="http://schemas.openxmlformats.org/officeDocument/2006/relationships/hyperlink" Target="https://poolhost.com/profootball/playerstats/1665810" TargetMode="External"/><Relationship Id="rId81" Type="http://schemas.openxmlformats.org/officeDocument/2006/relationships/hyperlink" Target="https://poolhost.com/profootball/playerstats/1665979" TargetMode="External"/><Relationship Id="rId86" Type="http://schemas.openxmlformats.org/officeDocument/2006/relationships/hyperlink" Target="https://poolhost.com/profootball/playerstats/1704294" TargetMode="External"/><Relationship Id="rId94" Type="http://schemas.openxmlformats.org/officeDocument/2006/relationships/hyperlink" Target="https://poolhost.com/profootball/playerstats/1673234" TargetMode="External"/><Relationship Id="rId99" Type="http://schemas.openxmlformats.org/officeDocument/2006/relationships/hyperlink" Target="https://poolhost.com/profootball/playerstats/1695492" TargetMode="External"/><Relationship Id="rId101" Type="http://schemas.openxmlformats.org/officeDocument/2006/relationships/hyperlink" Target="https://poolhost.com/profootball/playerstats/1674086" TargetMode="External"/><Relationship Id="rId122" Type="http://schemas.openxmlformats.org/officeDocument/2006/relationships/hyperlink" Target="https://poolhost.com/profootball/playerstats/1656464" TargetMode="External"/><Relationship Id="rId130" Type="http://schemas.openxmlformats.org/officeDocument/2006/relationships/hyperlink" Target="https://poolhost.com/profootball/playerstats/1694017" TargetMode="External"/><Relationship Id="rId135" Type="http://schemas.openxmlformats.org/officeDocument/2006/relationships/hyperlink" Target="https://poolhost.com/profootball/playerstats/1705049" TargetMode="External"/><Relationship Id="rId143" Type="http://schemas.openxmlformats.org/officeDocument/2006/relationships/hyperlink" Target="https://poolhost.com/profootball/playerstats/1659846" TargetMode="External"/><Relationship Id="rId148" Type="http://schemas.openxmlformats.org/officeDocument/2006/relationships/hyperlink" Target="https://poolhost.com/profootball/playerstats/1674022" TargetMode="External"/><Relationship Id="rId151" Type="http://schemas.openxmlformats.org/officeDocument/2006/relationships/hyperlink" Target="https://poolhost.com/profootball/playerstats/1667376" TargetMode="External"/><Relationship Id="rId156" Type="http://schemas.openxmlformats.org/officeDocument/2006/relationships/hyperlink" Target="https://poolhost.com/profootball/playerstats/1682884" TargetMode="External"/><Relationship Id="rId4" Type="http://schemas.openxmlformats.org/officeDocument/2006/relationships/hyperlink" Target="https://poolhost.com/profootball/playerstats/1708505" TargetMode="External"/><Relationship Id="rId9" Type="http://schemas.openxmlformats.org/officeDocument/2006/relationships/hyperlink" Target="https://poolhost.com/profootball/playerstats/1666473" TargetMode="External"/><Relationship Id="rId13" Type="http://schemas.openxmlformats.org/officeDocument/2006/relationships/hyperlink" Target="https://poolhost.com/profootball/playerstats/1654791" TargetMode="External"/><Relationship Id="rId18" Type="http://schemas.openxmlformats.org/officeDocument/2006/relationships/hyperlink" Target="https://poolhost.com/profootball/playerstats/1659558" TargetMode="External"/><Relationship Id="rId39" Type="http://schemas.openxmlformats.org/officeDocument/2006/relationships/hyperlink" Target="https://poolhost.com/profootball/playerstats/1684491" TargetMode="External"/><Relationship Id="rId109" Type="http://schemas.openxmlformats.org/officeDocument/2006/relationships/hyperlink" Target="https://poolhost.com/profootball/playerstats/1669323" TargetMode="External"/><Relationship Id="rId34" Type="http://schemas.openxmlformats.org/officeDocument/2006/relationships/hyperlink" Target="https://poolhost.com/profootball/playerstats/1731780" TargetMode="External"/><Relationship Id="rId50" Type="http://schemas.openxmlformats.org/officeDocument/2006/relationships/hyperlink" Target="https://poolhost.com/profootball/playerstats/1672298" TargetMode="External"/><Relationship Id="rId55" Type="http://schemas.openxmlformats.org/officeDocument/2006/relationships/hyperlink" Target="https://poolhost.com/profootball/playerstats/1667866" TargetMode="External"/><Relationship Id="rId76" Type="http://schemas.openxmlformats.org/officeDocument/2006/relationships/hyperlink" Target="https://poolhost.com/profootball/playerstats/1712780" TargetMode="External"/><Relationship Id="rId97" Type="http://schemas.openxmlformats.org/officeDocument/2006/relationships/hyperlink" Target="https://poolhost.com/profootball/playerstats/1735486" TargetMode="External"/><Relationship Id="rId104" Type="http://schemas.openxmlformats.org/officeDocument/2006/relationships/hyperlink" Target="https://poolhost.com/profootball/playerstats/1732953" TargetMode="External"/><Relationship Id="rId120" Type="http://schemas.openxmlformats.org/officeDocument/2006/relationships/hyperlink" Target="https://poolhost.com/profootball/playerstats/1699295" TargetMode="External"/><Relationship Id="rId125" Type="http://schemas.openxmlformats.org/officeDocument/2006/relationships/hyperlink" Target="https://poolhost.com/profootball/playerstats/1729262" TargetMode="External"/><Relationship Id="rId141" Type="http://schemas.openxmlformats.org/officeDocument/2006/relationships/hyperlink" Target="https://poolhost.com/profootball/playerstats/1654603" TargetMode="External"/><Relationship Id="rId146" Type="http://schemas.openxmlformats.org/officeDocument/2006/relationships/hyperlink" Target="https://poolhost.com/profootball/playerstats/1699660" TargetMode="External"/><Relationship Id="rId7" Type="http://schemas.openxmlformats.org/officeDocument/2006/relationships/hyperlink" Target="https://poolhost.com/profootball/playerstats/1649126" TargetMode="External"/><Relationship Id="rId71" Type="http://schemas.openxmlformats.org/officeDocument/2006/relationships/hyperlink" Target="https://poolhost.com/profootball/playerstats/1661981" TargetMode="External"/><Relationship Id="rId92" Type="http://schemas.openxmlformats.org/officeDocument/2006/relationships/hyperlink" Target="https://poolhost.com/profootball/playerstats/1658459" TargetMode="External"/><Relationship Id="rId162" Type="http://schemas.openxmlformats.org/officeDocument/2006/relationships/hyperlink" Target="https://poolhost.com/profootball/playerstats/1705249" TargetMode="External"/><Relationship Id="rId2" Type="http://schemas.openxmlformats.org/officeDocument/2006/relationships/hyperlink" Target="https://poolhost.com/profootball/playerstats/1657024" TargetMode="External"/><Relationship Id="rId29" Type="http://schemas.openxmlformats.org/officeDocument/2006/relationships/hyperlink" Target="https://poolhost.com/profootball/playerstats/1654623" TargetMode="External"/><Relationship Id="rId24" Type="http://schemas.openxmlformats.org/officeDocument/2006/relationships/hyperlink" Target="https://poolhost.com/profootball/playerstats/1697912" TargetMode="External"/><Relationship Id="rId40" Type="http://schemas.openxmlformats.org/officeDocument/2006/relationships/hyperlink" Target="https://poolhost.com/profootball/playerstats/1709552" TargetMode="External"/><Relationship Id="rId45" Type="http://schemas.openxmlformats.org/officeDocument/2006/relationships/hyperlink" Target="https://poolhost.com/profootball/playerstats/1661711" TargetMode="External"/><Relationship Id="rId66" Type="http://schemas.openxmlformats.org/officeDocument/2006/relationships/hyperlink" Target="https://poolhost.com/profootball/playerstats/1684266" TargetMode="External"/><Relationship Id="rId87" Type="http://schemas.openxmlformats.org/officeDocument/2006/relationships/hyperlink" Target="https://poolhost.com/profootball/playerstats/1702170" TargetMode="External"/><Relationship Id="rId110" Type="http://schemas.openxmlformats.org/officeDocument/2006/relationships/hyperlink" Target="https://poolhost.com/profootball/playerstats/1703401" TargetMode="External"/><Relationship Id="rId115" Type="http://schemas.openxmlformats.org/officeDocument/2006/relationships/hyperlink" Target="https://poolhost.com/profootball/playerstats/1702449" TargetMode="External"/><Relationship Id="rId131" Type="http://schemas.openxmlformats.org/officeDocument/2006/relationships/hyperlink" Target="https://poolhost.com/profootball/playerstats/1676654" TargetMode="External"/><Relationship Id="rId136" Type="http://schemas.openxmlformats.org/officeDocument/2006/relationships/hyperlink" Target="https://poolhost.com/profootball/playerstats/1725535" TargetMode="External"/><Relationship Id="rId157" Type="http://schemas.openxmlformats.org/officeDocument/2006/relationships/hyperlink" Target="https://poolhost.com/profootball/playerstats/1685256" TargetMode="External"/><Relationship Id="rId61" Type="http://schemas.openxmlformats.org/officeDocument/2006/relationships/hyperlink" Target="https://poolhost.com/profootball/playerstats/1678667" TargetMode="External"/><Relationship Id="rId82" Type="http://schemas.openxmlformats.org/officeDocument/2006/relationships/hyperlink" Target="https://poolhost.com/profootball/playerstats/1657241" TargetMode="External"/><Relationship Id="rId152" Type="http://schemas.openxmlformats.org/officeDocument/2006/relationships/hyperlink" Target="https://poolhost.com/profootball/playerstats/1657801" TargetMode="External"/><Relationship Id="rId19" Type="http://schemas.openxmlformats.org/officeDocument/2006/relationships/hyperlink" Target="https://poolhost.com/profootball/playerstats/1732411" TargetMode="External"/><Relationship Id="rId14" Type="http://schemas.openxmlformats.org/officeDocument/2006/relationships/hyperlink" Target="https://poolhost.com/profootball/playerstats/1705272" TargetMode="External"/><Relationship Id="rId30" Type="http://schemas.openxmlformats.org/officeDocument/2006/relationships/hyperlink" Target="https://poolhost.com/profootball/playerstats/1733415" TargetMode="External"/><Relationship Id="rId35" Type="http://schemas.openxmlformats.org/officeDocument/2006/relationships/hyperlink" Target="https://poolhost.com/profootball/playerstats/1654484" TargetMode="External"/><Relationship Id="rId56" Type="http://schemas.openxmlformats.org/officeDocument/2006/relationships/hyperlink" Target="https://poolhost.com/profootball/playerstats/1700155" TargetMode="External"/><Relationship Id="rId77" Type="http://schemas.openxmlformats.org/officeDocument/2006/relationships/hyperlink" Target="https://poolhost.com/profootball/playerstats/1662306" TargetMode="External"/><Relationship Id="rId100" Type="http://schemas.openxmlformats.org/officeDocument/2006/relationships/hyperlink" Target="https://poolhost.com/profootball/playerstats/1665631" TargetMode="External"/><Relationship Id="rId105" Type="http://schemas.openxmlformats.org/officeDocument/2006/relationships/hyperlink" Target="https://poolhost.com/profootball/playerstats/1730676" TargetMode="External"/><Relationship Id="rId126" Type="http://schemas.openxmlformats.org/officeDocument/2006/relationships/hyperlink" Target="https://poolhost.com/profootball/playerstats/1668682" TargetMode="External"/><Relationship Id="rId147" Type="http://schemas.openxmlformats.org/officeDocument/2006/relationships/hyperlink" Target="https://poolhost.com/profootball/playerstats/1672167" TargetMode="External"/><Relationship Id="rId8" Type="http://schemas.openxmlformats.org/officeDocument/2006/relationships/hyperlink" Target="https://poolhost.com/profootball/playerstats/1678632" TargetMode="External"/><Relationship Id="rId51" Type="http://schemas.openxmlformats.org/officeDocument/2006/relationships/hyperlink" Target="https://poolhost.com/profootball/playerstats/1732788" TargetMode="External"/><Relationship Id="rId72" Type="http://schemas.openxmlformats.org/officeDocument/2006/relationships/hyperlink" Target="https://poolhost.com/profootball/playerstats/1701053" TargetMode="External"/><Relationship Id="rId93" Type="http://schemas.openxmlformats.org/officeDocument/2006/relationships/hyperlink" Target="https://poolhost.com/profootball/playerstats/1659875" TargetMode="External"/><Relationship Id="rId98" Type="http://schemas.openxmlformats.org/officeDocument/2006/relationships/hyperlink" Target="https://poolhost.com/profootball/playerstats/1649341" TargetMode="External"/><Relationship Id="rId121" Type="http://schemas.openxmlformats.org/officeDocument/2006/relationships/hyperlink" Target="https://poolhost.com/profootball/playerstats/1733218" TargetMode="External"/><Relationship Id="rId142" Type="http://schemas.openxmlformats.org/officeDocument/2006/relationships/hyperlink" Target="https://poolhost.com/profootball/playerstats/1721401" TargetMode="External"/><Relationship Id="rId163" Type="http://schemas.openxmlformats.org/officeDocument/2006/relationships/hyperlink" Target="https://poolhost.com/profootball/playerstats/1731755" TargetMode="External"/><Relationship Id="rId3" Type="http://schemas.openxmlformats.org/officeDocument/2006/relationships/hyperlink" Target="https://poolhost.com/profootball/playerstats/1654485" TargetMode="External"/><Relationship Id="rId25" Type="http://schemas.openxmlformats.org/officeDocument/2006/relationships/hyperlink" Target="https://poolhost.com/profootball/playerstats/1671748" TargetMode="External"/><Relationship Id="rId46" Type="http://schemas.openxmlformats.org/officeDocument/2006/relationships/hyperlink" Target="https://poolhost.com/profootball/playerstats/1705346" TargetMode="External"/><Relationship Id="rId67" Type="http://schemas.openxmlformats.org/officeDocument/2006/relationships/hyperlink" Target="https://poolhost.com/profootball/playerstats/1696717" TargetMode="External"/><Relationship Id="rId116" Type="http://schemas.openxmlformats.org/officeDocument/2006/relationships/hyperlink" Target="https://poolhost.com/profootball/playerstats/1699810" TargetMode="External"/><Relationship Id="rId137" Type="http://schemas.openxmlformats.org/officeDocument/2006/relationships/hyperlink" Target="https://poolhost.com/profootball/playerstats/1673761" TargetMode="External"/><Relationship Id="rId158" Type="http://schemas.openxmlformats.org/officeDocument/2006/relationships/hyperlink" Target="https://poolhost.com/profootball/playerstats/1670484" TargetMode="External"/><Relationship Id="rId20" Type="http://schemas.openxmlformats.org/officeDocument/2006/relationships/hyperlink" Target="https://poolhost.com/profootball/playerstats/1657103" TargetMode="External"/><Relationship Id="rId41" Type="http://schemas.openxmlformats.org/officeDocument/2006/relationships/hyperlink" Target="https://poolhost.com/profootball/playerstats/1708448" TargetMode="External"/><Relationship Id="rId62" Type="http://schemas.openxmlformats.org/officeDocument/2006/relationships/hyperlink" Target="https://poolhost.com/profootball/playerstats/1729617" TargetMode="External"/><Relationship Id="rId83" Type="http://schemas.openxmlformats.org/officeDocument/2006/relationships/hyperlink" Target="https://poolhost.com/profootball/playerstats/1731690" TargetMode="External"/><Relationship Id="rId88" Type="http://schemas.openxmlformats.org/officeDocument/2006/relationships/hyperlink" Target="https://poolhost.com/profootball/playerstats/1727817" TargetMode="External"/><Relationship Id="rId111" Type="http://schemas.openxmlformats.org/officeDocument/2006/relationships/hyperlink" Target="https://poolhost.com/profootball/playerstats/1668687" TargetMode="External"/><Relationship Id="rId132" Type="http://schemas.openxmlformats.org/officeDocument/2006/relationships/hyperlink" Target="https://poolhost.com/profootball/playerstats/1722286" TargetMode="External"/><Relationship Id="rId153" Type="http://schemas.openxmlformats.org/officeDocument/2006/relationships/hyperlink" Target="https://poolhost.com/profootball/playerstats/1678377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poolhost.com/profootball/playerstats/1658459" TargetMode="External"/><Relationship Id="rId117" Type="http://schemas.openxmlformats.org/officeDocument/2006/relationships/hyperlink" Target="https://poolhost.com/profootball/playerstats/1665979" TargetMode="External"/><Relationship Id="rId21" Type="http://schemas.openxmlformats.org/officeDocument/2006/relationships/hyperlink" Target="https://poolhost.com/profootball/playerstats/1686915" TargetMode="External"/><Relationship Id="rId42" Type="http://schemas.openxmlformats.org/officeDocument/2006/relationships/hyperlink" Target="https://poolhost.com/profootball/playerstats/1657583" TargetMode="External"/><Relationship Id="rId47" Type="http://schemas.openxmlformats.org/officeDocument/2006/relationships/hyperlink" Target="https://poolhost.com/profootball/playerstats/1708448" TargetMode="External"/><Relationship Id="rId63" Type="http://schemas.openxmlformats.org/officeDocument/2006/relationships/hyperlink" Target="https://poolhost.com/profootball/playerstats/1723980" TargetMode="External"/><Relationship Id="rId68" Type="http://schemas.openxmlformats.org/officeDocument/2006/relationships/hyperlink" Target="https://poolhost.com/profootball/playerstats/1703401" TargetMode="External"/><Relationship Id="rId84" Type="http://schemas.openxmlformats.org/officeDocument/2006/relationships/hyperlink" Target="https://poolhost.com/profootball/playerstats/1665810" TargetMode="External"/><Relationship Id="rId89" Type="http://schemas.openxmlformats.org/officeDocument/2006/relationships/hyperlink" Target="https://poolhost.com/profootball/playerstats/1668687" TargetMode="External"/><Relationship Id="rId112" Type="http://schemas.openxmlformats.org/officeDocument/2006/relationships/hyperlink" Target="https://poolhost.com/profootball/playerstats/1683389" TargetMode="External"/><Relationship Id="rId133" Type="http://schemas.openxmlformats.org/officeDocument/2006/relationships/hyperlink" Target="https://poolhost.com/profootball/playerstats/1667866" TargetMode="External"/><Relationship Id="rId138" Type="http://schemas.openxmlformats.org/officeDocument/2006/relationships/hyperlink" Target="https://poolhost.com/profootball/playerstats/1704026" TargetMode="External"/><Relationship Id="rId154" Type="http://schemas.openxmlformats.org/officeDocument/2006/relationships/hyperlink" Target="https://poolhost.com/profootball/playerstats/1654623" TargetMode="External"/><Relationship Id="rId159" Type="http://schemas.openxmlformats.org/officeDocument/2006/relationships/hyperlink" Target="https://poolhost.com/profootball/playerstats/1729262" TargetMode="External"/><Relationship Id="rId16" Type="http://schemas.openxmlformats.org/officeDocument/2006/relationships/hyperlink" Target="https://poolhost.com/profootball/playerstats/1678632" TargetMode="External"/><Relationship Id="rId107" Type="http://schemas.openxmlformats.org/officeDocument/2006/relationships/hyperlink" Target="https://poolhost.com/profootball/playerstats/1715552" TargetMode="External"/><Relationship Id="rId11" Type="http://schemas.openxmlformats.org/officeDocument/2006/relationships/hyperlink" Target="https://poolhost.com/profootball/playerstats/1654791" TargetMode="External"/><Relationship Id="rId32" Type="http://schemas.openxmlformats.org/officeDocument/2006/relationships/hyperlink" Target="https://poolhost.com/profootball/playerstats/1667937" TargetMode="External"/><Relationship Id="rId37" Type="http://schemas.openxmlformats.org/officeDocument/2006/relationships/hyperlink" Target="https://poolhost.com/profootball/playerstats/1701053" TargetMode="External"/><Relationship Id="rId53" Type="http://schemas.openxmlformats.org/officeDocument/2006/relationships/hyperlink" Target="https://poolhost.com/profootball/playerstats/1682523" TargetMode="External"/><Relationship Id="rId58" Type="http://schemas.openxmlformats.org/officeDocument/2006/relationships/hyperlink" Target="https://poolhost.com/profootball/playerstats/1708312" TargetMode="External"/><Relationship Id="rId74" Type="http://schemas.openxmlformats.org/officeDocument/2006/relationships/hyperlink" Target="https://poolhost.com/profootball/playerstats/1695492" TargetMode="External"/><Relationship Id="rId79" Type="http://schemas.openxmlformats.org/officeDocument/2006/relationships/hyperlink" Target="https://poolhost.com/profootball/playerstats/1662306" TargetMode="External"/><Relationship Id="rId102" Type="http://schemas.openxmlformats.org/officeDocument/2006/relationships/hyperlink" Target="https://poolhost.com/profootball/playerstats/1684290" TargetMode="External"/><Relationship Id="rId123" Type="http://schemas.openxmlformats.org/officeDocument/2006/relationships/hyperlink" Target="https://poolhost.com/profootball/playerstats/1668628" TargetMode="External"/><Relationship Id="rId128" Type="http://schemas.openxmlformats.org/officeDocument/2006/relationships/hyperlink" Target="https://poolhost.com/profootball/playerstats/1659846" TargetMode="External"/><Relationship Id="rId144" Type="http://schemas.openxmlformats.org/officeDocument/2006/relationships/hyperlink" Target="https://poolhost.com/profootball/playerstats/1657024" TargetMode="External"/><Relationship Id="rId149" Type="http://schemas.openxmlformats.org/officeDocument/2006/relationships/hyperlink" Target="https://poolhost.com/profootball/playerstats/1707988" TargetMode="External"/><Relationship Id="rId5" Type="http://schemas.openxmlformats.org/officeDocument/2006/relationships/hyperlink" Target="https://poolhost.com/profootball/playerstats/1668682" TargetMode="External"/><Relationship Id="rId90" Type="http://schemas.openxmlformats.org/officeDocument/2006/relationships/hyperlink" Target="https://poolhost.com/profootball/playerstats/1660811" TargetMode="External"/><Relationship Id="rId95" Type="http://schemas.openxmlformats.org/officeDocument/2006/relationships/hyperlink" Target="https://poolhost.com/profootball/playerstats/1659558" TargetMode="External"/><Relationship Id="rId160" Type="http://schemas.openxmlformats.org/officeDocument/2006/relationships/hyperlink" Target="https://poolhost.com/profootball/playerstats/1671837" TargetMode="External"/><Relationship Id="rId22" Type="http://schemas.openxmlformats.org/officeDocument/2006/relationships/hyperlink" Target="https://poolhost.com/profootball/playerstats/1727170" TargetMode="External"/><Relationship Id="rId27" Type="http://schemas.openxmlformats.org/officeDocument/2006/relationships/hyperlink" Target="https://poolhost.com/profootball/playerstats/1666027" TargetMode="External"/><Relationship Id="rId43" Type="http://schemas.openxmlformats.org/officeDocument/2006/relationships/hyperlink" Target="https://poolhost.com/profootball/playerstats/1709781" TargetMode="External"/><Relationship Id="rId48" Type="http://schemas.openxmlformats.org/officeDocument/2006/relationships/hyperlink" Target="https://poolhost.com/profootball/playerstats/1669212" TargetMode="External"/><Relationship Id="rId64" Type="http://schemas.openxmlformats.org/officeDocument/2006/relationships/hyperlink" Target="https://poolhost.com/profootball/playerstats/1657801" TargetMode="External"/><Relationship Id="rId69" Type="http://schemas.openxmlformats.org/officeDocument/2006/relationships/hyperlink" Target="https://poolhost.com/profootball/playerstats/1682884" TargetMode="External"/><Relationship Id="rId113" Type="http://schemas.openxmlformats.org/officeDocument/2006/relationships/hyperlink" Target="https://poolhost.com/profootball/playerstats/1697912" TargetMode="External"/><Relationship Id="rId118" Type="http://schemas.openxmlformats.org/officeDocument/2006/relationships/hyperlink" Target="https://poolhost.com/profootball/playerstats/1727817" TargetMode="External"/><Relationship Id="rId134" Type="http://schemas.openxmlformats.org/officeDocument/2006/relationships/hyperlink" Target="https://poolhost.com/profootball/playerstats/1701354" TargetMode="External"/><Relationship Id="rId139" Type="http://schemas.openxmlformats.org/officeDocument/2006/relationships/hyperlink" Target="https://poolhost.com/profootball/playerstats/1656464" TargetMode="External"/><Relationship Id="rId80" Type="http://schemas.openxmlformats.org/officeDocument/2006/relationships/hyperlink" Target="https://poolhost.com/profootball/playerstats/1661711" TargetMode="External"/><Relationship Id="rId85" Type="http://schemas.openxmlformats.org/officeDocument/2006/relationships/hyperlink" Target="https://poolhost.com/profootball/playerstats/1674086" TargetMode="External"/><Relationship Id="rId150" Type="http://schemas.openxmlformats.org/officeDocument/2006/relationships/hyperlink" Target="https://poolhost.com/profootball/playerstats/1654649" TargetMode="External"/><Relationship Id="rId155" Type="http://schemas.openxmlformats.org/officeDocument/2006/relationships/hyperlink" Target="https://poolhost.com/profootball/playerstats/1681946" TargetMode="External"/><Relationship Id="rId12" Type="http://schemas.openxmlformats.org/officeDocument/2006/relationships/hyperlink" Target="https://poolhost.com/profootball/playerstats/1704294" TargetMode="External"/><Relationship Id="rId17" Type="http://schemas.openxmlformats.org/officeDocument/2006/relationships/hyperlink" Target="https://poolhost.com/profootball/playerstats/1654634" TargetMode="External"/><Relationship Id="rId33" Type="http://schemas.openxmlformats.org/officeDocument/2006/relationships/hyperlink" Target="https://poolhost.com/profootball/playerstats/1694017" TargetMode="External"/><Relationship Id="rId38" Type="http://schemas.openxmlformats.org/officeDocument/2006/relationships/hyperlink" Target="https://poolhost.com/profootball/playerstats/1674022" TargetMode="External"/><Relationship Id="rId59" Type="http://schemas.openxmlformats.org/officeDocument/2006/relationships/hyperlink" Target="https://poolhost.com/profootball/playerstats/1732411" TargetMode="External"/><Relationship Id="rId103" Type="http://schemas.openxmlformats.org/officeDocument/2006/relationships/hyperlink" Target="https://poolhost.com/profootball/playerstats/1686727" TargetMode="External"/><Relationship Id="rId108" Type="http://schemas.openxmlformats.org/officeDocument/2006/relationships/hyperlink" Target="https://poolhost.com/profootball/playerstats/1657241" TargetMode="External"/><Relationship Id="rId124" Type="http://schemas.openxmlformats.org/officeDocument/2006/relationships/hyperlink" Target="https://poolhost.com/profootball/playerstats/1696717" TargetMode="External"/><Relationship Id="rId129" Type="http://schemas.openxmlformats.org/officeDocument/2006/relationships/hyperlink" Target="https://poolhost.com/profootball/playerstats/1734172" TargetMode="External"/><Relationship Id="rId54" Type="http://schemas.openxmlformats.org/officeDocument/2006/relationships/hyperlink" Target="https://poolhost.com/profootball/playerstats/1729617" TargetMode="External"/><Relationship Id="rId70" Type="http://schemas.openxmlformats.org/officeDocument/2006/relationships/hyperlink" Target="https://poolhost.com/profootball/playerstats/1721401" TargetMode="External"/><Relationship Id="rId75" Type="http://schemas.openxmlformats.org/officeDocument/2006/relationships/hyperlink" Target="https://poolhost.com/profootball/playerstats/1725535" TargetMode="External"/><Relationship Id="rId91" Type="http://schemas.openxmlformats.org/officeDocument/2006/relationships/hyperlink" Target="https://poolhost.com/profootball/playerstats/1721307" TargetMode="External"/><Relationship Id="rId96" Type="http://schemas.openxmlformats.org/officeDocument/2006/relationships/hyperlink" Target="https://poolhost.com/profootball/playerstats/1679667" TargetMode="External"/><Relationship Id="rId140" Type="http://schemas.openxmlformats.org/officeDocument/2006/relationships/hyperlink" Target="https://poolhost.com/profootball/playerstats/1666092" TargetMode="External"/><Relationship Id="rId145" Type="http://schemas.openxmlformats.org/officeDocument/2006/relationships/hyperlink" Target="https://poolhost.com/profootball/playerstats/1679009" TargetMode="External"/><Relationship Id="rId161" Type="http://schemas.openxmlformats.org/officeDocument/2006/relationships/hyperlink" Target="https://poolhost.com/profootball/playerstats/1667376" TargetMode="External"/><Relationship Id="rId1" Type="http://schemas.openxmlformats.org/officeDocument/2006/relationships/hyperlink" Target="https://poolhost.com/profootball/playerstats/1670226" TargetMode="External"/><Relationship Id="rId6" Type="http://schemas.openxmlformats.org/officeDocument/2006/relationships/hyperlink" Target="https://poolhost.com/profootball/playerstats/1724223" TargetMode="External"/><Relationship Id="rId15" Type="http://schemas.openxmlformats.org/officeDocument/2006/relationships/hyperlink" Target="https://poolhost.com/profootball/playerstats/1669323" TargetMode="External"/><Relationship Id="rId23" Type="http://schemas.openxmlformats.org/officeDocument/2006/relationships/hyperlink" Target="https://poolhost.com/profootball/playerstats/1676654" TargetMode="External"/><Relationship Id="rId28" Type="http://schemas.openxmlformats.org/officeDocument/2006/relationships/hyperlink" Target="https://poolhost.com/profootball/playerstats/1676125" TargetMode="External"/><Relationship Id="rId36" Type="http://schemas.openxmlformats.org/officeDocument/2006/relationships/hyperlink" Target="https://poolhost.com/profootball/playerstats/1705049" TargetMode="External"/><Relationship Id="rId49" Type="http://schemas.openxmlformats.org/officeDocument/2006/relationships/hyperlink" Target="https://poolhost.com/profootball/playerstats/1663101" TargetMode="External"/><Relationship Id="rId57" Type="http://schemas.openxmlformats.org/officeDocument/2006/relationships/hyperlink" Target="https://poolhost.com/profootball/playerstats/1732996" TargetMode="External"/><Relationship Id="rId106" Type="http://schemas.openxmlformats.org/officeDocument/2006/relationships/hyperlink" Target="https://poolhost.com/profootball/playerstats/1654448" TargetMode="External"/><Relationship Id="rId114" Type="http://schemas.openxmlformats.org/officeDocument/2006/relationships/hyperlink" Target="https://poolhost.com/profootball/playerstats/1694354" TargetMode="External"/><Relationship Id="rId119" Type="http://schemas.openxmlformats.org/officeDocument/2006/relationships/hyperlink" Target="https://poolhost.com/profootball/playerstats/1681958" TargetMode="External"/><Relationship Id="rId127" Type="http://schemas.openxmlformats.org/officeDocument/2006/relationships/hyperlink" Target="https://poolhost.com/profootball/playerstats/1657214" TargetMode="External"/><Relationship Id="rId10" Type="http://schemas.openxmlformats.org/officeDocument/2006/relationships/hyperlink" Target="https://poolhost.com/profootball/playerstats/1666034" TargetMode="External"/><Relationship Id="rId31" Type="http://schemas.openxmlformats.org/officeDocument/2006/relationships/hyperlink" Target="https://poolhost.com/profootball/playerstats/1657103" TargetMode="External"/><Relationship Id="rId44" Type="http://schemas.openxmlformats.org/officeDocument/2006/relationships/hyperlink" Target="https://poolhost.com/profootball/playerstats/1705346" TargetMode="External"/><Relationship Id="rId52" Type="http://schemas.openxmlformats.org/officeDocument/2006/relationships/hyperlink" Target="https://poolhost.com/profootball/playerstats/1684266" TargetMode="External"/><Relationship Id="rId60" Type="http://schemas.openxmlformats.org/officeDocument/2006/relationships/hyperlink" Target="https://poolhost.com/profootball/playerstats/1662606" TargetMode="External"/><Relationship Id="rId65" Type="http://schemas.openxmlformats.org/officeDocument/2006/relationships/hyperlink" Target="https://poolhost.com/profootball/playerstats/1673761" TargetMode="External"/><Relationship Id="rId73" Type="http://schemas.openxmlformats.org/officeDocument/2006/relationships/hyperlink" Target="https://poolhost.com/profootball/playerstats/1649341" TargetMode="External"/><Relationship Id="rId78" Type="http://schemas.openxmlformats.org/officeDocument/2006/relationships/hyperlink" Target="https://poolhost.com/profootball/playerstats/1726326" TargetMode="External"/><Relationship Id="rId81" Type="http://schemas.openxmlformats.org/officeDocument/2006/relationships/hyperlink" Target="https://poolhost.com/profootball/playerstats/1705272" TargetMode="External"/><Relationship Id="rId86" Type="http://schemas.openxmlformats.org/officeDocument/2006/relationships/hyperlink" Target="https://poolhost.com/profootball/playerstats/1741250" TargetMode="External"/><Relationship Id="rId94" Type="http://schemas.openxmlformats.org/officeDocument/2006/relationships/hyperlink" Target="https://poolhost.com/profootball/playerstats/1673234" TargetMode="External"/><Relationship Id="rId99" Type="http://schemas.openxmlformats.org/officeDocument/2006/relationships/hyperlink" Target="https://poolhost.com/profootball/playerstats/1726632" TargetMode="External"/><Relationship Id="rId101" Type="http://schemas.openxmlformats.org/officeDocument/2006/relationships/hyperlink" Target="https://poolhost.com/profootball/playerstats/1679300" TargetMode="External"/><Relationship Id="rId122" Type="http://schemas.openxmlformats.org/officeDocument/2006/relationships/hyperlink" Target="https://poolhost.com/profootball/playerstats/1700157" TargetMode="External"/><Relationship Id="rId130" Type="http://schemas.openxmlformats.org/officeDocument/2006/relationships/hyperlink" Target="https://poolhost.com/profootball/playerstats/1702449" TargetMode="External"/><Relationship Id="rId135" Type="http://schemas.openxmlformats.org/officeDocument/2006/relationships/hyperlink" Target="https://poolhost.com/profootball/playerstats/1699660" TargetMode="External"/><Relationship Id="rId143" Type="http://schemas.openxmlformats.org/officeDocument/2006/relationships/hyperlink" Target="https://poolhost.com/profootball/playerstats/1695716" TargetMode="External"/><Relationship Id="rId148" Type="http://schemas.openxmlformats.org/officeDocument/2006/relationships/hyperlink" Target="https://poolhost.com/profootball/playerstats/1703435" TargetMode="External"/><Relationship Id="rId151" Type="http://schemas.openxmlformats.org/officeDocument/2006/relationships/hyperlink" Target="https://poolhost.com/profootball/playerstats/1705249" TargetMode="External"/><Relationship Id="rId156" Type="http://schemas.openxmlformats.org/officeDocument/2006/relationships/hyperlink" Target="https://poolhost.com/profootball/playerstats/1730676" TargetMode="External"/><Relationship Id="rId4" Type="http://schemas.openxmlformats.org/officeDocument/2006/relationships/hyperlink" Target="https://poolhost.com/profootball/playerstats/1684491" TargetMode="External"/><Relationship Id="rId9" Type="http://schemas.openxmlformats.org/officeDocument/2006/relationships/hyperlink" Target="https://poolhost.com/profootball/playerstats/1722206" TargetMode="External"/><Relationship Id="rId13" Type="http://schemas.openxmlformats.org/officeDocument/2006/relationships/hyperlink" Target="https://poolhost.com/profootball/playerstats/1712780" TargetMode="External"/><Relationship Id="rId18" Type="http://schemas.openxmlformats.org/officeDocument/2006/relationships/hyperlink" Target="https://poolhost.com/profootball/playerstats/1655447" TargetMode="External"/><Relationship Id="rId39" Type="http://schemas.openxmlformats.org/officeDocument/2006/relationships/hyperlink" Target="https://poolhost.com/profootball/playerstats/1729314" TargetMode="External"/><Relationship Id="rId109" Type="http://schemas.openxmlformats.org/officeDocument/2006/relationships/hyperlink" Target="https://poolhost.com/profootball/playerstats/1687892" TargetMode="External"/><Relationship Id="rId34" Type="http://schemas.openxmlformats.org/officeDocument/2006/relationships/hyperlink" Target="https://poolhost.com/profootball/playerstats/1665910" TargetMode="External"/><Relationship Id="rId50" Type="http://schemas.openxmlformats.org/officeDocument/2006/relationships/hyperlink" Target="https://poolhost.com/profootball/playerstats/1654484" TargetMode="External"/><Relationship Id="rId55" Type="http://schemas.openxmlformats.org/officeDocument/2006/relationships/hyperlink" Target="https://poolhost.com/profootball/playerstats/1709552" TargetMode="External"/><Relationship Id="rId76" Type="http://schemas.openxmlformats.org/officeDocument/2006/relationships/hyperlink" Target="https://poolhost.com/profootball/playerstats/1677049" TargetMode="External"/><Relationship Id="rId97" Type="http://schemas.openxmlformats.org/officeDocument/2006/relationships/hyperlink" Target="https://poolhost.com/profootball/playerstats/1659875" TargetMode="External"/><Relationship Id="rId104" Type="http://schemas.openxmlformats.org/officeDocument/2006/relationships/hyperlink" Target="https://poolhost.com/profootball/playerstats/1722286" TargetMode="External"/><Relationship Id="rId120" Type="http://schemas.openxmlformats.org/officeDocument/2006/relationships/hyperlink" Target="https://poolhost.com/profootball/playerstats/1708805" TargetMode="External"/><Relationship Id="rId125" Type="http://schemas.openxmlformats.org/officeDocument/2006/relationships/hyperlink" Target="https://poolhost.com/profootball/playerstats/1663641" TargetMode="External"/><Relationship Id="rId141" Type="http://schemas.openxmlformats.org/officeDocument/2006/relationships/hyperlink" Target="https://poolhost.com/profootball/playerstats/1733218" TargetMode="External"/><Relationship Id="rId146" Type="http://schemas.openxmlformats.org/officeDocument/2006/relationships/hyperlink" Target="https://poolhost.com/profootball/playerstats/1654485" TargetMode="External"/><Relationship Id="rId7" Type="http://schemas.openxmlformats.org/officeDocument/2006/relationships/hyperlink" Target="https://poolhost.com/profootball/playerstats/1666473" TargetMode="External"/><Relationship Id="rId71" Type="http://schemas.openxmlformats.org/officeDocument/2006/relationships/hyperlink" Target="https://poolhost.com/profootball/playerstats/1668461" TargetMode="External"/><Relationship Id="rId92" Type="http://schemas.openxmlformats.org/officeDocument/2006/relationships/hyperlink" Target="https://poolhost.com/profootball/playerstats/1670484" TargetMode="External"/><Relationship Id="rId162" Type="http://schemas.openxmlformats.org/officeDocument/2006/relationships/hyperlink" Target="https://poolhost.com/profootball/playerstats/1677370" TargetMode="External"/><Relationship Id="rId2" Type="http://schemas.openxmlformats.org/officeDocument/2006/relationships/hyperlink" Target="https://poolhost.com/profootball/playerstats/1730270" TargetMode="External"/><Relationship Id="rId29" Type="http://schemas.openxmlformats.org/officeDocument/2006/relationships/hyperlink" Target="https://poolhost.com/profootball/playerstats/1673248" TargetMode="External"/><Relationship Id="rId24" Type="http://schemas.openxmlformats.org/officeDocument/2006/relationships/hyperlink" Target="https://poolhost.com/profootball/playerstats/1722233" TargetMode="External"/><Relationship Id="rId40" Type="http://schemas.openxmlformats.org/officeDocument/2006/relationships/hyperlink" Target="https://poolhost.com/profootball/playerstats/1666449" TargetMode="External"/><Relationship Id="rId45" Type="http://schemas.openxmlformats.org/officeDocument/2006/relationships/hyperlink" Target="https://poolhost.com/profootball/playerstats/1731690" TargetMode="External"/><Relationship Id="rId66" Type="http://schemas.openxmlformats.org/officeDocument/2006/relationships/hyperlink" Target="https://poolhost.com/profootball/playerstats/1649126" TargetMode="External"/><Relationship Id="rId87" Type="http://schemas.openxmlformats.org/officeDocument/2006/relationships/hyperlink" Target="https://poolhost.com/profootball/playerstats/1654603" TargetMode="External"/><Relationship Id="rId110" Type="http://schemas.openxmlformats.org/officeDocument/2006/relationships/hyperlink" Target="https://poolhost.com/profootball/playerstats/1711169" TargetMode="External"/><Relationship Id="rId115" Type="http://schemas.openxmlformats.org/officeDocument/2006/relationships/hyperlink" Target="https://poolhost.com/profootball/playerstats/1665631" TargetMode="External"/><Relationship Id="rId131" Type="http://schemas.openxmlformats.org/officeDocument/2006/relationships/hyperlink" Target="https://poolhost.com/profootball/playerstats/1670025" TargetMode="External"/><Relationship Id="rId136" Type="http://schemas.openxmlformats.org/officeDocument/2006/relationships/hyperlink" Target="https://poolhost.com/profootball/playerstats/1728782" TargetMode="External"/><Relationship Id="rId157" Type="http://schemas.openxmlformats.org/officeDocument/2006/relationships/hyperlink" Target="https://poolhost.com/profootball/playerstats/1681897" TargetMode="External"/><Relationship Id="rId61" Type="http://schemas.openxmlformats.org/officeDocument/2006/relationships/hyperlink" Target="https://poolhost.com/profootball/playerstats/1705029" TargetMode="External"/><Relationship Id="rId82" Type="http://schemas.openxmlformats.org/officeDocument/2006/relationships/hyperlink" Target="https://poolhost.com/profootball/playerstats/1728787" TargetMode="External"/><Relationship Id="rId152" Type="http://schemas.openxmlformats.org/officeDocument/2006/relationships/hyperlink" Target="https://poolhost.com/profootball/playerstats/1732953" TargetMode="External"/><Relationship Id="rId19" Type="http://schemas.openxmlformats.org/officeDocument/2006/relationships/hyperlink" Target="https://poolhost.com/profootball/playerstats/1735486" TargetMode="External"/><Relationship Id="rId14" Type="http://schemas.openxmlformats.org/officeDocument/2006/relationships/hyperlink" Target="https://poolhost.com/profootball/playerstats/1702170" TargetMode="External"/><Relationship Id="rId30" Type="http://schemas.openxmlformats.org/officeDocument/2006/relationships/hyperlink" Target="https://poolhost.com/profootball/playerstats/1732788" TargetMode="External"/><Relationship Id="rId35" Type="http://schemas.openxmlformats.org/officeDocument/2006/relationships/hyperlink" Target="https://poolhost.com/profootball/playerstats/1732290" TargetMode="External"/><Relationship Id="rId56" Type="http://schemas.openxmlformats.org/officeDocument/2006/relationships/hyperlink" Target="https://poolhost.com/profootball/playerstats/1655488" TargetMode="External"/><Relationship Id="rId77" Type="http://schemas.openxmlformats.org/officeDocument/2006/relationships/hyperlink" Target="https://poolhost.com/profootball/playerstats/1732254" TargetMode="External"/><Relationship Id="rId100" Type="http://schemas.openxmlformats.org/officeDocument/2006/relationships/hyperlink" Target="https://poolhost.com/profootball/playerstats/1708505" TargetMode="External"/><Relationship Id="rId105" Type="http://schemas.openxmlformats.org/officeDocument/2006/relationships/hyperlink" Target="https://poolhost.com/profootball/playerstats/1730347" TargetMode="External"/><Relationship Id="rId126" Type="http://schemas.openxmlformats.org/officeDocument/2006/relationships/hyperlink" Target="https://poolhost.com/profootball/playerstats/1678667" TargetMode="External"/><Relationship Id="rId147" Type="http://schemas.openxmlformats.org/officeDocument/2006/relationships/hyperlink" Target="https://poolhost.com/profootball/playerstats/1731780" TargetMode="External"/><Relationship Id="rId8" Type="http://schemas.openxmlformats.org/officeDocument/2006/relationships/hyperlink" Target="https://poolhost.com/profootball/playerstats/1672167" TargetMode="External"/><Relationship Id="rId51" Type="http://schemas.openxmlformats.org/officeDocument/2006/relationships/hyperlink" Target="https://poolhost.com/profootball/playerstats/1680041" TargetMode="External"/><Relationship Id="rId72" Type="http://schemas.openxmlformats.org/officeDocument/2006/relationships/hyperlink" Target="https://poolhost.com/profootball/playerstats/1672298" TargetMode="External"/><Relationship Id="rId93" Type="http://schemas.openxmlformats.org/officeDocument/2006/relationships/hyperlink" Target="https://poolhost.com/profootball/playerstats/1679156" TargetMode="External"/><Relationship Id="rId98" Type="http://schemas.openxmlformats.org/officeDocument/2006/relationships/hyperlink" Target="https://poolhost.com/profootball/playerstats/1699295" TargetMode="External"/><Relationship Id="rId121" Type="http://schemas.openxmlformats.org/officeDocument/2006/relationships/hyperlink" Target="https://poolhost.com/profootball/playerstats/1729491" TargetMode="External"/><Relationship Id="rId142" Type="http://schemas.openxmlformats.org/officeDocument/2006/relationships/hyperlink" Target="https://poolhost.com/profootball/playerstats/1673222" TargetMode="External"/><Relationship Id="rId163" Type="http://schemas.openxmlformats.org/officeDocument/2006/relationships/hyperlink" Target="https://poolhost.com/profootball/playerstats/1671748" TargetMode="External"/><Relationship Id="rId3" Type="http://schemas.openxmlformats.org/officeDocument/2006/relationships/hyperlink" Target="https://poolhost.com/profootball/playerstats/1732851" TargetMode="External"/><Relationship Id="rId25" Type="http://schemas.openxmlformats.org/officeDocument/2006/relationships/hyperlink" Target="https://poolhost.com/profootball/playerstats/1699810" TargetMode="External"/><Relationship Id="rId46" Type="http://schemas.openxmlformats.org/officeDocument/2006/relationships/hyperlink" Target="https://poolhost.com/profootball/playerstats/1661981" TargetMode="External"/><Relationship Id="rId67" Type="http://schemas.openxmlformats.org/officeDocument/2006/relationships/hyperlink" Target="https://poolhost.com/profootball/playerstats/1700155" TargetMode="External"/><Relationship Id="rId116" Type="http://schemas.openxmlformats.org/officeDocument/2006/relationships/hyperlink" Target="https://poolhost.com/profootball/playerstats/1685256" TargetMode="External"/><Relationship Id="rId137" Type="http://schemas.openxmlformats.org/officeDocument/2006/relationships/hyperlink" Target="https://poolhost.com/profootball/playerstats/1734363" TargetMode="External"/><Relationship Id="rId158" Type="http://schemas.openxmlformats.org/officeDocument/2006/relationships/hyperlink" Target="https://poolhost.com/profootball/playerstats/1731755" TargetMode="External"/><Relationship Id="rId20" Type="http://schemas.openxmlformats.org/officeDocument/2006/relationships/hyperlink" Target="https://poolhost.com/profootball/playerstats/1691673" TargetMode="External"/><Relationship Id="rId41" Type="http://schemas.openxmlformats.org/officeDocument/2006/relationships/hyperlink" Target="https://poolhost.com/profootball/playerstats/1669305" TargetMode="External"/><Relationship Id="rId62" Type="http://schemas.openxmlformats.org/officeDocument/2006/relationships/hyperlink" Target="https://poolhost.com/profootball/playerstats/1683531" TargetMode="External"/><Relationship Id="rId83" Type="http://schemas.openxmlformats.org/officeDocument/2006/relationships/hyperlink" Target="https://poolhost.com/profootball/playerstats/1665614" TargetMode="External"/><Relationship Id="rId88" Type="http://schemas.openxmlformats.org/officeDocument/2006/relationships/hyperlink" Target="https://poolhost.com/profootball/playerstats/1685066" TargetMode="External"/><Relationship Id="rId111" Type="http://schemas.openxmlformats.org/officeDocument/2006/relationships/hyperlink" Target="https://poolhost.com/profootball/playerstats/1678377" TargetMode="External"/><Relationship Id="rId132" Type="http://schemas.openxmlformats.org/officeDocument/2006/relationships/hyperlink" Target="https://poolhost.com/profootball/playerstats/1654500" TargetMode="External"/><Relationship Id="rId153" Type="http://schemas.openxmlformats.org/officeDocument/2006/relationships/hyperlink" Target="https://poolhost.com/profootball/playerstats/1733415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poolhost.com/profootball/playerstats/1681946" TargetMode="External"/><Relationship Id="rId117" Type="http://schemas.openxmlformats.org/officeDocument/2006/relationships/hyperlink" Target="https://poolhost.com/profootball/playerstats/1661981" TargetMode="External"/><Relationship Id="rId21" Type="http://schemas.openxmlformats.org/officeDocument/2006/relationships/hyperlink" Target="https://poolhost.com/profootball/playerstats/1708505" TargetMode="External"/><Relationship Id="rId42" Type="http://schemas.openxmlformats.org/officeDocument/2006/relationships/hyperlink" Target="https://poolhost.com/profootball/playerstats/1665631" TargetMode="External"/><Relationship Id="rId47" Type="http://schemas.openxmlformats.org/officeDocument/2006/relationships/hyperlink" Target="https://poolhost.com/profootball/playerstats/1727170" TargetMode="External"/><Relationship Id="rId63" Type="http://schemas.openxmlformats.org/officeDocument/2006/relationships/hyperlink" Target="https://poolhost.com/profootball/playerstats/1685256" TargetMode="External"/><Relationship Id="rId68" Type="http://schemas.openxmlformats.org/officeDocument/2006/relationships/hyperlink" Target="https://poolhost.com/profootball/playerstats/1673761" TargetMode="External"/><Relationship Id="rId84" Type="http://schemas.openxmlformats.org/officeDocument/2006/relationships/hyperlink" Target="https://poolhost.com/profootball/playerstats/1684266" TargetMode="External"/><Relationship Id="rId89" Type="http://schemas.openxmlformats.org/officeDocument/2006/relationships/hyperlink" Target="https://poolhost.com/profootball/playerstats/1682523" TargetMode="External"/><Relationship Id="rId112" Type="http://schemas.openxmlformats.org/officeDocument/2006/relationships/hyperlink" Target="https://poolhost.com/profootball/playerstats/1694354" TargetMode="External"/><Relationship Id="rId133" Type="http://schemas.openxmlformats.org/officeDocument/2006/relationships/hyperlink" Target="https://poolhost.com/profootball/playerstats/1654448" TargetMode="External"/><Relationship Id="rId138" Type="http://schemas.openxmlformats.org/officeDocument/2006/relationships/hyperlink" Target="https://poolhost.com/profootball/playerstats/1733218" TargetMode="External"/><Relationship Id="rId154" Type="http://schemas.openxmlformats.org/officeDocument/2006/relationships/hyperlink" Target="https://poolhost.com/profootball/playerstats/1730270" TargetMode="External"/><Relationship Id="rId159" Type="http://schemas.openxmlformats.org/officeDocument/2006/relationships/hyperlink" Target="https://poolhost.com/profootball/playerstats/1659558" TargetMode="External"/><Relationship Id="rId16" Type="http://schemas.openxmlformats.org/officeDocument/2006/relationships/hyperlink" Target="https://poolhost.com/profootball/playerstats/1657583" TargetMode="External"/><Relationship Id="rId107" Type="http://schemas.openxmlformats.org/officeDocument/2006/relationships/hyperlink" Target="https://poolhost.com/profootball/playerstats/1732953" TargetMode="External"/><Relationship Id="rId11" Type="http://schemas.openxmlformats.org/officeDocument/2006/relationships/hyperlink" Target="https://poolhost.com/profootball/playerstats/1674022" TargetMode="External"/><Relationship Id="rId32" Type="http://schemas.openxmlformats.org/officeDocument/2006/relationships/hyperlink" Target="https://poolhost.com/profootball/playerstats/1705346" TargetMode="External"/><Relationship Id="rId37" Type="http://schemas.openxmlformats.org/officeDocument/2006/relationships/hyperlink" Target="https://poolhost.com/profootball/playerstats/1682884" TargetMode="External"/><Relationship Id="rId53" Type="http://schemas.openxmlformats.org/officeDocument/2006/relationships/hyperlink" Target="https://poolhost.com/profootball/playerstats/1666092" TargetMode="External"/><Relationship Id="rId58" Type="http://schemas.openxmlformats.org/officeDocument/2006/relationships/hyperlink" Target="https://poolhost.com/profootball/playerstats/1686915" TargetMode="External"/><Relationship Id="rId74" Type="http://schemas.openxmlformats.org/officeDocument/2006/relationships/hyperlink" Target="https://poolhost.com/profootball/playerstats/1654791" TargetMode="External"/><Relationship Id="rId79" Type="http://schemas.openxmlformats.org/officeDocument/2006/relationships/hyperlink" Target="https://poolhost.com/profootball/playerstats/1672298" TargetMode="External"/><Relationship Id="rId102" Type="http://schemas.openxmlformats.org/officeDocument/2006/relationships/hyperlink" Target="https://poolhost.com/profootball/playerstats/1729314" TargetMode="External"/><Relationship Id="rId123" Type="http://schemas.openxmlformats.org/officeDocument/2006/relationships/hyperlink" Target="https://poolhost.com/profootball/playerstats/1665614" TargetMode="External"/><Relationship Id="rId128" Type="http://schemas.openxmlformats.org/officeDocument/2006/relationships/hyperlink" Target="https://poolhost.com/profootball/playerstats/1658459" TargetMode="External"/><Relationship Id="rId144" Type="http://schemas.openxmlformats.org/officeDocument/2006/relationships/hyperlink" Target="https://poolhost.com/profootball/playerstats/1673248" TargetMode="External"/><Relationship Id="rId149" Type="http://schemas.openxmlformats.org/officeDocument/2006/relationships/hyperlink" Target="https://poolhost.com/profootball/playerstats/1676125" TargetMode="External"/><Relationship Id="rId5" Type="http://schemas.openxmlformats.org/officeDocument/2006/relationships/hyperlink" Target="https://poolhost.com/profootball/playerstats/1721307" TargetMode="External"/><Relationship Id="rId90" Type="http://schemas.openxmlformats.org/officeDocument/2006/relationships/hyperlink" Target="https://poolhost.com/profootball/playerstats/1705029" TargetMode="External"/><Relationship Id="rId95" Type="http://schemas.openxmlformats.org/officeDocument/2006/relationships/hyperlink" Target="https://poolhost.com/profootball/playerstats/1732788" TargetMode="External"/><Relationship Id="rId160" Type="http://schemas.openxmlformats.org/officeDocument/2006/relationships/hyperlink" Target="https://poolhost.com/profootball/playerstats/1654634" TargetMode="External"/><Relationship Id="rId22" Type="http://schemas.openxmlformats.org/officeDocument/2006/relationships/hyperlink" Target="https://poolhost.com/profootball/playerstats/1659875" TargetMode="External"/><Relationship Id="rId27" Type="http://schemas.openxmlformats.org/officeDocument/2006/relationships/hyperlink" Target="https://poolhost.com/profootball/playerstats/1730347" TargetMode="External"/><Relationship Id="rId43" Type="http://schemas.openxmlformats.org/officeDocument/2006/relationships/hyperlink" Target="https://poolhost.com/profootball/playerstats/1655447" TargetMode="External"/><Relationship Id="rId48" Type="http://schemas.openxmlformats.org/officeDocument/2006/relationships/hyperlink" Target="https://poolhost.com/profootball/playerstats/1656464" TargetMode="External"/><Relationship Id="rId64" Type="http://schemas.openxmlformats.org/officeDocument/2006/relationships/hyperlink" Target="https://poolhost.com/profootball/playerstats/1681897" TargetMode="External"/><Relationship Id="rId69" Type="http://schemas.openxmlformats.org/officeDocument/2006/relationships/hyperlink" Target="https://poolhost.com/profootball/playerstats/1666449" TargetMode="External"/><Relationship Id="rId113" Type="http://schemas.openxmlformats.org/officeDocument/2006/relationships/hyperlink" Target="https://poolhost.com/profootball/playerstats/1730676" TargetMode="External"/><Relationship Id="rId118" Type="http://schemas.openxmlformats.org/officeDocument/2006/relationships/hyperlink" Target="https://poolhost.com/profootball/playerstats/1696717" TargetMode="External"/><Relationship Id="rId134" Type="http://schemas.openxmlformats.org/officeDocument/2006/relationships/hyperlink" Target="https://poolhost.com/profootball/playerstats/1665910" TargetMode="External"/><Relationship Id="rId139" Type="http://schemas.openxmlformats.org/officeDocument/2006/relationships/hyperlink" Target="https://poolhost.com/profootball/playerstats/1732254" TargetMode="External"/><Relationship Id="rId80" Type="http://schemas.openxmlformats.org/officeDocument/2006/relationships/hyperlink" Target="https://poolhost.com/profootball/playerstats/1705249" TargetMode="External"/><Relationship Id="rId85" Type="http://schemas.openxmlformats.org/officeDocument/2006/relationships/hyperlink" Target="https://poolhost.com/profootball/playerstats/1663101" TargetMode="External"/><Relationship Id="rId150" Type="http://schemas.openxmlformats.org/officeDocument/2006/relationships/hyperlink" Target="https://poolhost.com/profootball/playerstats/1649126" TargetMode="External"/><Relationship Id="rId155" Type="http://schemas.openxmlformats.org/officeDocument/2006/relationships/hyperlink" Target="https://poolhost.com/profootball/playerstats/1731780" TargetMode="External"/><Relationship Id="rId12" Type="http://schemas.openxmlformats.org/officeDocument/2006/relationships/hyperlink" Target="https://poolhost.com/profootball/playerstats/1649341" TargetMode="External"/><Relationship Id="rId17" Type="http://schemas.openxmlformats.org/officeDocument/2006/relationships/hyperlink" Target="https://poolhost.com/profootball/playerstats/1669212" TargetMode="External"/><Relationship Id="rId33" Type="http://schemas.openxmlformats.org/officeDocument/2006/relationships/hyperlink" Target="https://poolhost.com/profootball/playerstats/1679300" TargetMode="External"/><Relationship Id="rId38" Type="http://schemas.openxmlformats.org/officeDocument/2006/relationships/hyperlink" Target="https://poolhost.com/profootball/playerstats/1669305" TargetMode="External"/><Relationship Id="rId59" Type="http://schemas.openxmlformats.org/officeDocument/2006/relationships/hyperlink" Target="https://poolhost.com/profootball/playerstats/1683389" TargetMode="External"/><Relationship Id="rId103" Type="http://schemas.openxmlformats.org/officeDocument/2006/relationships/hyperlink" Target="https://poolhost.com/profootball/playerstats/1728782" TargetMode="External"/><Relationship Id="rId108" Type="http://schemas.openxmlformats.org/officeDocument/2006/relationships/hyperlink" Target="https://poolhost.com/profootball/playerstats/1732996" TargetMode="External"/><Relationship Id="rId124" Type="http://schemas.openxmlformats.org/officeDocument/2006/relationships/hyperlink" Target="https://poolhost.com/profootball/playerstats/1679156" TargetMode="External"/><Relationship Id="rId129" Type="http://schemas.openxmlformats.org/officeDocument/2006/relationships/hyperlink" Target="https://poolhost.com/profootball/playerstats/1666034" TargetMode="External"/><Relationship Id="rId54" Type="http://schemas.openxmlformats.org/officeDocument/2006/relationships/hyperlink" Target="https://poolhost.com/profootball/playerstats/1657801" TargetMode="External"/><Relationship Id="rId70" Type="http://schemas.openxmlformats.org/officeDocument/2006/relationships/hyperlink" Target="https://poolhost.com/profootball/playerstats/1701053" TargetMode="External"/><Relationship Id="rId75" Type="http://schemas.openxmlformats.org/officeDocument/2006/relationships/hyperlink" Target="https://poolhost.com/profootball/playerstats/1708448" TargetMode="External"/><Relationship Id="rId91" Type="http://schemas.openxmlformats.org/officeDocument/2006/relationships/hyperlink" Target="https://poolhost.com/profootball/playerstats/1732290" TargetMode="External"/><Relationship Id="rId96" Type="http://schemas.openxmlformats.org/officeDocument/2006/relationships/hyperlink" Target="https://poolhost.com/profootball/playerstats/1654500" TargetMode="External"/><Relationship Id="rId140" Type="http://schemas.openxmlformats.org/officeDocument/2006/relationships/hyperlink" Target="https://poolhost.com/profootball/playerstats/1665979" TargetMode="External"/><Relationship Id="rId145" Type="http://schemas.openxmlformats.org/officeDocument/2006/relationships/hyperlink" Target="https://poolhost.com/profootball/playerstats/1654484" TargetMode="External"/><Relationship Id="rId161" Type="http://schemas.openxmlformats.org/officeDocument/2006/relationships/hyperlink" Target="https://poolhost.com/profootball/playerstats/1657241" TargetMode="External"/><Relationship Id="rId1" Type="http://schemas.openxmlformats.org/officeDocument/2006/relationships/hyperlink" Target="https://poolhost.com/profootball/playerstats/1676654" TargetMode="External"/><Relationship Id="rId6" Type="http://schemas.openxmlformats.org/officeDocument/2006/relationships/hyperlink" Target="https://poolhost.com/profootball/playerstats/1709781" TargetMode="External"/><Relationship Id="rId15" Type="http://schemas.openxmlformats.org/officeDocument/2006/relationships/hyperlink" Target="https://poolhost.com/profootball/playerstats/1671837" TargetMode="External"/><Relationship Id="rId23" Type="http://schemas.openxmlformats.org/officeDocument/2006/relationships/hyperlink" Target="https://poolhost.com/profootball/playerstats/1729491" TargetMode="External"/><Relationship Id="rId28" Type="http://schemas.openxmlformats.org/officeDocument/2006/relationships/hyperlink" Target="https://poolhost.com/profootball/playerstats/1654649" TargetMode="External"/><Relationship Id="rId36" Type="http://schemas.openxmlformats.org/officeDocument/2006/relationships/hyperlink" Target="https://poolhost.com/profootball/playerstats/1681958" TargetMode="External"/><Relationship Id="rId49" Type="http://schemas.openxmlformats.org/officeDocument/2006/relationships/hyperlink" Target="https://poolhost.com/profootball/playerstats/1670484" TargetMode="External"/><Relationship Id="rId57" Type="http://schemas.openxmlformats.org/officeDocument/2006/relationships/hyperlink" Target="https://poolhost.com/profootball/playerstats/1659846" TargetMode="External"/><Relationship Id="rId106" Type="http://schemas.openxmlformats.org/officeDocument/2006/relationships/hyperlink" Target="https://poolhost.com/profootball/playerstats/1695716" TargetMode="External"/><Relationship Id="rId114" Type="http://schemas.openxmlformats.org/officeDocument/2006/relationships/hyperlink" Target="https://poolhost.com/profootball/playerstats/1741250" TargetMode="External"/><Relationship Id="rId119" Type="http://schemas.openxmlformats.org/officeDocument/2006/relationships/hyperlink" Target="https://poolhost.com/profootball/playerstats/1668687" TargetMode="External"/><Relationship Id="rId127" Type="http://schemas.openxmlformats.org/officeDocument/2006/relationships/hyperlink" Target="https://poolhost.com/profootball/playerstats/1694017" TargetMode="External"/><Relationship Id="rId10" Type="http://schemas.openxmlformats.org/officeDocument/2006/relationships/hyperlink" Target="https://poolhost.com/profootball/playerstats/1668682" TargetMode="External"/><Relationship Id="rId31" Type="http://schemas.openxmlformats.org/officeDocument/2006/relationships/hyperlink" Target="https://poolhost.com/profootball/playerstats/1670025" TargetMode="External"/><Relationship Id="rId44" Type="http://schemas.openxmlformats.org/officeDocument/2006/relationships/hyperlink" Target="https://poolhost.com/profootball/playerstats/1724223" TargetMode="External"/><Relationship Id="rId52" Type="http://schemas.openxmlformats.org/officeDocument/2006/relationships/hyperlink" Target="https://poolhost.com/profootball/playerstats/1680041" TargetMode="External"/><Relationship Id="rId60" Type="http://schemas.openxmlformats.org/officeDocument/2006/relationships/hyperlink" Target="https://poolhost.com/profootball/playerstats/1732851" TargetMode="External"/><Relationship Id="rId65" Type="http://schemas.openxmlformats.org/officeDocument/2006/relationships/hyperlink" Target="https://poolhost.com/profootball/playerstats/1695492" TargetMode="External"/><Relationship Id="rId73" Type="http://schemas.openxmlformats.org/officeDocument/2006/relationships/hyperlink" Target="https://poolhost.com/profootball/playerstats/1683531" TargetMode="External"/><Relationship Id="rId78" Type="http://schemas.openxmlformats.org/officeDocument/2006/relationships/hyperlink" Target="https://poolhost.com/profootball/playerstats/1703435" TargetMode="External"/><Relationship Id="rId81" Type="http://schemas.openxmlformats.org/officeDocument/2006/relationships/hyperlink" Target="https://poolhost.com/profootball/playerstats/1674086" TargetMode="External"/><Relationship Id="rId86" Type="http://schemas.openxmlformats.org/officeDocument/2006/relationships/hyperlink" Target="https://poolhost.com/profootball/playerstats/1686727" TargetMode="External"/><Relationship Id="rId94" Type="http://schemas.openxmlformats.org/officeDocument/2006/relationships/hyperlink" Target="https://poolhost.com/profootball/playerstats/1654623" TargetMode="External"/><Relationship Id="rId99" Type="http://schemas.openxmlformats.org/officeDocument/2006/relationships/hyperlink" Target="https://poolhost.com/profootball/playerstats/1731690" TargetMode="External"/><Relationship Id="rId101" Type="http://schemas.openxmlformats.org/officeDocument/2006/relationships/hyperlink" Target="https://poolhost.com/profootball/playerstats/1678632" TargetMode="External"/><Relationship Id="rId122" Type="http://schemas.openxmlformats.org/officeDocument/2006/relationships/hyperlink" Target="https://poolhost.com/profootball/playerstats/1673234" TargetMode="External"/><Relationship Id="rId130" Type="http://schemas.openxmlformats.org/officeDocument/2006/relationships/hyperlink" Target="https://poolhost.com/profootball/playerstats/1722206" TargetMode="External"/><Relationship Id="rId135" Type="http://schemas.openxmlformats.org/officeDocument/2006/relationships/hyperlink" Target="https://poolhost.com/profootball/playerstats/1661711" TargetMode="External"/><Relationship Id="rId143" Type="http://schemas.openxmlformats.org/officeDocument/2006/relationships/hyperlink" Target="https://poolhost.com/profootball/playerstats/1679667" TargetMode="External"/><Relationship Id="rId148" Type="http://schemas.openxmlformats.org/officeDocument/2006/relationships/hyperlink" Target="https://poolhost.com/profootball/playerstats/1703401" TargetMode="External"/><Relationship Id="rId151" Type="http://schemas.openxmlformats.org/officeDocument/2006/relationships/hyperlink" Target="https://poolhost.com/profootball/playerstats/1731755" TargetMode="External"/><Relationship Id="rId156" Type="http://schemas.openxmlformats.org/officeDocument/2006/relationships/hyperlink" Target="https://poolhost.com/profootball/playerstats/1733415" TargetMode="External"/><Relationship Id="rId4" Type="http://schemas.openxmlformats.org/officeDocument/2006/relationships/hyperlink" Target="https://poolhost.com/profootball/playerstats/1734363" TargetMode="External"/><Relationship Id="rId9" Type="http://schemas.openxmlformats.org/officeDocument/2006/relationships/hyperlink" Target="https://poolhost.com/profootball/playerstats/1723980" TargetMode="External"/><Relationship Id="rId13" Type="http://schemas.openxmlformats.org/officeDocument/2006/relationships/hyperlink" Target="https://poolhost.com/profootball/playerstats/1726326" TargetMode="External"/><Relationship Id="rId18" Type="http://schemas.openxmlformats.org/officeDocument/2006/relationships/hyperlink" Target="https://poolhost.com/profootball/playerstats/1667937" TargetMode="External"/><Relationship Id="rId39" Type="http://schemas.openxmlformats.org/officeDocument/2006/relationships/hyperlink" Target="https://poolhost.com/profootball/playerstats/1708805" TargetMode="External"/><Relationship Id="rId109" Type="http://schemas.openxmlformats.org/officeDocument/2006/relationships/hyperlink" Target="https://poolhost.com/profootball/playerstats/1662606" TargetMode="External"/><Relationship Id="rId34" Type="http://schemas.openxmlformats.org/officeDocument/2006/relationships/hyperlink" Target="https://poolhost.com/profootball/playerstats/1700157" TargetMode="External"/><Relationship Id="rId50" Type="http://schemas.openxmlformats.org/officeDocument/2006/relationships/hyperlink" Target="https://poolhost.com/profootball/playerstats/1709552" TargetMode="External"/><Relationship Id="rId55" Type="http://schemas.openxmlformats.org/officeDocument/2006/relationships/hyperlink" Target="https://poolhost.com/profootball/playerstats/1660811" TargetMode="External"/><Relationship Id="rId76" Type="http://schemas.openxmlformats.org/officeDocument/2006/relationships/hyperlink" Target="https://poolhost.com/profootball/playerstats/1722233" TargetMode="External"/><Relationship Id="rId97" Type="http://schemas.openxmlformats.org/officeDocument/2006/relationships/hyperlink" Target="https://poolhost.com/profootball/playerstats/1678667" TargetMode="External"/><Relationship Id="rId104" Type="http://schemas.openxmlformats.org/officeDocument/2006/relationships/hyperlink" Target="https://poolhost.com/profootball/playerstats/1727817" TargetMode="External"/><Relationship Id="rId120" Type="http://schemas.openxmlformats.org/officeDocument/2006/relationships/hyperlink" Target="https://poolhost.com/profootball/playerstats/1684491" TargetMode="External"/><Relationship Id="rId125" Type="http://schemas.openxmlformats.org/officeDocument/2006/relationships/hyperlink" Target="https://poolhost.com/profootball/playerstats/1726632" TargetMode="External"/><Relationship Id="rId141" Type="http://schemas.openxmlformats.org/officeDocument/2006/relationships/hyperlink" Target="https://poolhost.com/profootball/playerstats/1672167" TargetMode="External"/><Relationship Id="rId146" Type="http://schemas.openxmlformats.org/officeDocument/2006/relationships/hyperlink" Target="https://poolhost.com/profootball/playerstats/1705049" TargetMode="External"/><Relationship Id="rId7" Type="http://schemas.openxmlformats.org/officeDocument/2006/relationships/hyperlink" Target="https://poolhost.com/profootball/playerstats/1684290" TargetMode="External"/><Relationship Id="rId71" Type="http://schemas.openxmlformats.org/officeDocument/2006/relationships/hyperlink" Target="https://poolhost.com/profootball/playerstats/1657024" TargetMode="External"/><Relationship Id="rId92" Type="http://schemas.openxmlformats.org/officeDocument/2006/relationships/hyperlink" Target="https://poolhost.com/profootball/playerstats/1685066" TargetMode="External"/><Relationship Id="rId162" Type="http://schemas.openxmlformats.org/officeDocument/2006/relationships/hyperlink" Target="https://poolhost.com/profootball/playerstats/1707988" TargetMode="External"/><Relationship Id="rId2" Type="http://schemas.openxmlformats.org/officeDocument/2006/relationships/hyperlink" Target="https://poolhost.com/profootball/playerstats/1702449" TargetMode="External"/><Relationship Id="rId29" Type="http://schemas.openxmlformats.org/officeDocument/2006/relationships/hyperlink" Target="https://poolhost.com/profootball/playerstats/1677370" TargetMode="External"/><Relationship Id="rId24" Type="http://schemas.openxmlformats.org/officeDocument/2006/relationships/hyperlink" Target="https://poolhost.com/profootball/playerstats/1666027" TargetMode="External"/><Relationship Id="rId40" Type="http://schemas.openxmlformats.org/officeDocument/2006/relationships/hyperlink" Target="https://poolhost.com/profootball/playerstats/1668461" TargetMode="External"/><Relationship Id="rId45" Type="http://schemas.openxmlformats.org/officeDocument/2006/relationships/hyperlink" Target="https://poolhost.com/profootball/playerstats/1679009" TargetMode="External"/><Relationship Id="rId66" Type="http://schemas.openxmlformats.org/officeDocument/2006/relationships/hyperlink" Target="https://poolhost.com/profootball/playerstats/1702170" TargetMode="External"/><Relationship Id="rId87" Type="http://schemas.openxmlformats.org/officeDocument/2006/relationships/hyperlink" Target="https://poolhost.com/profootball/playerstats/1732411" TargetMode="External"/><Relationship Id="rId110" Type="http://schemas.openxmlformats.org/officeDocument/2006/relationships/hyperlink" Target="https://poolhost.com/profootball/playerstats/1665810" TargetMode="External"/><Relationship Id="rId115" Type="http://schemas.openxmlformats.org/officeDocument/2006/relationships/hyperlink" Target="https://poolhost.com/profootball/playerstats/1699295" TargetMode="External"/><Relationship Id="rId131" Type="http://schemas.openxmlformats.org/officeDocument/2006/relationships/hyperlink" Target="https://poolhost.com/profootball/playerstats/1668628" TargetMode="External"/><Relationship Id="rId136" Type="http://schemas.openxmlformats.org/officeDocument/2006/relationships/hyperlink" Target="https://poolhost.com/profootball/playerstats/1671748" TargetMode="External"/><Relationship Id="rId157" Type="http://schemas.openxmlformats.org/officeDocument/2006/relationships/hyperlink" Target="https://poolhost.com/profootball/playerstats/1699660" TargetMode="External"/><Relationship Id="rId61" Type="http://schemas.openxmlformats.org/officeDocument/2006/relationships/hyperlink" Target="https://poolhost.com/profootball/playerstats/1697912" TargetMode="External"/><Relationship Id="rId82" Type="http://schemas.openxmlformats.org/officeDocument/2006/relationships/hyperlink" Target="https://poolhost.com/profootball/playerstats/1666473" TargetMode="External"/><Relationship Id="rId152" Type="http://schemas.openxmlformats.org/officeDocument/2006/relationships/hyperlink" Target="https://poolhost.com/profootball/playerstats/1704294" TargetMode="External"/><Relationship Id="rId19" Type="http://schemas.openxmlformats.org/officeDocument/2006/relationships/hyperlink" Target="https://poolhost.com/profootball/playerstats/1735486" TargetMode="External"/><Relationship Id="rId14" Type="http://schemas.openxmlformats.org/officeDocument/2006/relationships/hyperlink" Target="https://poolhost.com/profootball/playerstats/1722286" TargetMode="External"/><Relationship Id="rId30" Type="http://schemas.openxmlformats.org/officeDocument/2006/relationships/hyperlink" Target="https://poolhost.com/profootball/playerstats/1721401" TargetMode="External"/><Relationship Id="rId35" Type="http://schemas.openxmlformats.org/officeDocument/2006/relationships/hyperlink" Target="https://poolhost.com/profootball/playerstats/1691673" TargetMode="External"/><Relationship Id="rId56" Type="http://schemas.openxmlformats.org/officeDocument/2006/relationships/hyperlink" Target="https://poolhost.com/profootball/playerstats/1655488" TargetMode="External"/><Relationship Id="rId77" Type="http://schemas.openxmlformats.org/officeDocument/2006/relationships/hyperlink" Target="https://poolhost.com/profootball/playerstats/1725535" TargetMode="External"/><Relationship Id="rId100" Type="http://schemas.openxmlformats.org/officeDocument/2006/relationships/hyperlink" Target="https://poolhost.com/profootball/playerstats/1677049" TargetMode="External"/><Relationship Id="rId105" Type="http://schemas.openxmlformats.org/officeDocument/2006/relationships/hyperlink" Target="https://poolhost.com/profootball/playerstats/1729262" TargetMode="External"/><Relationship Id="rId126" Type="http://schemas.openxmlformats.org/officeDocument/2006/relationships/hyperlink" Target="https://poolhost.com/profootball/playerstats/1708312" TargetMode="External"/><Relationship Id="rId147" Type="http://schemas.openxmlformats.org/officeDocument/2006/relationships/hyperlink" Target="https://poolhost.com/profootball/playerstats/1654603" TargetMode="External"/><Relationship Id="rId8" Type="http://schemas.openxmlformats.org/officeDocument/2006/relationships/hyperlink" Target="https://poolhost.com/profootball/playerstats/1667866" TargetMode="External"/><Relationship Id="rId51" Type="http://schemas.openxmlformats.org/officeDocument/2006/relationships/hyperlink" Target="https://poolhost.com/profootball/playerstats/1657103" TargetMode="External"/><Relationship Id="rId72" Type="http://schemas.openxmlformats.org/officeDocument/2006/relationships/hyperlink" Target="https://poolhost.com/profootball/playerstats/1701354" TargetMode="External"/><Relationship Id="rId93" Type="http://schemas.openxmlformats.org/officeDocument/2006/relationships/hyperlink" Target="https://poolhost.com/profootball/playerstats/1712780" TargetMode="External"/><Relationship Id="rId98" Type="http://schemas.openxmlformats.org/officeDocument/2006/relationships/hyperlink" Target="https://poolhost.com/profootball/playerstats/1715552" TargetMode="External"/><Relationship Id="rId121" Type="http://schemas.openxmlformats.org/officeDocument/2006/relationships/hyperlink" Target="https://poolhost.com/profootball/playerstats/1729617" TargetMode="External"/><Relationship Id="rId142" Type="http://schemas.openxmlformats.org/officeDocument/2006/relationships/hyperlink" Target="https://poolhost.com/profootball/playerstats/1728787" TargetMode="External"/><Relationship Id="rId163" Type="http://schemas.openxmlformats.org/officeDocument/2006/relationships/hyperlink" Target="https://poolhost.com/profootball/playerstats/1734172" TargetMode="External"/><Relationship Id="rId3" Type="http://schemas.openxmlformats.org/officeDocument/2006/relationships/hyperlink" Target="https://poolhost.com/profootball/playerstats/1667376" TargetMode="External"/><Relationship Id="rId25" Type="http://schemas.openxmlformats.org/officeDocument/2006/relationships/hyperlink" Target="https://poolhost.com/profootball/playerstats/1699810" TargetMode="External"/><Relationship Id="rId46" Type="http://schemas.openxmlformats.org/officeDocument/2006/relationships/hyperlink" Target="https://poolhost.com/profootball/playerstats/1654485" TargetMode="External"/><Relationship Id="rId67" Type="http://schemas.openxmlformats.org/officeDocument/2006/relationships/hyperlink" Target="https://poolhost.com/profootball/playerstats/1673222" TargetMode="External"/><Relationship Id="rId116" Type="http://schemas.openxmlformats.org/officeDocument/2006/relationships/hyperlink" Target="https://poolhost.com/profootball/playerstats/1687892" TargetMode="External"/><Relationship Id="rId137" Type="http://schemas.openxmlformats.org/officeDocument/2006/relationships/hyperlink" Target="https://poolhost.com/profootball/playerstats/1663641" TargetMode="External"/><Relationship Id="rId158" Type="http://schemas.openxmlformats.org/officeDocument/2006/relationships/hyperlink" Target="https://poolhost.com/profootball/playerstats/1662306" TargetMode="External"/><Relationship Id="rId20" Type="http://schemas.openxmlformats.org/officeDocument/2006/relationships/hyperlink" Target="https://poolhost.com/profootball/playerstats/1700155" TargetMode="External"/><Relationship Id="rId41" Type="http://schemas.openxmlformats.org/officeDocument/2006/relationships/hyperlink" Target="https://poolhost.com/profootball/playerstats/1705272" TargetMode="External"/><Relationship Id="rId62" Type="http://schemas.openxmlformats.org/officeDocument/2006/relationships/hyperlink" Target="https://poolhost.com/profootball/playerstats/1711169" TargetMode="External"/><Relationship Id="rId83" Type="http://schemas.openxmlformats.org/officeDocument/2006/relationships/hyperlink" Target="https://poolhost.com/profootball/playerstats/1670226" TargetMode="External"/><Relationship Id="rId88" Type="http://schemas.openxmlformats.org/officeDocument/2006/relationships/hyperlink" Target="https://poolhost.com/profootball/playerstats/1657214" TargetMode="External"/><Relationship Id="rId111" Type="http://schemas.openxmlformats.org/officeDocument/2006/relationships/hyperlink" Target="https://poolhost.com/profootball/playerstats/1669323" TargetMode="External"/><Relationship Id="rId132" Type="http://schemas.openxmlformats.org/officeDocument/2006/relationships/hyperlink" Target="https://poolhost.com/profootball/playerstats/1704026" TargetMode="External"/><Relationship Id="rId153" Type="http://schemas.openxmlformats.org/officeDocument/2006/relationships/hyperlink" Target="https://poolhost.com/profootball/playerstats/1678377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poolhost.com/profootball/playerstats/1659846" TargetMode="External"/><Relationship Id="rId117" Type="http://schemas.openxmlformats.org/officeDocument/2006/relationships/hyperlink" Target="https://poolhost.com/profootball/playerstats/1660811" TargetMode="External"/><Relationship Id="rId21" Type="http://schemas.openxmlformats.org/officeDocument/2006/relationships/hyperlink" Target="https://poolhost.com/profootball/playerstats/1662306" TargetMode="External"/><Relationship Id="rId42" Type="http://schemas.openxmlformats.org/officeDocument/2006/relationships/hyperlink" Target="https://poolhost.com/profootball/playerstats/1702449" TargetMode="External"/><Relationship Id="rId47" Type="http://schemas.openxmlformats.org/officeDocument/2006/relationships/hyperlink" Target="https://poolhost.com/profootball/playerstats/1734172" TargetMode="External"/><Relationship Id="rId63" Type="http://schemas.openxmlformats.org/officeDocument/2006/relationships/hyperlink" Target="https://poolhost.com/profootball/playerstats/1700157" TargetMode="External"/><Relationship Id="rId68" Type="http://schemas.openxmlformats.org/officeDocument/2006/relationships/hyperlink" Target="https://poolhost.com/profootball/playerstats/1665631" TargetMode="External"/><Relationship Id="rId84" Type="http://schemas.openxmlformats.org/officeDocument/2006/relationships/hyperlink" Target="https://poolhost.com/profootball/playerstats/1658459" TargetMode="External"/><Relationship Id="rId89" Type="http://schemas.openxmlformats.org/officeDocument/2006/relationships/hyperlink" Target="https://poolhost.com/profootball/playerstats/1680041" TargetMode="External"/><Relationship Id="rId112" Type="http://schemas.openxmlformats.org/officeDocument/2006/relationships/hyperlink" Target="https://poolhost.com/profootball/playerstats/1701354" TargetMode="External"/><Relationship Id="rId133" Type="http://schemas.openxmlformats.org/officeDocument/2006/relationships/hyperlink" Target="https://poolhost.com/profootball/playerstats/1669305" TargetMode="External"/><Relationship Id="rId138" Type="http://schemas.openxmlformats.org/officeDocument/2006/relationships/hyperlink" Target="https://poolhost.com/profootball/playerstats/1684491" TargetMode="External"/><Relationship Id="rId154" Type="http://schemas.openxmlformats.org/officeDocument/2006/relationships/hyperlink" Target="https://poolhost.com/profootball/playerstats/1678377" TargetMode="External"/><Relationship Id="rId159" Type="http://schemas.openxmlformats.org/officeDocument/2006/relationships/hyperlink" Target="https://poolhost.com/profootball/playerstats/1666092" TargetMode="External"/><Relationship Id="rId16" Type="http://schemas.openxmlformats.org/officeDocument/2006/relationships/hyperlink" Target="https://poolhost.com/profootball/playerstats/1668687" TargetMode="External"/><Relationship Id="rId107" Type="http://schemas.openxmlformats.org/officeDocument/2006/relationships/hyperlink" Target="https://poolhost.com/profootball/playerstats/1668461" TargetMode="External"/><Relationship Id="rId11" Type="http://schemas.openxmlformats.org/officeDocument/2006/relationships/hyperlink" Target="https://poolhost.com/profootball/playerstats/1694017" TargetMode="External"/><Relationship Id="rId32" Type="http://schemas.openxmlformats.org/officeDocument/2006/relationships/hyperlink" Target="https://poolhost.com/profootball/playerstats/1677370" TargetMode="External"/><Relationship Id="rId37" Type="http://schemas.openxmlformats.org/officeDocument/2006/relationships/hyperlink" Target="https://poolhost.com/profootball/playerstats/1709552" TargetMode="External"/><Relationship Id="rId53" Type="http://schemas.openxmlformats.org/officeDocument/2006/relationships/hyperlink" Target="https://poolhost.com/profootball/playerstats/1729617" TargetMode="External"/><Relationship Id="rId58" Type="http://schemas.openxmlformats.org/officeDocument/2006/relationships/hyperlink" Target="https://poolhost.com/profootball/playerstats/1679667" TargetMode="External"/><Relationship Id="rId74" Type="http://schemas.openxmlformats.org/officeDocument/2006/relationships/hyperlink" Target="https://poolhost.com/profootball/playerstats/1657214" TargetMode="External"/><Relationship Id="rId79" Type="http://schemas.openxmlformats.org/officeDocument/2006/relationships/hyperlink" Target="https://poolhost.com/profootball/playerstats/1700155" TargetMode="External"/><Relationship Id="rId102" Type="http://schemas.openxmlformats.org/officeDocument/2006/relationships/hyperlink" Target="https://poolhost.com/profootball/playerstats/1665979" TargetMode="External"/><Relationship Id="rId123" Type="http://schemas.openxmlformats.org/officeDocument/2006/relationships/hyperlink" Target="https://poolhost.com/profootball/playerstats/1665910" TargetMode="External"/><Relationship Id="rId128" Type="http://schemas.openxmlformats.org/officeDocument/2006/relationships/hyperlink" Target="https://poolhost.com/profootball/playerstats/1691673" TargetMode="External"/><Relationship Id="rId144" Type="http://schemas.openxmlformats.org/officeDocument/2006/relationships/hyperlink" Target="https://poolhost.com/profootball/playerstats/1734363" TargetMode="External"/><Relationship Id="rId149" Type="http://schemas.openxmlformats.org/officeDocument/2006/relationships/hyperlink" Target="https://poolhost.com/profootball/playerstats/1682884" TargetMode="External"/><Relationship Id="rId5" Type="http://schemas.openxmlformats.org/officeDocument/2006/relationships/hyperlink" Target="https://poolhost.com/profootball/playerstats/1659875" TargetMode="External"/><Relationship Id="rId90" Type="http://schemas.openxmlformats.org/officeDocument/2006/relationships/hyperlink" Target="https://poolhost.com/profootball/playerstats/1701053" TargetMode="External"/><Relationship Id="rId95" Type="http://schemas.openxmlformats.org/officeDocument/2006/relationships/hyperlink" Target="https://poolhost.com/profootball/playerstats/1670226" TargetMode="External"/><Relationship Id="rId160" Type="http://schemas.openxmlformats.org/officeDocument/2006/relationships/hyperlink" Target="https://poolhost.com/profootball/playerstats/1649126" TargetMode="External"/><Relationship Id="rId22" Type="http://schemas.openxmlformats.org/officeDocument/2006/relationships/hyperlink" Target="https://poolhost.com/profootball/playerstats/1735486" TargetMode="External"/><Relationship Id="rId27" Type="http://schemas.openxmlformats.org/officeDocument/2006/relationships/hyperlink" Target="https://poolhost.com/profootball/playerstats/1708505" TargetMode="External"/><Relationship Id="rId43" Type="http://schemas.openxmlformats.org/officeDocument/2006/relationships/hyperlink" Target="https://poolhost.com/profootball/playerstats/1654649" TargetMode="External"/><Relationship Id="rId48" Type="http://schemas.openxmlformats.org/officeDocument/2006/relationships/hyperlink" Target="https://poolhost.com/profootball/playerstats/1726632" TargetMode="External"/><Relationship Id="rId64" Type="http://schemas.openxmlformats.org/officeDocument/2006/relationships/hyperlink" Target="https://poolhost.com/profootball/playerstats/1649341" TargetMode="External"/><Relationship Id="rId69" Type="http://schemas.openxmlformats.org/officeDocument/2006/relationships/hyperlink" Target="https://poolhost.com/profootball/playerstats/1731780" TargetMode="External"/><Relationship Id="rId113" Type="http://schemas.openxmlformats.org/officeDocument/2006/relationships/hyperlink" Target="https://poolhost.com/profootball/playerstats/1727817" TargetMode="External"/><Relationship Id="rId118" Type="http://schemas.openxmlformats.org/officeDocument/2006/relationships/hyperlink" Target="https://poolhost.com/profootball/playerstats/1729262" TargetMode="External"/><Relationship Id="rId134" Type="http://schemas.openxmlformats.org/officeDocument/2006/relationships/hyperlink" Target="https://poolhost.com/profootball/playerstats/1672298" TargetMode="External"/><Relationship Id="rId139" Type="http://schemas.openxmlformats.org/officeDocument/2006/relationships/hyperlink" Target="https://poolhost.com/profootball/playerstats/1673234" TargetMode="External"/><Relationship Id="rId80" Type="http://schemas.openxmlformats.org/officeDocument/2006/relationships/hyperlink" Target="https://poolhost.com/profootball/playerstats/1685066" TargetMode="External"/><Relationship Id="rId85" Type="http://schemas.openxmlformats.org/officeDocument/2006/relationships/hyperlink" Target="https://poolhost.com/profootball/playerstats/1703435" TargetMode="External"/><Relationship Id="rId150" Type="http://schemas.openxmlformats.org/officeDocument/2006/relationships/hyperlink" Target="https://poolhost.com/profootball/playerstats/1724223" TargetMode="External"/><Relationship Id="rId155" Type="http://schemas.openxmlformats.org/officeDocument/2006/relationships/hyperlink" Target="https://poolhost.com/profootball/playerstats/1703401" TargetMode="External"/><Relationship Id="rId12" Type="http://schemas.openxmlformats.org/officeDocument/2006/relationships/hyperlink" Target="https://poolhost.com/profootball/playerstats/1657583" TargetMode="External"/><Relationship Id="rId17" Type="http://schemas.openxmlformats.org/officeDocument/2006/relationships/hyperlink" Target="https://poolhost.com/profootball/playerstats/1668682" TargetMode="External"/><Relationship Id="rId33" Type="http://schemas.openxmlformats.org/officeDocument/2006/relationships/hyperlink" Target="https://poolhost.com/profootball/playerstats/1676654" TargetMode="External"/><Relationship Id="rId38" Type="http://schemas.openxmlformats.org/officeDocument/2006/relationships/hyperlink" Target="https://poolhost.com/profootball/playerstats/1731755" TargetMode="External"/><Relationship Id="rId59" Type="http://schemas.openxmlformats.org/officeDocument/2006/relationships/hyperlink" Target="https://poolhost.com/profootball/playerstats/1732953" TargetMode="External"/><Relationship Id="rId103" Type="http://schemas.openxmlformats.org/officeDocument/2006/relationships/hyperlink" Target="https://poolhost.com/profootball/playerstats/1705272" TargetMode="External"/><Relationship Id="rId108" Type="http://schemas.openxmlformats.org/officeDocument/2006/relationships/hyperlink" Target="https://poolhost.com/profootball/playerstats/1699295" TargetMode="External"/><Relationship Id="rId124" Type="http://schemas.openxmlformats.org/officeDocument/2006/relationships/hyperlink" Target="https://poolhost.com/profootball/playerstats/1661981" TargetMode="External"/><Relationship Id="rId129" Type="http://schemas.openxmlformats.org/officeDocument/2006/relationships/hyperlink" Target="https://poolhost.com/profootball/playerstats/1674022" TargetMode="External"/><Relationship Id="rId54" Type="http://schemas.openxmlformats.org/officeDocument/2006/relationships/hyperlink" Target="https://poolhost.com/profootball/playerstats/1704294" TargetMode="External"/><Relationship Id="rId70" Type="http://schemas.openxmlformats.org/officeDocument/2006/relationships/hyperlink" Target="https://poolhost.com/profootball/playerstats/1685256" TargetMode="External"/><Relationship Id="rId75" Type="http://schemas.openxmlformats.org/officeDocument/2006/relationships/hyperlink" Target="https://poolhost.com/profootball/playerstats/1721401" TargetMode="External"/><Relationship Id="rId91" Type="http://schemas.openxmlformats.org/officeDocument/2006/relationships/hyperlink" Target="https://poolhost.com/profootball/playerstats/1654791" TargetMode="External"/><Relationship Id="rId96" Type="http://schemas.openxmlformats.org/officeDocument/2006/relationships/hyperlink" Target="https://poolhost.com/profootball/playerstats/1732996" TargetMode="External"/><Relationship Id="rId140" Type="http://schemas.openxmlformats.org/officeDocument/2006/relationships/hyperlink" Target="https://poolhost.com/profootball/playerstats/1707988" TargetMode="External"/><Relationship Id="rId145" Type="http://schemas.openxmlformats.org/officeDocument/2006/relationships/hyperlink" Target="https://poolhost.com/profootball/playerstats/1708448" TargetMode="External"/><Relationship Id="rId161" Type="http://schemas.openxmlformats.org/officeDocument/2006/relationships/hyperlink" Target="https://poolhost.com/profootball/playerstats/1684290" TargetMode="External"/><Relationship Id="rId1" Type="http://schemas.openxmlformats.org/officeDocument/2006/relationships/hyperlink" Target="https://poolhost.com/profootball/playerstats/1671748" TargetMode="External"/><Relationship Id="rId6" Type="http://schemas.openxmlformats.org/officeDocument/2006/relationships/hyperlink" Target="https://poolhost.com/profootball/playerstats/1732290" TargetMode="External"/><Relationship Id="rId15" Type="http://schemas.openxmlformats.org/officeDocument/2006/relationships/hyperlink" Target="https://poolhost.com/profootball/playerstats/1702170" TargetMode="External"/><Relationship Id="rId23" Type="http://schemas.openxmlformats.org/officeDocument/2006/relationships/hyperlink" Target="https://poolhost.com/profootball/playerstats/1679156" TargetMode="External"/><Relationship Id="rId28" Type="http://schemas.openxmlformats.org/officeDocument/2006/relationships/hyperlink" Target="https://poolhost.com/profootball/playerstats/1654603" TargetMode="External"/><Relationship Id="rId36" Type="http://schemas.openxmlformats.org/officeDocument/2006/relationships/hyperlink" Target="https://poolhost.com/profootball/playerstats/1671837" TargetMode="External"/><Relationship Id="rId49" Type="http://schemas.openxmlformats.org/officeDocument/2006/relationships/hyperlink" Target="https://poolhost.com/profootball/playerstats/1674086" TargetMode="External"/><Relationship Id="rId57" Type="http://schemas.openxmlformats.org/officeDocument/2006/relationships/hyperlink" Target="https://poolhost.com/profootball/playerstats/1670025" TargetMode="External"/><Relationship Id="rId106" Type="http://schemas.openxmlformats.org/officeDocument/2006/relationships/hyperlink" Target="https://poolhost.com/profootball/playerstats/1654634" TargetMode="External"/><Relationship Id="rId114" Type="http://schemas.openxmlformats.org/officeDocument/2006/relationships/hyperlink" Target="https://poolhost.com/profootball/playerstats/1733415" TargetMode="External"/><Relationship Id="rId119" Type="http://schemas.openxmlformats.org/officeDocument/2006/relationships/hyperlink" Target="https://poolhost.com/profootball/playerstats/1670484" TargetMode="External"/><Relationship Id="rId127" Type="http://schemas.openxmlformats.org/officeDocument/2006/relationships/hyperlink" Target="https://poolhost.com/profootball/playerstats/1697912" TargetMode="External"/><Relationship Id="rId10" Type="http://schemas.openxmlformats.org/officeDocument/2006/relationships/hyperlink" Target="https://poolhost.com/profootball/playerstats/1667866" TargetMode="External"/><Relationship Id="rId31" Type="http://schemas.openxmlformats.org/officeDocument/2006/relationships/hyperlink" Target="https://poolhost.com/profootball/playerstats/1673222" TargetMode="External"/><Relationship Id="rId44" Type="http://schemas.openxmlformats.org/officeDocument/2006/relationships/hyperlink" Target="https://poolhost.com/profootball/playerstats/1657801" TargetMode="External"/><Relationship Id="rId52" Type="http://schemas.openxmlformats.org/officeDocument/2006/relationships/hyperlink" Target="https://poolhost.com/profootball/playerstats/1730676" TargetMode="External"/><Relationship Id="rId60" Type="http://schemas.openxmlformats.org/officeDocument/2006/relationships/hyperlink" Target="https://poolhost.com/profootball/playerstats/1709781" TargetMode="External"/><Relationship Id="rId65" Type="http://schemas.openxmlformats.org/officeDocument/2006/relationships/hyperlink" Target="https://poolhost.com/profootball/playerstats/1705049" TargetMode="External"/><Relationship Id="rId73" Type="http://schemas.openxmlformats.org/officeDocument/2006/relationships/hyperlink" Target="https://poolhost.com/profootball/playerstats/1663641" TargetMode="External"/><Relationship Id="rId78" Type="http://schemas.openxmlformats.org/officeDocument/2006/relationships/hyperlink" Target="https://poolhost.com/profootball/playerstats/1662606" TargetMode="External"/><Relationship Id="rId81" Type="http://schemas.openxmlformats.org/officeDocument/2006/relationships/hyperlink" Target="https://poolhost.com/profootball/playerstats/1732411" TargetMode="External"/><Relationship Id="rId86" Type="http://schemas.openxmlformats.org/officeDocument/2006/relationships/hyperlink" Target="https://poolhost.com/profootball/playerstats/1679300" TargetMode="External"/><Relationship Id="rId94" Type="http://schemas.openxmlformats.org/officeDocument/2006/relationships/hyperlink" Target="https://poolhost.com/profootball/playerstats/1681958" TargetMode="External"/><Relationship Id="rId99" Type="http://schemas.openxmlformats.org/officeDocument/2006/relationships/hyperlink" Target="https://poolhost.com/profootball/playerstats/1669323" TargetMode="External"/><Relationship Id="rId101" Type="http://schemas.openxmlformats.org/officeDocument/2006/relationships/hyperlink" Target="https://poolhost.com/profootball/playerstats/1681946" TargetMode="External"/><Relationship Id="rId122" Type="http://schemas.openxmlformats.org/officeDocument/2006/relationships/hyperlink" Target="https://poolhost.com/profootball/playerstats/1695492" TargetMode="External"/><Relationship Id="rId130" Type="http://schemas.openxmlformats.org/officeDocument/2006/relationships/hyperlink" Target="https://poolhost.com/profootball/playerstats/1730270" TargetMode="External"/><Relationship Id="rId135" Type="http://schemas.openxmlformats.org/officeDocument/2006/relationships/hyperlink" Target="https://poolhost.com/profootball/playerstats/1712780" TargetMode="External"/><Relationship Id="rId143" Type="http://schemas.openxmlformats.org/officeDocument/2006/relationships/hyperlink" Target="https://poolhost.com/profootball/playerstats/1722206" TargetMode="External"/><Relationship Id="rId148" Type="http://schemas.openxmlformats.org/officeDocument/2006/relationships/hyperlink" Target="https://poolhost.com/profootball/playerstats/1731690" TargetMode="External"/><Relationship Id="rId151" Type="http://schemas.openxmlformats.org/officeDocument/2006/relationships/hyperlink" Target="https://poolhost.com/profootball/playerstats/1655447" TargetMode="External"/><Relationship Id="rId156" Type="http://schemas.openxmlformats.org/officeDocument/2006/relationships/hyperlink" Target="https://poolhost.com/profootball/playerstats/1705029" TargetMode="External"/><Relationship Id="rId4" Type="http://schemas.openxmlformats.org/officeDocument/2006/relationships/hyperlink" Target="https://poolhost.com/profootball/playerstats/1661711" TargetMode="External"/><Relationship Id="rId9" Type="http://schemas.openxmlformats.org/officeDocument/2006/relationships/hyperlink" Target="https://poolhost.com/profootball/playerstats/1668628" TargetMode="External"/><Relationship Id="rId13" Type="http://schemas.openxmlformats.org/officeDocument/2006/relationships/hyperlink" Target="https://poolhost.com/profootball/playerstats/1684266" TargetMode="External"/><Relationship Id="rId18" Type="http://schemas.openxmlformats.org/officeDocument/2006/relationships/hyperlink" Target="https://poolhost.com/profootball/playerstats/1686727" TargetMode="External"/><Relationship Id="rId39" Type="http://schemas.openxmlformats.org/officeDocument/2006/relationships/hyperlink" Target="https://poolhost.com/profootball/playerstats/1715552" TargetMode="External"/><Relationship Id="rId109" Type="http://schemas.openxmlformats.org/officeDocument/2006/relationships/hyperlink" Target="https://poolhost.com/profootball/playerstats/1666449" TargetMode="External"/><Relationship Id="rId34" Type="http://schemas.openxmlformats.org/officeDocument/2006/relationships/hyperlink" Target="https://poolhost.com/profootball/playerstats/1694354" TargetMode="External"/><Relationship Id="rId50" Type="http://schemas.openxmlformats.org/officeDocument/2006/relationships/hyperlink" Target="https://poolhost.com/profootball/playerstats/1727170" TargetMode="External"/><Relationship Id="rId55" Type="http://schemas.openxmlformats.org/officeDocument/2006/relationships/hyperlink" Target="https://poolhost.com/profootball/playerstats/1656464" TargetMode="External"/><Relationship Id="rId76" Type="http://schemas.openxmlformats.org/officeDocument/2006/relationships/hyperlink" Target="https://poolhost.com/profootball/playerstats/1711169" TargetMode="External"/><Relationship Id="rId97" Type="http://schemas.openxmlformats.org/officeDocument/2006/relationships/hyperlink" Target="https://poolhost.com/profootball/playerstats/1663101" TargetMode="External"/><Relationship Id="rId104" Type="http://schemas.openxmlformats.org/officeDocument/2006/relationships/hyperlink" Target="https://poolhost.com/profootball/playerstats/1667937" TargetMode="External"/><Relationship Id="rId120" Type="http://schemas.openxmlformats.org/officeDocument/2006/relationships/hyperlink" Target="https://poolhost.com/profootball/playerstats/1732851" TargetMode="External"/><Relationship Id="rId125" Type="http://schemas.openxmlformats.org/officeDocument/2006/relationships/hyperlink" Target="https://poolhost.com/profootball/playerstats/1657241" TargetMode="External"/><Relationship Id="rId141" Type="http://schemas.openxmlformats.org/officeDocument/2006/relationships/hyperlink" Target="https://poolhost.com/profootball/playerstats/1655488" TargetMode="External"/><Relationship Id="rId146" Type="http://schemas.openxmlformats.org/officeDocument/2006/relationships/hyperlink" Target="https://poolhost.com/profootball/playerstats/1683531" TargetMode="External"/><Relationship Id="rId7" Type="http://schemas.openxmlformats.org/officeDocument/2006/relationships/hyperlink" Target="https://poolhost.com/profootball/playerstats/1721307" TargetMode="External"/><Relationship Id="rId71" Type="http://schemas.openxmlformats.org/officeDocument/2006/relationships/hyperlink" Target="https://poolhost.com/profootball/playerstats/1665614" TargetMode="External"/><Relationship Id="rId92" Type="http://schemas.openxmlformats.org/officeDocument/2006/relationships/hyperlink" Target="https://poolhost.com/profootball/playerstats/1679009" TargetMode="External"/><Relationship Id="rId162" Type="http://schemas.openxmlformats.org/officeDocument/2006/relationships/hyperlink" Target="https://poolhost.com/profootball/playerstats/1681897" TargetMode="External"/><Relationship Id="rId2" Type="http://schemas.openxmlformats.org/officeDocument/2006/relationships/hyperlink" Target="https://poolhost.com/profootball/playerstats/1696717" TargetMode="External"/><Relationship Id="rId29" Type="http://schemas.openxmlformats.org/officeDocument/2006/relationships/hyperlink" Target="https://poolhost.com/profootball/playerstats/1705346" TargetMode="External"/><Relationship Id="rId24" Type="http://schemas.openxmlformats.org/officeDocument/2006/relationships/hyperlink" Target="https://poolhost.com/profootball/playerstats/1699660" TargetMode="External"/><Relationship Id="rId40" Type="http://schemas.openxmlformats.org/officeDocument/2006/relationships/hyperlink" Target="https://poolhost.com/profootball/playerstats/1654484" TargetMode="External"/><Relationship Id="rId45" Type="http://schemas.openxmlformats.org/officeDocument/2006/relationships/hyperlink" Target="https://poolhost.com/profootball/playerstats/1678667" TargetMode="External"/><Relationship Id="rId66" Type="http://schemas.openxmlformats.org/officeDocument/2006/relationships/hyperlink" Target="https://poolhost.com/profootball/playerstats/1725535" TargetMode="External"/><Relationship Id="rId87" Type="http://schemas.openxmlformats.org/officeDocument/2006/relationships/hyperlink" Target="https://poolhost.com/profootball/playerstats/1666034" TargetMode="External"/><Relationship Id="rId110" Type="http://schemas.openxmlformats.org/officeDocument/2006/relationships/hyperlink" Target="https://poolhost.com/profootball/playerstats/1677049" TargetMode="External"/><Relationship Id="rId115" Type="http://schemas.openxmlformats.org/officeDocument/2006/relationships/hyperlink" Target="https://poolhost.com/profootball/playerstats/1687892" TargetMode="External"/><Relationship Id="rId131" Type="http://schemas.openxmlformats.org/officeDocument/2006/relationships/hyperlink" Target="https://poolhost.com/profootball/playerstats/1728787" TargetMode="External"/><Relationship Id="rId136" Type="http://schemas.openxmlformats.org/officeDocument/2006/relationships/hyperlink" Target="https://poolhost.com/profootball/playerstats/1722233" TargetMode="External"/><Relationship Id="rId157" Type="http://schemas.openxmlformats.org/officeDocument/2006/relationships/hyperlink" Target="https://poolhost.com/profootball/playerstats/1699810" TargetMode="External"/><Relationship Id="rId61" Type="http://schemas.openxmlformats.org/officeDocument/2006/relationships/hyperlink" Target="https://poolhost.com/profootball/playerstats/1672167" TargetMode="External"/><Relationship Id="rId82" Type="http://schemas.openxmlformats.org/officeDocument/2006/relationships/hyperlink" Target="https://poolhost.com/profootball/playerstats/1708312" TargetMode="External"/><Relationship Id="rId152" Type="http://schemas.openxmlformats.org/officeDocument/2006/relationships/hyperlink" Target="https://poolhost.com/profootball/playerstats/1695716" TargetMode="External"/><Relationship Id="rId19" Type="http://schemas.openxmlformats.org/officeDocument/2006/relationships/hyperlink" Target="https://poolhost.com/profootball/playerstats/1723980" TargetMode="External"/><Relationship Id="rId14" Type="http://schemas.openxmlformats.org/officeDocument/2006/relationships/hyperlink" Target="https://poolhost.com/profootball/playerstats/1683389" TargetMode="External"/><Relationship Id="rId30" Type="http://schemas.openxmlformats.org/officeDocument/2006/relationships/hyperlink" Target="https://poolhost.com/profootball/playerstats/1732788" TargetMode="External"/><Relationship Id="rId35" Type="http://schemas.openxmlformats.org/officeDocument/2006/relationships/hyperlink" Target="https://poolhost.com/profootball/playerstats/1733218" TargetMode="External"/><Relationship Id="rId56" Type="http://schemas.openxmlformats.org/officeDocument/2006/relationships/hyperlink" Target="https://poolhost.com/profootball/playerstats/1705249" TargetMode="External"/><Relationship Id="rId77" Type="http://schemas.openxmlformats.org/officeDocument/2006/relationships/hyperlink" Target="https://poolhost.com/profootball/playerstats/1673248" TargetMode="External"/><Relationship Id="rId100" Type="http://schemas.openxmlformats.org/officeDocument/2006/relationships/hyperlink" Target="https://poolhost.com/profootball/playerstats/1722286" TargetMode="External"/><Relationship Id="rId105" Type="http://schemas.openxmlformats.org/officeDocument/2006/relationships/hyperlink" Target="https://poolhost.com/profootball/playerstats/1665810" TargetMode="External"/><Relationship Id="rId126" Type="http://schemas.openxmlformats.org/officeDocument/2006/relationships/hyperlink" Target="https://poolhost.com/profootball/playerstats/1659558" TargetMode="External"/><Relationship Id="rId147" Type="http://schemas.openxmlformats.org/officeDocument/2006/relationships/hyperlink" Target="https://poolhost.com/profootball/playerstats/1666473" TargetMode="External"/><Relationship Id="rId8" Type="http://schemas.openxmlformats.org/officeDocument/2006/relationships/hyperlink" Target="https://poolhost.com/profootball/playerstats/1673761" TargetMode="External"/><Relationship Id="rId51" Type="http://schemas.openxmlformats.org/officeDocument/2006/relationships/hyperlink" Target="https://poolhost.com/profootball/playerstats/1654485" TargetMode="External"/><Relationship Id="rId72" Type="http://schemas.openxmlformats.org/officeDocument/2006/relationships/hyperlink" Target="https://poolhost.com/profootball/playerstats/1676125" TargetMode="External"/><Relationship Id="rId93" Type="http://schemas.openxmlformats.org/officeDocument/2006/relationships/hyperlink" Target="https://poolhost.com/profootball/playerstats/1730347" TargetMode="External"/><Relationship Id="rId98" Type="http://schemas.openxmlformats.org/officeDocument/2006/relationships/hyperlink" Target="https://poolhost.com/profootball/playerstats/1657103" TargetMode="External"/><Relationship Id="rId121" Type="http://schemas.openxmlformats.org/officeDocument/2006/relationships/hyperlink" Target="https://poolhost.com/profootball/playerstats/1682523" TargetMode="External"/><Relationship Id="rId142" Type="http://schemas.openxmlformats.org/officeDocument/2006/relationships/hyperlink" Target="https://poolhost.com/profootball/playerstats/1732254" TargetMode="External"/><Relationship Id="rId163" Type="http://schemas.openxmlformats.org/officeDocument/2006/relationships/hyperlink" Target="https://poolhost.com/profootball/playerstats/1728782" TargetMode="External"/><Relationship Id="rId3" Type="http://schemas.openxmlformats.org/officeDocument/2006/relationships/hyperlink" Target="https://poolhost.com/profootball/playerstats/1686915" TargetMode="External"/><Relationship Id="rId25" Type="http://schemas.openxmlformats.org/officeDocument/2006/relationships/hyperlink" Target="https://poolhost.com/profootball/playerstats/1678632" TargetMode="External"/><Relationship Id="rId46" Type="http://schemas.openxmlformats.org/officeDocument/2006/relationships/hyperlink" Target="https://poolhost.com/profootball/playerstats/1657024" TargetMode="External"/><Relationship Id="rId67" Type="http://schemas.openxmlformats.org/officeDocument/2006/relationships/hyperlink" Target="https://poolhost.com/profootball/playerstats/1654500" TargetMode="External"/><Relationship Id="rId116" Type="http://schemas.openxmlformats.org/officeDocument/2006/relationships/hyperlink" Target="https://poolhost.com/profootball/playerstats/1704026" TargetMode="External"/><Relationship Id="rId137" Type="http://schemas.openxmlformats.org/officeDocument/2006/relationships/hyperlink" Target="https://poolhost.com/profootball/playerstats/1654623" TargetMode="External"/><Relationship Id="rId158" Type="http://schemas.openxmlformats.org/officeDocument/2006/relationships/hyperlink" Target="https://poolhost.com/profootball/playerstats/1654448" TargetMode="External"/><Relationship Id="rId20" Type="http://schemas.openxmlformats.org/officeDocument/2006/relationships/hyperlink" Target="https://poolhost.com/profootball/playerstats/1669212" TargetMode="External"/><Relationship Id="rId41" Type="http://schemas.openxmlformats.org/officeDocument/2006/relationships/hyperlink" Target="https://poolhost.com/profootball/playerstats/1729314" TargetMode="External"/><Relationship Id="rId62" Type="http://schemas.openxmlformats.org/officeDocument/2006/relationships/hyperlink" Target="https://poolhost.com/profootball/playerstats/1667376" TargetMode="External"/><Relationship Id="rId83" Type="http://schemas.openxmlformats.org/officeDocument/2006/relationships/hyperlink" Target="https://poolhost.com/profootball/playerstats/1729491" TargetMode="External"/><Relationship Id="rId88" Type="http://schemas.openxmlformats.org/officeDocument/2006/relationships/hyperlink" Target="https://poolhost.com/profootball/playerstats/1666027" TargetMode="External"/><Relationship Id="rId111" Type="http://schemas.openxmlformats.org/officeDocument/2006/relationships/hyperlink" Target="https://poolhost.com/profootball/playerstats/1726326" TargetMode="External"/><Relationship Id="rId132" Type="http://schemas.openxmlformats.org/officeDocument/2006/relationships/hyperlink" Target="https://poolhost.com/profootball/playerstats/1741250" TargetMode="External"/><Relationship Id="rId153" Type="http://schemas.openxmlformats.org/officeDocument/2006/relationships/hyperlink" Target="https://poolhost.com/profootball/playerstats/1708805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poolhost.com/profootball/playerstats/1703401" TargetMode="External"/><Relationship Id="rId117" Type="http://schemas.openxmlformats.org/officeDocument/2006/relationships/hyperlink" Target="https://poolhost.com/profootball/playerstats/1666473" TargetMode="External"/><Relationship Id="rId21" Type="http://schemas.openxmlformats.org/officeDocument/2006/relationships/hyperlink" Target="https://poolhost.com/profootball/playerstats/1655447" TargetMode="External"/><Relationship Id="rId42" Type="http://schemas.openxmlformats.org/officeDocument/2006/relationships/hyperlink" Target="https://poolhost.com/profootball/playerstats/1715552" TargetMode="External"/><Relationship Id="rId47" Type="http://schemas.openxmlformats.org/officeDocument/2006/relationships/hyperlink" Target="https://poolhost.com/profootball/playerstats/1735486" TargetMode="External"/><Relationship Id="rId63" Type="http://schemas.openxmlformats.org/officeDocument/2006/relationships/hyperlink" Target="https://poolhost.com/profootball/playerstats/1676125" TargetMode="External"/><Relationship Id="rId68" Type="http://schemas.openxmlformats.org/officeDocument/2006/relationships/hyperlink" Target="https://poolhost.com/profootball/playerstats/1727817" TargetMode="External"/><Relationship Id="rId84" Type="http://schemas.openxmlformats.org/officeDocument/2006/relationships/hyperlink" Target="https://poolhost.com/profootball/playerstats/1667866" TargetMode="External"/><Relationship Id="rId89" Type="http://schemas.openxmlformats.org/officeDocument/2006/relationships/hyperlink" Target="https://poolhost.com/profootball/playerstats/1672298" TargetMode="External"/><Relationship Id="rId112" Type="http://schemas.openxmlformats.org/officeDocument/2006/relationships/hyperlink" Target="https://poolhost.com/profootball/playerstats/1662606" TargetMode="External"/><Relationship Id="rId133" Type="http://schemas.openxmlformats.org/officeDocument/2006/relationships/hyperlink" Target="https://poolhost.com/profootball/playerstats/1649126" TargetMode="External"/><Relationship Id="rId138" Type="http://schemas.openxmlformats.org/officeDocument/2006/relationships/hyperlink" Target="https://poolhost.com/profootball/playerstats/1677049" TargetMode="External"/><Relationship Id="rId154" Type="http://schemas.openxmlformats.org/officeDocument/2006/relationships/hyperlink" Target="https://poolhost.com/profootball/playerstats/1699810" TargetMode="External"/><Relationship Id="rId159" Type="http://schemas.openxmlformats.org/officeDocument/2006/relationships/hyperlink" Target="https://poolhost.com/profootball/playerstats/1721401" TargetMode="External"/><Relationship Id="rId16" Type="http://schemas.openxmlformats.org/officeDocument/2006/relationships/hyperlink" Target="https://poolhost.com/profootball/playerstats/1705029" TargetMode="External"/><Relationship Id="rId107" Type="http://schemas.openxmlformats.org/officeDocument/2006/relationships/hyperlink" Target="https://poolhost.com/profootball/playerstats/1658459" TargetMode="External"/><Relationship Id="rId11" Type="http://schemas.openxmlformats.org/officeDocument/2006/relationships/hyperlink" Target="https://poolhost.com/profootball/playerstats/1722233" TargetMode="External"/><Relationship Id="rId32" Type="http://schemas.openxmlformats.org/officeDocument/2006/relationships/hyperlink" Target="https://poolhost.com/profootball/playerstats/1708312" TargetMode="External"/><Relationship Id="rId37" Type="http://schemas.openxmlformats.org/officeDocument/2006/relationships/hyperlink" Target="https://poolhost.com/profootball/playerstats/1665631" TargetMode="External"/><Relationship Id="rId53" Type="http://schemas.openxmlformats.org/officeDocument/2006/relationships/hyperlink" Target="https://poolhost.com/profootball/playerstats/1681958" TargetMode="External"/><Relationship Id="rId58" Type="http://schemas.openxmlformats.org/officeDocument/2006/relationships/hyperlink" Target="https://poolhost.com/profootball/playerstats/1657024" TargetMode="External"/><Relationship Id="rId74" Type="http://schemas.openxmlformats.org/officeDocument/2006/relationships/hyperlink" Target="https://poolhost.com/profootball/playerstats/1722286" TargetMode="External"/><Relationship Id="rId79" Type="http://schemas.openxmlformats.org/officeDocument/2006/relationships/hyperlink" Target="https://poolhost.com/profootball/playerstats/1668461" TargetMode="External"/><Relationship Id="rId102" Type="http://schemas.openxmlformats.org/officeDocument/2006/relationships/hyperlink" Target="https://poolhost.com/profootball/playerstats/1654448" TargetMode="External"/><Relationship Id="rId123" Type="http://schemas.openxmlformats.org/officeDocument/2006/relationships/hyperlink" Target="https://poolhost.com/profootball/playerstats/1666449" TargetMode="External"/><Relationship Id="rId128" Type="http://schemas.openxmlformats.org/officeDocument/2006/relationships/hyperlink" Target="https://poolhost.com/profootball/playerstats/1654603" TargetMode="External"/><Relationship Id="rId144" Type="http://schemas.openxmlformats.org/officeDocument/2006/relationships/hyperlink" Target="https://poolhost.com/profootball/playerstats/1704026" TargetMode="External"/><Relationship Id="rId149" Type="http://schemas.openxmlformats.org/officeDocument/2006/relationships/hyperlink" Target="https://poolhost.com/profootball/playerstats/1678632" TargetMode="External"/><Relationship Id="rId5" Type="http://schemas.openxmlformats.org/officeDocument/2006/relationships/hyperlink" Target="https://poolhost.com/profootball/playerstats/1679667" TargetMode="External"/><Relationship Id="rId90" Type="http://schemas.openxmlformats.org/officeDocument/2006/relationships/hyperlink" Target="https://poolhost.com/profootball/playerstats/1731755" TargetMode="External"/><Relationship Id="rId95" Type="http://schemas.openxmlformats.org/officeDocument/2006/relationships/hyperlink" Target="https://poolhost.com/profootball/playerstats/1729491" TargetMode="External"/><Relationship Id="rId160" Type="http://schemas.openxmlformats.org/officeDocument/2006/relationships/hyperlink" Target="https://poolhost.com/profootball/playerstats/1732953" TargetMode="External"/><Relationship Id="rId22" Type="http://schemas.openxmlformats.org/officeDocument/2006/relationships/hyperlink" Target="https://poolhost.com/profootball/playerstats/1668687" TargetMode="External"/><Relationship Id="rId27" Type="http://schemas.openxmlformats.org/officeDocument/2006/relationships/hyperlink" Target="https://poolhost.com/profootball/playerstats/1705249" TargetMode="External"/><Relationship Id="rId43" Type="http://schemas.openxmlformats.org/officeDocument/2006/relationships/hyperlink" Target="https://poolhost.com/profootball/playerstats/1665910" TargetMode="External"/><Relationship Id="rId48" Type="http://schemas.openxmlformats.org/officeDocument/2006/relationships/hyperlink" Target="https://poolhost.com/profootball/playerstats/1659558" TargetMode="External"/><Relationship Id="rId64" Type="http://schemas.openxmlformats.org/officeDocument/2006/relationships/hyperlink" Target="https://poolhost.com/profootball/playerstats/1732254" TargetMode="External"/><Relationship Id="rId69" Type="http://schemas.openxmlformats.org/officeDocument/2006/relationships/hyperlink" Target="https://poolhost.com/profootball/playerstats/1655488" TargetMode="External"/><Relationship Id="rId113" Type="http://schemas.openxmlformats.org/officeDocument/2006/relationships/hyperlink" Target="https://poolhost.com/profootball/playerstats/1727170" TargetMode="External"/><Relationship Id="rId118" Type="http://schemas.openxmlformats.org/officeDocument/2006/relationships/hyperlink" Target="https://poolhost.com/profootball/playerstats/1668628" TargetMode="External"/><Relationship Id="rId134" Type="http://schemas.openxmlformats.org/officeDocument/2006/relationships/hyperlink" Target="https://poolhost.com/profootball/playerstats/1663101" TargetMode="External"/><Relationship Id="rId139" Type="http://schemas.openxmlformats.org/officeDocument/2006/relationships/hyperlink" Target="https://poolhost.com/profootball/playerstats/1734172" TargetMode="External"/><Relationship Id="rId80" Type="http://schemas.openxmlformats.org/officeDocument/2006/relationships/hyperlink" Target="https://poolhost.com/profootball/playerstats/1657214" TargetMode="External"/><Relationship Id="rId85" Type="http://schemas.openxmlformats.org/officeDocument/2006/relationships/hyperlink" Target="https://poolhost.com/profootball/playerstats/1674086" TargetMode="External"/><Relationship Id="rId150" Type="http://schemas.openxmlformats.org/officeDocument/2006/relationships/hyperlink" Target="https://poolhost.com/profootball/playerstats/1702449" TargetMode="External"/><Relationship Id="rId155" Type="http://schemas.openxmlformats.org/officeDocument/2006/relationships/hyperlink" Target="https://poolhost.com/profootball/playerstats/1732996" TargetMode="External"/><Relationship Id="rId12" Type="http://schemas.openxmlformats.org/officeDocument/2006/relationships/hyperlink" Target="https://poolhost.com/profootball/playerstats/1684266" TargetMode="External"/><Relationship Id="rId17" Type="http://schemas.openxmlformats.org/officeDocument/2006/relationships/hyperlink" Target="https://poolhost.com/profootball/playerstats/1725535" TargetMode="External"/><Relationship Id="rId33" Type="http://schemas.openxmlformats.org/officeDocument/2006/relationships/hyperlink" Target="https://poolhost.com/profootball/playerstats/1699295" TargetMode="External"/><Relationship Id="rId38" Type="http://schemas.openxmlformats.org/officeDocument/2006/relationships/hyperlink" Target="https://poolhost.com/profootball/playerstats/1732411" TargetMode="External"/><Relationship Id="rId59" Type="http://schemas.openxmlformats.org/officeDocument/2006/relationships/hyperlink" Target="https://poolhost.com/profootball/playerstats/1703435" TargetMode="External"/><Relationship Id="rId103" Type="http://schemas.openxmlformats.org/officeDocument/2006/relationships/hyperlink" Target="https://poolhost.com/profootball/playerstats/1709781" TargetMode="External"/><Relationship Id="rId108" Type="http://schemas.openxmlformats.org/officeDocument/2006/relationships/hyperlink" Target="https://poolhost.com/profootball/playerstats/1659875" TargetMode="External"/><Relationship Id="rId124" Type="http://schemas.openxmlformats.org/officeDocument/2006/relationships/hyperlink" Target="https://poolhost.com/profootball/playerstats/1707988" TargetMode="External"/><Relationship Id="rId129" Type="http://schemas.openxmlformats.org/officeDocument/2006/relationships/hyperlink" Target="https://poolhost.com/profootball/playerstats/1679156" TargetMode="External"/><Relationship Id="rId54" Type="http://schemas.openxmlformats.org/officeDocument/2006/relationships/hyperlink" Target="https://poolhost.com/profootball/playerstats/1673761" TargetMode="External"/><Relationship Id="rId70" Type="http://schemas.openxmlformats.org/officeDocument/2006/relationships/hyperlink" Target="https://poolhost.com/profootball/playerstats/1700157" TargetMode="External"/><Relationship Id="rId75" Type="http://schemas.openxmlformats.org/officeDocument/2006/relationships/hyperlink" Target="https://poolhost.com/profootball/playerstats/1685256" TargetMode="External"/><Relationship Id="rId91" Type="http://schemas.openxmlformats.org/officeDocument/2006/relationships/hyperlink" Target="https://poolhost.com/profootball/playerstats/1654791" TargetMode="External"/><Relationship Id="rId96" Type="http://schemas.openxmlformats.org/officeDocument/2006/relationships/hyperlink" Target="https://poolhost.com/profootball/playerstats/1695716" TargetMode="External"/><Relationship Id="rId140" Type="http://schemas.openxmlformats.org/officeDocument/2006/relationships/hyperlink" Target="https://poolhost.com/profootball/playerstats/1724223" TargetMode="External"/><Relationship Id="rId145" Type="http://schemas.openxmlformats.org/officeDocument/2006/relationships/hyperlink" Target="https://poolhost.com/profootball/playerstats/1669212" TargetMode="External"/><Relationship Id="rId161" Type="http://schemas.openxmlformats.org/officeDocument/2006/relationships/hyperlink" Target="https://poolhost.com/profootball/playerstats/1682523" TargetMode="External"/><Relationship Id="rId1" Type="http://schemas.openxmlformats.org/officeDocument/2006/relationships/hyperlink" Target="https://poolhost.com/profootball/playerstats/1674022" TargetMode="External"/><Relationship Id="rId6" Type="http://schemas.openxmlformats.org/officeDocument/2006/relationships/hyperlink" Target="https://poolhost.com/profootball/playerstats/1673222" TargetMode="External"/><Relationship Id="rId15" Type="http://schemas.openxmlformats.org/officeDocument/2006/relationships/hyperlink" Target="https://poolhost.com/profootball/playerstats/1670484" TargetMode="External"/><Relationship Id="rId23" Type="http://schemas.openxmlformats.org/officeDocument/2006/relationships/hyperlink" Target="https://poolhost.com/profootball/playerstats/1661711" TargetMode="External"/><Relationship Id="rId28" Type="http://schemas.openxmlformats.org/officeDocument/2006/relationships/hyperlink" Target="https://poolhost.com/profootball/playerstats/1699660" TargetMode="External"/><Relationship Id="rId36" Type="http://schemas.openxmlformats.org/officeDocument/2006/relationships/hyperlink" Target="https://poolhost.com/profootball/playerstats/1732851" TargetMode="External"/><Relationship Id="rId49" Type="http://schemas.openxmlformats.org/officeDocument/2006/relationships/hyperlink" Target="https://poolhost.com/profootball/playerstats/1734363" TargetMode="External"/><Relationship Id="rId57" Type="http://schemas.openxmlformats.org/officeDocument/2006/relationships/hyperlink" Target="https://poolhost.com/profootball/playerstats/1708805" TargetMode="External"/><Relationship Id="rId106" Type="http://schemas.openxmlformats.org/officeDocument/2006/relationships/hyperlink" Target="https://poolhost.com/profootball/playerstats/1687892" TargetMode="External"/><Relationship Id="rId114" Type="http://schemas.openxmlformats.org/officeDocument/2006/relationships/hyperlink" Target="https://poolhost.com/profootball/playerstats/1705272" TargetMode="External"/><Relationship Id="rId119" Type="http://schemas.openxmlformats.org/officeDocument/2006/relationships/hyperlink" Target="https://poolhost.com/profootball/playerstats/1667937" TargetMode="External"/><Relationship Id="rId127" Type="http://schemas.openxmlformats.org/officeDocument/2006/relationships/hyperlink" Target="https://poolhost.com/profootball/playerstats/1681946" TargetMode="External"/><Relationship Id="rId10" Type="http://schemas.openxmlformats.org/officeDocument/2006/relationships/hyperlink" Target="https://poolhost.com/profootball/playerstats/1657583" TargetMode="External"/><Relationship Id="rId31" Type="http://schemas.openxmlformats.org/officeDocument/2006/relationships/hyperlink" Target="https://poolhost.com/profootball/playerstats/1661981" TargetMode="External"/><Relationship Id="rId44" Type="http://schemas.openxmlformats.org/officeDocument/2006/relationships/hyperlink" Target="https://poolhost.com/profootball/playerstats/1679009" TargetMode="External"/><Relationship Id="rId52" Type="http://schemas.openxmlformats.org/officeDocument/2006/relationships/hyperlink" Target="https://poolhost.com/profootball/playerstats/1705049" TargetMode="External"/><Relationship Id="rId60" Type="http://schemas.openxmlformats.org/officeDocument/2006/relationships/hyperlink" Target="https://poolhost.com/profootball/playerstats/1686915" TargetMode="External"/><Relationship Id="rId65" Type="http://schemas.openxmlformats.org/officeDocument/2006/relationships/hyperlink" Target="https://poolhost.com/profootball/playerstats/1683531" TargetMode="External"/><Relationship Id="rId73" Type="http://schemas.openxmlformats.org/officeDocument/2006/relationships/hyperlink" Target="https://poolhost.com/profootball/playerstats/1684290" TargetMode="External"/><Relationship Id="rId78" Type="http://schemas.openxmlformats.org/officeDocument/2006/relationships/hyperlink" Target="https://poolhost.com/profootball/playerstats/1705346" TargetMode="External"/><Relationship Id="rId81" Type="http://schemas.openxmlformats.org/officeDocument/2006/relationships/hyperlink" Target="https://poolhost.com/profootball/playerstats/1686727" TargetMode="External"/><Relationship Id="rId86" Type="http://schemas.openxmlformats.org/officeDocument/2006/relationships/hyperlink" Target="https://poolhost.com/profootball/playerstats/1676654" TargetMode="External"/><Relationship Id="rId94" Type="http://schemas.openxmlformats.org/officeDocument/2006/relationships/hyperlink" Target="https://poolhost.com/profootball/playerstats/1726632" TargetMode="External"/><Relationship Id="rId99" Type="http://schemas.openxmlformats.org/officeDocument/2006/relationships/hyperlink" Target="https://poolhost.com/profootball/playerstats/1700155" TargetMode="External"/><Relationship Id="rId101" Type="http://schemas.openxmlformats.org/officeDocument/2006/relationships/hyperlink" Target="https://poolhost.com/profootball/playerstats/1711169" TargetMode="External"/><Relationship Id="rId122" Type="http://schemas.openxmlformats.org/officeDocument/2006/relationships/hyperlink" Target="https://poolhost.com/profootball/playerstats/1654485" TargetMode="External"/><Relationship Id="rId130" Type="http://schemas.openxmlformats.org/officeDocument/2006/relationships/hyperlink" Target="https://poolhost.com/profootball/playerstats/1704294" TargetMode="External"/><Relationship Id="rId135" Type="http://schemas.openxmlformats.org/officeDocument/2006/relationships/hyperlink" Target="https://poolhost.com/profootball/playerstats/1679300" TargetMode="External"/><Relationship Id="rId143" Type="http://schemas.openxmlformats.org/officeDocument/2006/relationships/hyperlink" Target="https://poolhost.com/profootball/playerstats/1666034" TargetMode="External"/><Relationship Id="rId148" Type="http://schemas.openxmlformats.org/officeDocument/2006/relationships/hyperlink" Target="https://poolhost.com/profootball/playerstats/1669305" TargetMode="External"/><Relationship Id="rId151" Type="http://schemas.openxmlformats.org/officeDocument/2006/relationships/hyperlink" Target="https://poolhost.com/profootball/playerstats/1654500" TargetMode="External"/><Relationship Id="rId156" Type="http://schemas.openxmlformats.org/officeDocument/2006/relationships/hyperlink" Target="https://poolhost.com/profootball/playerstats/1654649" TargetMode="External"/><Relationship Id="rId4" Type="http://schemas.openxmlformats.org/officeDocument/2006/relationships/hyperlink" Target="https://poolhost.com/profootball/playerstats/1733218" TargetMode="External"/><Relationship Id="rId9" Type="http://schemas.openxmlformats.org/officeDocument/2006/relationships/hyperlink" Target="https://poolhost.com/profootball/playerstats/1678667" TargetMode="External"/><Relationship Id="rId13" Type="http://schemas.openxmlformats.org/officeDocument/2006/relationships/hyperlink" Target="https://poolhost.com/profootball/playerstats/1660811" TargetMode="External"/><Relationship Id="rId18" Type="http://schemas.openxmlformats.org/officeDocument/2006/relationships/hyperlink" Target="https://poolhost.com/profootball/playerstats/1723980" TargetMode="External"/><Relationship Id="rId39" Type="http://schemas.openxmlformats.org/officeDocument/2006/relationships/hyperlink" Target="https://poolhost.com/profootball/playerstats/1731780" TargetMode="External"/><Relationship Id="rId109" Type="http://schemas.openxmlformats.org/officeDocument/2006/relationships/hyperlink" Target="https://poolhost.com/profootball/playerstats/1672167" TargetMode="External"/><Relationship Id="rId34" Type="http://schemas.openxmlformats.org/officeDocument/2006/relationships/hyperlink" Target="https://poolhost.com/profootball/playerstats/1685066" TargetMode="External"/><Relationship Id="rId50" Type="http://schemas.openxmlformats.org/officeDocument/2006/relationships/hyperlink" Target="https://poolhost.com/profootball/playerstats/1666092" TargetMode="External"/><Relationship Id="rId55" Type="http://schemas.openxmlformats.org/officeDocument/2006/relationships/hyperlink" Target="https://poolhost.com/profootball/playerstats/1657801" TargetMode="External"/><Relationship Id="rId76" Type="http://schemas.openxmlformats.org/officeDocument/2006/relationships/hyperlink" Target="https://poolhost.com/profootball/playerstats/1733415" TargetMode="External"/><Relationship Id="rId97" Type="http://schemas.openxmlformats.org/officeDocument/2006/relationships/hyperlink" Target="https://poolhost.com/profootball/playerstats/1665979" TargetMode="External"/><Relationship Id="rId104" Type="http://schemas.openxmlformats.org/officeDocument/2006/relationships/hyperlink" Target="https://poolhost.com/profootball/playerstats/1654623" TargetMode="External"/><Relationship Id="rId120" Type="http://schemas.openxmlformats.org/officeDocument/2006/relationships/hyperlink" Target="https://poolhost.com/profootball/playerstats/1683389" TargetMode="External"/><Relationship Id="rId125" Type="http://schemas.openxmlformats.org/officeDocument/2006/relationships/hyperlink" Target="https://poolhost.com/profootball/playerstats/1669323" TargetMode="External"/><Relationship Id="rId141" Type="http://schemas.openxmlformats.org/officeDocument/2006/relationships/hyperlink" Target="https://poolhost.com/profootball/playerstats/1697912" TargetMode="External"/><Relationship Id="rId146" Type="http://schemas.openxmlformats.org/officeDocument/2006/relationships/hyperlink" Target="https://poolhost.com/profootball/playerstats/1680041" TargetMode="External"/><Relationship Id="rId7" Type="http://schemas.openxmlformats.org/officeDocument/2006/relationships/hyperlink" Target="https://poolhost.com/profootball/playerstats/1701053" TargetMode="External"/><Relationship Id="rId71" Type="http://schemas.openxmlformats.org/officeDocument/2006/relationships/hyperlink" Target="https://poolhost.com/profootball/playerstats/1709552" TargetMode="External"/><Relationship Id="rId92" Type="http://schemas.openxmlformats.org/officeDocument/2006/relationships/hyperlink" Target="https://poolhost.com/profootball/playerstats/1662306" TargetMode="External"/><Relationship Id="rId162" Type="http://schemas.openxmlformats.org/officeDocument/2006/relationships/hyperlink" Target="https://poolhost.com/profootball/playerstats/1663641" TargetMode="External"/><Relationship Id="rId2" Type="http://schemas.openxmlformats.org/officeDocument/2006/relationships/hyperlink" Target="https://poolhost.com/profootball/playerstats/1729262" TargetMode="External"/><Relationship Id="rId29" Type="http://schemas.openxmlformats.org/officeDocument/2006/relationships/hyperlink" Target="https://poolhost.com/profootball/playerstats/1729617" TargetMode="External"/><Relationship Id="rId24" Type="http://schemas.openxmlformats.org/officeDocument/2006/relationships/hyperlink" Target="https://poolhost.com/profootball/playerstats/1670025" TargetMode="External"/><Relationship Id="rId40" Type="http://schemas.openxmlformats.org/officeDocument/2006/relationships/hyperlink" Target="https://poolhost.com/profootball/playerstats/1657103" TargetMode="External"/><Relationship Id="rId45" Type="http://schemas.openxmlformats.org/officeDocument/2006/relationships/hyperlink" Target="https://poolhost.com/profootball/playerstats/1668682" TargetMode="External"/><Relationship Id="rId66" Type="http://schemas.openxmlformats.org/officeDocument/2006/relationships/hyperlink" Target="https://poolhost.com/profootball/playerstats/1722206" TargetMode="External"/><Relationship Id="rId87" Type="http://schemas.openxmlformats.org/officeDocument/2006/relationships/hyperlink" Target="https://poolhost.com/profootball/playerstats/1708448" TargetMode="External"/><Relationship Id="rId110" Type="http://schemas.openxmlformats.org/officeDocument/2006/relationships/hyperlink" Target="https://poolhost.com/profootball/playerstats/1654484" TargetMode="External"/><Relationship Id="rId115" Type="http://schemas.openxmlformats.org/officeDocument/2006/relationships/hyperlink" Target="https://poolhost.com/profootball/playerstats/1678377" TargetMode="External"/><Relationship Id="rId131" Type="http://schemas.openxmlformats.org/officeDocument/2006/relationships/hyperlink" Target="https://poolhost.com/profootball/playerstats/1728787" TargetMode="External"/><Relationship Id="rId136" Type="http://schemas.openxmlformats.org/officeDocument/2006/relationships/hyperlink" Target="https://poolhost.com/profootball/playerstats/1667376" TargetMode="External"/><Relationship Id="rId157" Type="http://schemas.openxmlformats.org/officeDocument/2006/relationships/hyperlink" Target="https://poolhost.com/profootball/playerstats/1681897" TargetMode="External"/><Relationship Id="rId61" Type="http://schemas.openxmlformats.org/officeDocument/2006/relationships/hyperlink" Target="https://poolhost.com/profootball/playerstats/1712780" TargetMode="External"/><Relationship Id="rId82" Type="http://schemas.openxmlformats.org/officeDocument/2006/relationships/hyperlink" Target="https://poolhost.com/profootball/playerstats/1649341" TargetMode="External"/><Relationship Id="rId152" Type="http://schemas.openxmlformats.org/officeDocument/2006/relationships/hyperlink" Target="https://poolhost.com/profootball/playerstats/1696717" TargetMode="External"/><Relationship Id="rId19" Type="http://schemas.openxmlformats.org/officeDocument/2006/relationships/hyperlink" Target="https://poolhost.com/profootball/playerstats/1731690" TargetMode="External"/><Relationship Id="rId14" Type="http://schemas.openxmlformats.org/officeDocument/2006/relationships/hyperlink" Target="https://poolhost.com/profootball/playerstats/1671837" TargetMode="External"/><Relationship Id="rId30" Type="http://schemas.openxmlformats.org/officeDocument/2006/relationships/hyperlink" Target="https://poolhost.com/profootball/playerstats/1732788" TargetMode="External"/><Relationship Id="rId35" Type="http://schemas.openxmlformats.org/officeDocument/2006/relationships/hyperlink" Target="https://poolhost.com/profootball/playerstats/1659846" TargetMode="External"/><Relationship Id="rId56" Type="http://schemas.openxmlformats.org/officeDocument/2006/relationships/hyperlink" Target="https://poolhost.com/profootball/playerstats/1694354" TargetMode="External"/><Relationship Id="rId77" Type="http://schemas.openxmlformats.org/officeDocument/2006/relationships/hyperlink" Target="https://poolhost.com/profootball/playerstats/1730676" TargetMode="External"/><Relationship Id="rId100" Type="http://schemas.openxmlformats.org/officeDocument/2006/relationships/hyperlink" Target="https://poolhost.com/profootball/playerstats/1673248" TargetMode="External"/><Relationship Id="rId105" Type="http://schemas.openxmlformats.org/officeDocument/2006/relationships/hyperlink" Target="https://poolhost.com/profootball/playerstats/1670226" TargetMode="External"/><Relationship Id="rId126" Type="http://schemas.openxmlformats.org/officeDocument/2006/relationships/hyperlink" Target="https://poolhost.com/profootball/playerstats/1701354" TargetMode="External"/><Relationship Id="rId147" Type="http://schemas.openxmlformats.org/officeDocument/2006/relationships/hyperlink" Target="https://poolhost.com/profootball/playerstats/1691673" TargetMode="External"/><Relationship Id="rId8" Type="http://schemas.openxmlformats.org/officeDocument/2006/relationships/hyperlink" Target="https://poolhost.com/profootball/playerstats/1677370" TargetMode="External"/><Relationship Id="rId51" Type="http://schemas.openxmlformats.org/officeDocument/2006/relationships/hyperlink" Target="https://poolhost.com/profootball/playerstats/1694017" TargetMode="External"/><Relationship Id="rId72" Type="http://schemas.openxmlformats.org/officeDocument/2006/relationships/hyperlink" Target="https://poolhost.com/profootball/playerstats/1682884" TargetMode="External"/><Relationship Id="rId93" Type="http://schemas.openxmlformats.org/officeDocument/2006/relationships/hyperlink" Target="https://poolhost.com/profootball/playerstats/1665810" TargetMode="External"/><Relationship Id="rId98" Type="http://schemas.openxmlformats.org/officeDocument/2006/relationships/hyperlink" Target="https://poolhost.com/profootball/playerstats/1657241" TargetMode="External"/><Relationship Id="rId121" Type="http://schemas.openxmlformats.org/officeDocument/2006/relationships/hyperlink" Target="https://poolhost.com/profootball/playerstats/1732290" TargetMode="External"/><Relationship Id="rId142" Type="http://schemas.openxmlformats.org/officeDocument/2006/relationships/hyperlink" Target="https://poolhost.com/profootball/playerstats/1666027" TargetMode="External"/><Relationship Id="rId163" Type="http://schemas.openxmlformats.org/officeDocument/2006/relationships/hyperlink" Target="https://poolhost.com/profootball/playerstats/1728782" TargetMode="External"/><Relationship Id="rId3" Type="http://schemas.openxmlformats.org/officeDocument/2006/relationships/hyperlink" Target="https://poolhost.com/profootball/playerstats/1665614" TargetMode="External"/><Relationship Id="rId25" Type="http://schemas.openxmlformats.org/officeDocument/2006/relationships/hyperlink" Target="https://poolhost.com/profootball/playerstats/1671748" TargetMode="External"/><Relationship Id="rId46" Type="http://schemas.openxmlformats.org/officeDocument/2006/relationships/hyperlink" Target="https://poolhost.com/profootball/playerstats/1695492" TargetMode="External"/><Relationship Id="rId67" Type="http://schemas.openxmlformats.org/officeDocument/2006/relationships/hyperlink" Target="https://poolhost.com/profootball/playerstats/1684491" TargetMode="External"/><Relationship Id="rId116" Type="http://schemas.openxmlformats.org/officeDocument/2006/relationships/hyperlink" Target="https://poolhost.com/profootball/playerstats/1741250" TargetMode="External"/><Relationship Id="rId137" Type="http://schemas.openxmlformats.org/officeDocument/2006/relationships/hyperlink" Target="https://poolhost.com/profootball/playerstats/1730270" TargetMode="External"/><Relationship Id="rId158" Type="http://schemas.openxmlformats.org/officeDocument/2006/relationships/hyperlink" Target="https://poolhost.com/profootball/playerstats/1729314" TargetMode="External"/><Relationship Id="rId20" Type="http://schemas.openxmlformats.org/officeDocument/2006/relationships/hyperlink" Target="https://poolhost.com/profootball/playerstats/1702170" TargetMode="External"/><Relationship Id="rId41" Type="http://schemas.openxmlformats.org/officeDocument/2006/relationships/hyperlink" Target="https://poolhost.com/profootball/playerstats/1654634" TargetMode="External"/><Relationship Id="rId62" Type="http://schemas.openxmlformats.org/officeDocument/2006/relationships/hyperlink" Target="https://poolhost.com/profootball/playerstats/1656464" TargetMode="External"/><Relationship Id="rId83" Type="http://schemas.openxmlformats.org/officeDocument/2006/relationships/hyperlink" Target="https://poolhost.com/profootball/playerstats/1726326" TargetMode="External"/><Relationship Id="rId88" Type="http://schemas.openxmlformats.org/officeDocument/2006/relationships/hyperlink" Target="https://poolhost.com/profootball/playerstats/1673234" TargetMode="External"/><Relationship Id="rId111" Type="http://schemas.openxmlformats.org/officeDocument/2006/relationships/hyperlink" Target="https://poolhost.com/profootball/playerstats/1721307" TargetMode="External"/><Relationship Id="rId132" Type="http://schemas.openxmlformats.org/officeDocument/2006/relationships/hyperlink" Target="https://poolhost.com/profootball/playerstats/1730347" TargetMode="External"/><Relationship Id="rId153" Type="http://schemas.openxmlformats.org/officeDocument/2006/relationships/hyperlink" Target="https://poolhost.com/profootball/playerstats/1708505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oolhost.com/profootball/playerstats/1694354" TargetMode="External"/><Relationship Id="rId117" Type="http://schemas.openxmlformats.org/officeDocument/2006/relationships/hyperlink" Target="https://www.poolhost.com/profootball/playerstats/1684266" TargetMode="External"/><Relationship Id="rId21" Type="http://schemas.openxmlformats.org/officeDocument/2006/relationships/hyperlink" Target="https://www.poolhost.com/profootball/playerstats/1703401" TargetMode="External"/><Relationship Id="rId42" Type="http://schemas.openxmlformats.org/officeDocument/2006/relationships/hyperlink" Target="https://www.poolhost.com/profootball/playerstats/1700155" TargetMode="External"/><Relationship Id="rId47" Type="http://schemas.openxmlformats.org/officeDocument/2006/relationships/hyperlink" Target="https://www.poolhost.com/profootball/playerstats/1659846" TargetMode="External"/><Relationship Id="rId63" Type="http://schemas.openxmlformats.org/officeDocument/2006/relationships/hyperlink" Target="https://www.poolhost.com/profootball/playerstats/1707988" TargetMode="External"/><Relationship Id="rId68" Type="http://schemas.openxmlformats.org/officeDocument/2006/relationships/hyperlink" Target="https://www.poolhost.com/profootball/playerstats/1732788" TargetMode="External"/><Relationship Id="rId84" Type="http://schemas.openxmlformats.org/officeDocument/2006/relationships/hyperlink" Target="https://www.poolhost.com/profootball/playerstats/1673222" TargetMode="External"/><Relationship Id="rId89" Type="http://schemas.openxmlformats.org/officeDocument/2006/relationships/hyperlink" Target="https://www.poolhost.com/profootball/playerstats/1662306" TargetMode="External"/><Relationship Id="rId112" Type="http://schemas.openxmlformats.org/officeDocument/2006/relationships/hyperlink" Target="https://www.poolhost.com/profootball/playerstats/1728787" TargetMode="External"/><Relationship Id="rId133" Type="http://schemas.openxmlformats.org/officeDocument/2006/relationships/hyperlink" Target="https://www.poolhost.com/profootball/playerstats/1666027" TargetMode="External"/><Relationship Id="rId138" Type="http://schemas.openxmlformats.org/officeDocument/2006/relationships/hyperlink" Target="https://www.poolhost.com/profootball/playerstats/1673761" TargetMode="External"/><Relationship Id="rId154" Type="http://schemas.openxmlformats.org/officeDocument/2006/relationships/hyperlink" Target="https://www.poolhost.com/profootball/playerstats/1724223" TargetMode="External"/><Relationship Id="rId159" Type="http://schemas.openxmlformats.org/officeDocument/2006/relationships/hyperlink" Target="https://www.poolhost.com/profootball/playerstats/1727170" TargetMode="External"/><Relationship Id="rId16" Type="http://schemas.openxmlformats.org/officeDocument/2006/relationships/hyperlink" Target="https://www.poolhost.com/profootball/playerstats/1686727" TargetMode="External"/><Relationship Id="rId107" Type="http://schemas.openxmlformats.org/officeDocument/2006/relationships/hyperlink" Target="https://www.poolhost.com/profootball/playerstats/1673248" TargetMode="External"/><Relationship Id="rId11" Type="http://schemas.openxmlformats.org/officeDocument/2006/relationships/hyperlink" Target="https://www.poolhost.com/profootball/playerstats/1730270" TargetMode="External"/><Relationship Id="rId32" Type="http://schemas.openxmlformats.org/officeDocument/2006/relationships/hyperlink" Target="https://www.poolhost.com/profootball/playerstats/1677049" TargetMode="External"/><Relationship Id="rId37" Type="http://schemas.openxmlformats.org/officeDocument/2006/relationships/hyperlink" Target="https://www.poolhost.com/profootball/playerstats/1695492" TargetMode="External"/><Relationship Id="rId53" Type="http://schemas.openxmlformats.org/officeDocument/2006/relationships/hyperlink" Target="https://www.poolhost.com/profootball/playerstats/1730347" TargetMode="External"/><Relationship Id="rId58" Type="http://schemas.openxmlformats.org/officeDocument/2006/relationships/hyperlink" Target="https://www.poolhost.com/profootball/playerstats/1729262" TargetMode="External"/><Relationship Id="rId74" Type="http://schemas.openxmlformats.org/officeDocument/2006/relationships/hyperlink" Target="https://www.poolhost.com/profootball/playerstats/1660811" TargetMode="External"/><Relationship Id="rId79" Type="http://schemas.openxmlformats.org/officeDocument/2006/relationships/hyperlink" Target="https://www.poolhost.com/profootball/playerstats/1654623" TargetMode="External"/><Relationship Id="rId102" Type="http://schemas.openxmlformats.org/officeDocument/2006/relationships/hyperlink" Target="https://www.poolhost.com/profootball/playerstats/1682523" TargetMode="External"/><Relationship Id="rId123" Type="http://schemas.openxmlformats.org/officeDocument/2006/relationships/hyperlink" Target="https://www.poolhost.com/profootball/playerstats/1668682" TargetMode="External"/><Relationship Id="rId128" Type="http://schemas.openxmlformats.org/officeDocument/2006/relationships/hyperlink" Target="https://www.poolhost.com/profootball/playerstats/1729491" TargetMode="External"/><Relationship Id="rId144" Type="http://schemas.openxmlformats.org/officeDocument/2006/relationships/hyperlink" Target="https://www.poolhost.com/profootball/playerstats/1678632" TargetMode="External"/><Relationship Id="rId149" Type="http://schemas.openxmlformats.org/officeDocument/2006/relationships/hyperlink" Target="https://www.poolhost.com/profootball/playerstats/1731755" TargetMode="External"/><Relationship Id="rId5" Type="http://schemas.openxmlformats.org/officeDocument/2006/relationships/hyperlink" Target="https://www.poolhost.com/profootball/playerstats/1701354" TargetMode="External"/><Relationship Id="rId90" Type="http://schemas.openxmlformats.org/officeDocument/2006/relationships/hyperlink" Target="https://www.poolhost.com/profootball/playerstats/1702170" TargetMode="External"/><Relationship Id="rId95" Type="http://schemas.openxmlformats.org/officeDocument/2006/relationships/hyperlink" Target="https://www.poolhost.com/profootball/playerstats/1730676" TargetMode="External"/><Relationship Id="rId160" Type="http://schemas.openxmlformats.org/officeDocument/2006/relationships/hyperlink" Target="https://www.poolhost.com/profootball/playerstats/1732290" TargetMode="External"/><Relationship Id="rId22" Type="http://schemas.openxmlformats.org/officeDocument/2006/relationships/hyperlink" Target="https://www.poolhost.com/profootball/playerstats/1674022" TargetMode="External"/><Relationship Id="rId27" Type="http://schemas.openxmlformats.org/officeDocument/2006/relationships/hyperlink" Target="https://www.poolhost.com/profootball/playerstats/1672167" TargetMode="External"/><Relationship Id="rId43" Type="http://schemas.openxmlformats.org/officeDocument/2006/relationships/hyperlink" Target="https://www.poolhost.com/profootball/playerstats/1666092" TargetMode="External"/><Relationship Id="rId48" Type="http://schemas.openxmlformats.org/officeDocument/2006/relationships/hyperlink" Target="https://www.poolhost.com/profootball/playerstats/1658459" TargetMode="External"/><Relationship Id="rId64" Type="http://schemas.openxmlformats.org/officeDocument/2006/relationships/hyperlink" Target="https://www.poolhost.com/profootball/playerstats/1661711" TargetMode="External"/><Relationship Id="rId69" Type="http://schemas.openxmlformats.org/officeDocument/2006/relationships/hyperlink" Target="https://www.poolhost.com/profootball/playerstats/1685256" TargetMode="External"/><Relationship Id="rId113" Type="http://schemas.openxmlformats.org/officeDocument/2006/relationships/hyperlink" Target="https://www.poolhost.com/profootball/playerstats/1705272" TargetMode="External"/><Relationship Id="rId118" Type="http://schemas.openxmlformats.org/officeDocument/2006/relationships/hyperlink" Target="https://www.poolhost.com/profootball/playerstats/1654603" TargetMode="External"/><Relationship Id="rId134" Type="http://schemas.openxmlformats.org/officeDocument/2006/relationships/hyperlink" Target="https://www.poolhost.com/profootball/playerstats/1705249" TargetMode="External"/><Relationship Id="rId139" Type="http://schemas.openxmlformats.org/officeDocument/2006/relationships/hyperlink" Target="https://www.poolhost.com/profootball/playerstats/1665979" TargetMode="External"/><Relationship Id="rId80" Type="http://schemas.openxmlformats.org/officeDocument/2006/relationships/hyperlink" Target="https://www.poolhost.com/profootball/playerstats/1665631" TargetMode="External"/><Relationship Id="rId85" Type="http://schemas.openxmlformats.org/officeDocument/2006/relationships/hyperlink" Target="https://www.poolhost.com/profootball/playerstats/1663101" TargetMode="External"/><Relationship Id="rId150" Type="http://schemas.openxmlformats.org/officeDocument/2006/relationships/hyperlink" Target="https://www.poolhost.com/profootball/playerstats/1695716" TargetMode="External"/><Relationship Id="rId155" Type="http://schemas.openxmlformats.org/officeDocument/2006/relationships/hyperlink" Target="https://www.poolhost.com/profootball/playerstats/1657214" TargetMode="External"/><Relationship Id="rId12" Type="http://schemas.openxmlformats.org/officeDocument/2006/relationships/hyperlink" Target="https://www.poolhost.com/profootball/playerstats/1699295" TargetMode="External"/><Relationship Id="rId17" Type="http://schemas.openxmlformats.org/officeDocument/2006/relationships/hyperlink" Target="https://www.poolhost.com/profootball/playerstats/1657583" TargetMode="External"/><Relationship Id="rId33" Type="http://schemas.openxmlformats.org/officeDocument/2006/relationships/hyperlink" Target="https://www.poolhost.com/profootball/playerstats/1667866" TargetMode="External"/><Relationship Id="rId38" Type="http://schemas.openxmlformats.org/officeDocument/2006/relationships/hyperlink" Target="https://www.poolhost.com/profootball/playerstats/1701053" TargetMode="External"/><Relationship Id="rId59" Type="http://schemas.openxmlformats.org/officeDocument/2006/relationships/hyperlink" Target="https://www.poolhost.com/profootball/playerstats/1654448" TargetMode="External"/><Relationship Id="rId103" Type="http://schemas.openxmlformats.org/officeDocument/2006/relationships/hyperlink" Target="https://www.poolhost.com/profootball/playerstats/1683389" TargetMode="External"/><Relationship Id="rId108" Type="http://schemas.openxmlformats.org/officeDocument/2006/relationships/hyperlink" Target="https://www.poolhost.com/profootball/playerstats/1682884" TargetMode="External"/><Relationship Id="rId124" Type="http://schemas.openxmlformats.org/officeDocument/2006/relationships/hyperlink" Target="https://www.poolhost.com/profootball/playerstats/1732996" TargetMode="External"/><Relationship Id="rId129" Type="http://schemas.openxmlformats.org/officeDocument/2006/relationships/hyperlink" Target="https://www.poolhost.com/profootball/playerstats/1684491" TargetMode="External"/><Relationship Id="rId54" Type="http://schemas.openxmlformats.org/officeDocument/2006/relationships/hyperlink" Target="https://www.poolhost.com/profootball/playerstats/1699810" TargetMode="External"/><Relationship Id="rId70" Type="http://schemas.openxmlformats.org/officeDocument/2006/relationships/hyperlink" Target="https://www.poolhost.com/profootball/playerstats/1708312" TargetMode="External"/><Relationship Id="rId75" Type="http://schemas.openxmlformats.org/officeDocument/2006/relationships/hyperlink" Target="https://www.poolhost.com/profootball/playerstats/1704294" TargetMode="External"/><Relationship Id="rId91" Type="http://schemas.openxmlformats.org/officeDocument/2006/relationships/hyperlink" Target="https://www.poolhost.com/profootball/playerstats/1668628" TargetMode="External"/><Relationship Id="rId96" Type="http://schemas.openxmlformats.org/officeDocument/2006/relationships/hyperlink" Target="https://www.poolhost.com/profootball/playerstats/1723980" TargetMode="External"/><Relationship Id="rId140" Type="http://schemas.openxmlformats.org/officeDocument/2006/relationships/hyperlink" Target="https://www.poolhost.com/profootball/playerstats/1722286" TargetMode="External"/><Relationship Id="rId145" Type="http://schemas.openxmlformats.org/officeDocument/2006/relationships/hyperlink" Target="https://www.poolhost.com/profootball/playerstats/1696717" TargetMode="External"/><Relationship Id="rId161" Type="http://schemas.openxmlformats.org/officeDocument/2006/relationships/hyperlink" Target="https://www.poolhost.com/profootball/playerstats/1679009" TargetMode="External"/><Relationship Id="rId1" Type="http://schemas.openxmlformats.org/officeDocument/2006/relationships/hyperlink" Target="https://www.poolhost.com/profootball/playerstats/1686915" TargetMode="External"/><Relationship Id="rId6" Type="http://schemas.openxmlformats.org/officeDocument/2006/relationships/hyperlink" Target="https://www.poolhost.com/profootball/playerstats/1666473" TargetMode="External"/><Relationship Id="rId15" Type="http://schemas.openxmlformats.org/officeDocument/2006/relationships/hyperlink" Target="https://www.poolhost.com/profootball/playerstats/1731690" TargetMode="External"/><Relationship Id="rId23" Type="http://schemas.openxmlformats.org/officeDocument/2006/relationships/hyperlink" Target="https://www.poolhost.com/profootball/playerstats/1721307" TargetMode="External"/><Relationship Id="rId28" Type="http://schemas.openxmlformats.org/officeDocument/2006/relationships/hyperlink" Target="https://www.poolhost.com/profootball/playerstats/1655447" TargetMode="External"/><Relationship Id="rId36" Type="http://schemas.openxmlformats.org/officeDocument/2006/relationships/hyperlink" Target="https://www.poolhost.com/profootball/playerstats/1699660" TargetMode="External"/><Relationship Id="rId49" Type="http://schemas.openxmlformats.org/officeDocument/2006/relationships/hyperlink" Target="https://www.poolhost.com/profootball/playerstats/1705029" TargetMode="External"/><Relationship Id="rId57" Type="http://schemas.openxmlformats.org/officeDocument/2006/relationships/hyperlink" Target="https://www.poolhost.com/profootball/playerstats/1728782" TargetMode="External"/><Relationship Id="rId106" Type="http://schemas.openxmlformats.org/officeDocument/2006/relationships/hyperlink" Target="https://www.poolhost.com/profootball/playerstats/1687892" TargetMode="External"/><Relationship Id="rId114" Type="http://schemas.openxmlformats.org/officeDocument/2006/relationships/hyperlink" Target="https://www.poolhost.com/profootball/playerstats/1722233" TargetMode="External"/><Relationship Id="rId119" Type="http://schemas.openxmlformats.org/officeDocument/2006/relationships/hyperlink" Target="https://www.poolhost.com/profootball/playerstats/1729617" TargetMode="External"/><Relationship Id="rId127" Type="http://schemas.openxmlformats.org/officeDocument/2006/relationships/hyperlink" Target="https://www.poolhost.com/profootball/playerstats/1669212" TargetMode="External"/><Relationship Id="rId10" Type="http://schemas.openxmlformats.org/officeDocument/2006/relationships/hyperlink" Target="https://www.poolhost.com/profootball/playerstats/1734172" TargetMode="External"/><Relationship Id="rId31" Type="http://schemas.openxmlformats.org/officeDocument/2006/relationships/hyperlink" Target="https://www.poolhost.com/profootball/playerstats/1732254" TargetMode="External"/><Relationship Id="rId44" Type="http://schemas.openxmlformats.org/officeDocument/2006/relationships/hyperlink" Target="https://www.poolhost.com/profootball/playerstats/1726632" TargetMode="External"/><Relationship Id="rId52" Type="http://schemas.openxmlformats.org/officeDocument/2006/relationships/hyperlink" Target="https://www.poolhost.com/profootball/playerstats/1674086" TargetMode="External"/><Relationship Id="rId60" Type="http://schemas.openxmlformats.org/officeDocument/2006/relationships/hyperlink" Target="https://www.poolhost.com/profootball/playerstats/1679300" TargetMode="External"/><Relationship Id="rId65" Type="http://schemas.openxmlformats.org/officeDocument/2006/relationships/hyperlink" Target="https://www.poolhost.com/profootball/playerstats/1685066" TargetMode="External"/><Relationship Id="rId73" Type="http://schemas.openxmlformats.org/officeDocument/2006/relationships/hyperlink" Target="https://www.poolhost.com/profootball/playerstats/1733415" TargetMode="External"/><Relationship Id="rId78" Type="http://schemas.openxmlformats.org/officeDocument/2006/relationships/hyperlink" Target="https://www.poolhost.com/profootball/playerstats/1669305" TargetMode="External"/><Relationship Id="rId81" Type="http://schemas.openxmlformats.org/officeDocument/2006/relationships/hyperlink" Target="https://www.poolhost.com/profootball/playerstats/1654791" TargetMode="External"/><Relationship Id="rId86" Type="http://schemas.openxmlformats.org/officeDocument/2006/relationships/hyperlink" Target="https://www.poolhost.com/profootball/playerstats/1709552" TargetMode="External"/><Relationship Id="rId94" Type="http://schemas.openxmlformats.org/officeDocument/2006/relationships/hyperlink" Target="https://www.poolhost.com/profootball/playerstats/1657103" TargetMode="External"/><Relationship Id="rId99" Type="http://schemas.openxmlformats.org/officeDocument/2006/relationships/hyperlink" Target="https://www.poolhost.com/profootball/playerstats/1712780" TargetMode="External"/><Relationship Id="rId101" Type="http://schemas.openxmlformats.org/officeDocument/2006/relationships/hyperlink" Target="https://www.poolhost.com/profootball/playerstats/1662606" TargetMode="External"/><Relationship Id="rId122" Type="http://schemas.openxmlformats.org/officeDocument/2006/relationships/hyperlink" Target="https://www.poolhost.com/profootball/playerstats/1705346" TargetMode="External"/><Relationship Id="rId130" Type="http://schemas.openxmlformats.org/officeDocument/2006/relationships/hyperlink" Target="https://www.poolhost.com/profootball/playerstats/1708505" TargetMode="External"/><Relationship Id="rId135" Type="http://schemas.openxmlformats.org/officeDocument/2006/relationships/hyperlink" Target="https://www.poolhost.com/profootball/playerstats/1661981" TargetMode="External"/><Relationship Id="rId143" Type="http://schemas.openxmlformats.org/officeDocument/2006/relationships/hyperlink" Target="https://www.poolhost.com/profootball/playerstats/1702449" TargetMode="External"/><Relationship Id="rId148" Type="http://schemas.openxmlformats.org/officeDocument/2006/relationships/hyperlink" Target="https://www.poolhost.com/profootball/playerstats/1680041" TargetMode="External"/><Relationship Id="rId151" Type="http://schemas.openxmlformats.org/officeDocument/2006/relationships/hyperlink" Target="https://www.poolhost.com/profootball/playerstats/1741250" TargetMode="External"/><Relationship Id="rId156" Type="http://schemas.openxmlformats.org/officeDocument/2006/relationships/hyperlink" Target="https://www.poolhost.com/profootball/playerstats/1670226" TargetMode="External"/><Relationship Id="rId4" Type="http://schemas.openxmlformats.org/officeDocument/2006/relationships/hyperlink" Target="https://www.poolhost.com/profootball/playerstats/1729314" TargetMode="External"/><Relationship Id="rId9" Type="http://schemas.openxmlformats.org/officeDocument/2006/relationships/hyperlink" Target="https://www.poolhost.com/profootball/playerstats/1679667" TargetMode="External"/><Relationship Id="rId13" Type="http://schemas.openxmlformats.org/officeDocument/2006/relationships/hyperlink" Target="https://www.poolhost.com/profootball/playerstats/1721401" TargetMode="External"/><Relationship Id="rId18" Type="http://schemas.openxmlformats.org/officeDocument/2006/relationships/hyperlink" Target="https://www.poolhost.com/profootball/playerstats/1671837" TargetMode="External"/><Relationship Id="rId39" Type="http://schemas.openxmlformats.org/officeDocument/2006/relationships/hyperlink" Target="https://www.poolhost.com/profootball/playerstats/1672298" TargetMode="External"/><Relationship Id="rId109" Type="http://schemas.openxmlformats.org/officeDocument/2006/relationships/hyperlink" Target="https://www.poolhost.com/profootball/playerstats/1732411" TargetMode="External"/><Relationship Id="rId34" Type="http://schemas.openxmlformats.org/officeDocument/2006/relationships/hyperlink" Target="https://www.poolhost.com/profootball/playerstats/1649341" TargetMode="External"/><Relationship Id="rId50" Type="http://schemas.openxmlformats.org/officeDocument/2006/relationships/hyperlink" Target="https://www.poolhost.com/profootball/playerstats/1665614" TargetMode="External"/><Relationship Id="rId55" Type="http://schemas.openxmlformats.org/officeDocument/2006/relationships/hyperlink" Target="https://www.poolhost.com/profootball/playerstats/1734363" TargetMode="External"/><Relationship Id="rId76" Type="http://schemas.openxmlformats.org/officeDocument/2006/relationships/hyperlink" Target="https://www.poolhost.com/profootball/playerstats/1727817" TargetMode="External"/><Relationship Id="rId97" Type="http://schemas.openxmlformats.org/officeDocument/2006/relationships/hyperlink" Target="https://www.poolhost.com/profootball/playerstats/1656464" TargetMode="External"/><Relationship Id="rId104" Type="http://schemas.openxmlformats.org/officeDocument/2006/relationships/hyperlink" Target="https://www.poolhost.com/profootball/playerstats/1659558" TargetMode="External"/><Relationship Id="rId120" Type="http://schemas.openxmlformats.org/officeDocument/2006/relationships/hyperlink" Target="https://www.poolhost.com/profootball/playerstats/1654500" TargetMode="External"/><Relationship Id="rId125" Type="http://schemas.openxmlformats.org/officeDocument/2006/relationships/hyperlink" Target="https://www.poolhost.com/profootball/playerstats/1704026" TargetMode="External"/><Relationship Id="rId141" Type="http://schemas.openxmlformats.org/officeDocument/2006/relationships/hyperlink" Target="https://www.poolhost.com/profootball/playerstats/1654485" TargetMode="External"/><Relationship Id="rId146" Type="http://schemas.openxmlformats.org/officeDocument/2006/relationships/hyperlink" Target="https://www.poolhost.com/profootball/playerstats/1665910" TargetMode="External"/><Relationship Id="rId7" Type="http://schemas.openxmlformats.org/officeDocument/2006/relationships/hyperlink" Target="https://www.poolhost.com/profootball/playerstats/1678377" TargetMode="External"/><Relationship Id="rId71" Type="http://schemas.openxmlformats.org/officeDocument/2006/relationships/hyperlink" Target="https://www.poolhost.com/profootball/playerstats/1681946" TargetMode="External"/><Relationship Id="rId92" Type="http://schemas.openxmlformats.org/officeDocument/2006/relationships/hyperlink" Target="https://www.poolhost.com/profootball/playerstats/1700157" TargetMode="External"/><Relationship Id="rId162" Type="http://schemas.openxmlformats.org/officeDocument/2006/relationships/hyperlink" Target="https://www.poolhost.com/profootball/playerstats/1732953" TargetMode="External"/><Relationship Id="rId2" Type="http://schemas.openxmlformats.org/officeDocument/2006/relationships/hyperlink" Target="https://www.poolhost.com/profootball/playerstats/1659875" TargetMode="External"/><Relationship Id="rId29" Type="http://schemas.openxmlformats.org/officeDocument/2006/relationships/hyperlink" Target="https://www.poolhost.com/profootball/playerstats/1708805" TargetMode="External"/><Relationship Id="rId24" Type="http://schemas.openxmlformats.org/officeDocument/2006/relationships/hyperlink" Target="https://www.poolhost.com/profootball/playerstats/1668687" TargetMode="External"/><Relationship Id="rId40" Type="http://schemas.openxmlformats.org/officeDocument/2006/relationships/hyperlink" Target="https://www.poolhost.com/profootball/playerstats/1677370" TargetMode="External"/><Relationship Id="rId45" Type="http://schemas.openxmlformats.org/officeDocument/2006/relationships/hyperlink" Target="https://www.poolhost.com/profootball/playerstats/1683531" TargetMode="External"/><Relationship Id="rId66" Type="http://schemas.openxmlformats.org/officeDocument/2006/relationships/hyperlink" Target="https://www.poolhost.com/profootball/playerstats/1654649" TargetMode="External"/><Relationship Id="rId87" Type="http://schemas.openxmlformats.org/officeDocument/2006/relationships/hyperlink" Target="https://www.poolhost.com/profootball/playerstats/1669323" TargetMode="External"/><Relationship Id="rId110" Type="http://schemas.openxmlformats.org/officeDocument/2006/relationships/hyperlink" Target="https://www.poolhost.com/profootball/playerstats/1722206" TargetMode="External"/><Relationship Id="rId115" Type="http://schemas.openxmlformats.org/officeDocument/2006/relationships/hyperlink" Target="https://www.poolhost.com/profootball/playerstats/1726326" TargetMode="External"/><Relationship Id="rId131" Type="http://schemas.openxmlformats.org/officeDocument/2006/relationships/hyperlink" Target="https://www.poolhost.com/profootball/playerstats/1678667" TargetMode="External"/><Relationship Id="rId136" Type="http://schemas.openxmlformats.org/officeDocument/2006/relationships/hyperlink" Target="https://www.poolhost.com/profootball/playerstats/1681958" TargetMode="External"/><Relationship Id="rId157" Type="http://schemas.openxmlformats.org/officeDocument/2006/relationships/hyperlink" Target="https://www.poolhost.com/profootball/playerstats/1679156" TargetMode="External"/><Relationship Id="rId61" Type="http://schemas.openxmlformats.org/officeDocument/2006/relationships/hyperlink" Target="https://www.poolhost.com/profootball/playerstats/1715552" TargetMode="External"/><Relationship Id="rId82" Type="http://schemas.openxmlformats.org/officeDocument/2006/relationships/hyperlink" Target="https://www.poolhost.com/profootball/playerstats/1709781" TargetMode="External"/><Relationship Id="rId152" Type="http://schemas.openxmlformats.org/officeDocument/2006/relationships/hyperlink" Target="https://www.poolhost.com/profootball/playerstats/1691673" TargetMode="External"/><Relationship Id="rId19" Type="http://schemas.openxmlformats.org/officeDocument/2006/relationships/hyperlink" Target="https://www.poolhost.com/profootball/playerstats/1673234" TargetMode="External"/><Relationship Id="rId14" Type="http://schemas.openxmlformats.org/officeDocument/2006/relationships/hyperlink" Target="https://www.poolhost.com/profootball/playerstats/1657024" TargetMode="External"/><Relationship Id="rId30" Type="http://schemas.openxmlformats.org/officeDocument/2006/relationships/hyperlink" Target="https://www.poolhost.com/profootball/playerstats/1733218" TargetMode="External"/><Relationship Id="rId35" Type="http://schemas.openxmlformats.org/officeDocument/2006/relationships/hyperlink" Target="https://www.poolhost.com/profootball/playerstats/1697912" TargetMode="External"/><Relationship Id="rId56" Type="http://schemas.openxmlformats.org/officeDocument/2006/relationships/hyperlink" Target="https://www.poolhost.com/profootball/playerstats/1705049" TargetMode="External"/><Relationship Id="rId77" Type="http://schemas.openxmlformats.org/officeDocument/2006/relationships/hyperlink" Target="https://www.poolhost.com/profootball/playerstats/1684290" TargetMode="External"/><Relationship Id="rId100" Type="http://schemas.openxmlformats.org/officeDocument/2006/relationships/hyperlink" Target="https://www.poolhost.com/profootball/playerstats/1649126" TargetMode="External"/><Relationship Id="rId105" Type="http://schemas.openxmlformats.org/officeDocument/2006/relationships/hyperlink" Target="https://www.poolhost.com/profootball/playerstats/1668461" TargetMode="External"/><Relationship Id="rId126" Type="http://schemas.openxmlformats.org/officeDocument/2006/relationships/hyperlink" Target="https://www.poolhost.com/profootball/playerstats/1681897" TargetMode="External"/><Relationship Id="rId147" Type="http://schemas.openxmlformats.org/officeDocument/2006/relationships/hyperlink" Target="https://www.poolhost.com/profootball/playerstats/1694017" TargetMode="External"/><Relationship Id="rId8" Type="http://schemas.openxmlformats.org/officeDocument/2006/relationships/hyperlink" Target="https://www.poolhost.com/profootball/playerstats/1655488" TargetMode="External"/><Relationship Id="rId51" Type="http://schemas.openxmlformats.org/officeDocument/2006/relationships/hyperlink" Target="https://www.poolhost.com/profootball/playerstats/1732851" TargetMode="External"/><Relationship Id="rId72" Type="http://schemas.openxmlformats.org/officeDocument/2006/relationships/hyperlink" Target="https://www.poolhost.com/profootball/playerstats/1667937" TargetMode="External"/><Relationship Id="rId93" Type="http://schemas.openxmlformats.org/officeDocument/2006/relationships/hyperlink" Target="https://www.poolhost.com/profootball/playerstats/1667376" TargetMode="External"/><Relationship Id="rId98" Type="http://schemas.openxmlformats.org/officeDocument/2006/relationships/hyperlink" Target="https://www.poolhost.com/profootball/playerstats/1711169" TargetMode="External"/><Relationship Id="rId121" Type="http://schemas.openxmlformats.org/officeDocument/2006/relationships/hyperlink" Target="https://www.poolhost.com/profootball/playerstats/1666449" TargetMode="External"/><Relationship Id="rId142" Type="http://schemas.openxmlformats.org/officeDocument/2006/relationships/hyperlink" Target="https://www.poolhost.com/profootball/playerstats/1676125" TargetMode="External"/><Relationship Id="rId163" Type="http://schemas.openxmlformats.org/officeDocument/2006/relationships/hyperlink" Target="https://www.poolhost.com/profootball/playerstats/1663641" TargetMode="External"/><Relationship Id="rId3" Type="http://schemas.openxmlformats.org/officeDocument/2006/relationships/hyperlink" Target="https://www.poolhost.com/profootball/playerstats/1708448" TargetMode="External"/><Relationship Id="rId25" Type="http://schemas.openxmlformats.org/officeDocument/2006/relationships/hyperlink" Target="https://www.poolhost.com/profootball/playerstats/1703435" TargetMode="External"/><Relationship Id="rId46" Type="http://schemas.openxmlformats.org/officeDocument/2006/relationships/hyperlink" Target="https://www.poolhost.com/profootball/playerstats/1735486" TargetMode="External"/><Relationship Id="rId67" Type="http://schemas.openxmlformats.org/officeDocument/2006/relationships/hyperlink" Target="https://www.poolhost.com/profootball/playerstats/1654484" TargetMode="External"/><Relationship Id="rId116" Type="http://schemas.openxmlformats.org/officeDocument/2006/relationships/hyperlink" Target="https://www.poolhost.com/profootball/playerstats/1657801" TargetMode="External"/><Relationship Id="rId137" Type="http://schemas.openxmlformats.org/officeDocument/2006/relationships/hyperlink" Target="https://www.poolhost.com/profootball/playerstats/1665810" TargetMode="External"/><Relationship Id="rId158" Type="http://schemas.openxmlformats.org/officeDocument/2006/relationships/hyperlink" Target="https://www.poolhost.com/profootball/playerstats/1657241" TargetMode="External"/><Relationship Id="rId20" Type="http://schemas.openxmlformats.org/officeDocument/2006/relationships/hyperlink" Target="https://www.poolhost.com/profootball/playerstats/1654634" TargetMode="External"/><Relationship Id="rId41" Type="http://schemas.openxmlformats.org/officeDocument/2006/relationships/hyperlink" Target="https://www.poolhost.com/profootball/playerstats/1671748" TargetMode="External"/><Relationship Id="rId62" Type="http://schemas.openxmlformats.org/officeDocument/2006/relationships/hyperlink" Target="https://www.poolhost.com/profootball/playerstats/1725535" TargetMode="External"/><Relationship Id="rId83" Type="http://schemas.openxmlformats.org/officeDocument/2006/relationships/hyperlink" Target="https://www.poolhost.com/profootball/playerstats/1676654" TargetMode="External"/><Relationship Id="rId88" Type="http://schemas.openxmlformats.org/officeDocument/2006/relationships/hyperlink" Target="https://www.poolhost.com/profootball/playerstats/1670025" TargetMode="External"/><Relationship Id="rId111" Type="http://schemas.openxmlformats.org/officeDocument/2006/relationships/hyperlink" Target="https://www.poolhost.com/profootball/playerstats/1666034" TargetMode="External"/><Relationship Id="rId132" Type="http://schemas.openxmlformats.org/officeDocument/2006/relationships/hyperlink" Target="https://www.poolhost.com/profootball/playerstats/1670484" TargetMode="External"/><Relationship Id="rId153" Type="http://schemas.openxmlformats.org/officeDocument/2006/relationships/hyperlink" Target="https://www.poolhost.com/profootball/playerstats/1731780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poolhost.com/profootball/playerstats/1677049" TargetMode="External"/><Relationship Id="rId117" Type="http://schemas.openxmlformats.org/officeDocument/2006/relationships/hyperlink" Target="https://poolhost.com/profootball/playerstats/1654623" TargetMode="External"/><Relationship Id="rId21" Type="http://schemas.openxmlformats.org/officeDocument/2006/relationships/hyperlink" Target="https://poolhost.com/profootball/playerstats/1670226" TargetMode="External"/><Relationship Id="rId42" Type="http://schemas.openxmlformats.org/officeDocument/2006/relationships/hyperlink" Target="https://poolhost.com/profootball/playerstats/1654485" TargetMode="External"/><Relationship Id="rId47" Type="http://schemas.openxmlformats.org/officeDocument/2006/relationships/hyperlink" Target="https://poolhost.com/profootball/playerstats/1704026" TargetMode="External"/><Relationship Id="rId63" Type="http://schemas.openxmlformats.org/officeDocument/2006/relationships/hyperlink" Target="https://poolhost.com/profootball/playerstats/1730347" TargetMode="External"/><Relationship Id="rId68" Type="http://schemas.openxmlformats.org/officeDocument/2006/relationships/hyperlink" Target="https://poolhost.com/profootball/playerstats/1721307" TargetMode="External"/><Relationship Id="rId84" Type="http://schemas.openxmlformats.org/officeDocument/2006/relationships/hyperlink" Target="https://poolhost.com/profootball/playerstats/1680041" TargetMode="External"/><Relationship Id="rId89" Type="http://schemas.openxmlformats.org/officeDocument/2006/relationships/hyperlink" Target="https://poolhost.com/profootball/playerstats/1657583" TargetMode="External"/><Relationship Id="rId112" Type="http://schemas.openxmlformats.org/officeDocument/2006/relationships/hyperlink" Target="https://poolhost.com/profootball/playerstats/1697912" TargetMode="External"/><Relationship Id="rId133" Type="http://schemas.openxmlformats.org/officeDocument/2006/relationships/hyperlink" Target="https://poolhost.com/profootball/playerstats/1665979" TargetMode="External"/><Relationship Id="rId138" Type="http://schemas.openxmlformats.org/officeDocument/2006/relationships/hyperlink" Target="https://poolhost.com/profootball/playerstats/1666473" TargetMode="External"/><Relationship Id="rId154" Type="http://schemas.openxmlformats.org/officeDocument/2006/relationships/hyperlink" Target="https://poolhost.com/profootball/playerstats/1670025" TargetMode="External"/><Relationship Id="rId159" Type="http://schemas.openxmlformats.org/officeDocument/2006/relationships/hyperlink" Target="https://poolhost.com/profootball/playerstats/1700157" TargetMode="External"/><Relationship Id="rId16" Type="http://schemas.openxmlformats.org/officeDocument/2006/relationships/hyperlink" Target="https://poolhost.com/profootball/playerstats/1673222" TargetMode="External"/><Relationship Id="rId107" Type="http://schemas.openxmlformats.org/officeDocument/2006/relationships/hyperlink" Target="https://poolhost.com/profootball/playerstats/1674022" TargetMode="External"/><Relationship Id="rId11" Type="http://schemas.openxmlformats.org/officeDocument/2006/relationships/hyperlink" Target="https://poolhost.com/profootball/playerstats/1662306" TargetMode="External"/><Relationship Id="rId32" Type="http://schemas.openxmlformats.org/officeDocument/2006/relationships/hyperlink" Target="https://poolhost.com/profootball/playerstats/1701354" TargetMode="External"/><Relationship Id="rId37" Type="http://schemas.openxmlformats.org/officeDocument/2006/relationships/hyperlink" Target="https://poolhost.com/profootball/playerstats/1695716" TargetMode="External"/><Relationship Id="rId53" Type="http://schemas.openxmlformats.org/officeDocument/2006/relationships/hyperlink" Target="https://poolhost.com/profootball/playerstats/1732953" TargetMode="External"/><Relationship Id="rId58" Type="http://schemas.openxmlformats.org/officeDocument/2006/relationships/hyperlink" Target="https://poolhost.com/profootball/playerstats/1731780" TargetMode="External"/><Relationship Id="rId74" Type="http://schemas.openxmlformats.org/officeDocument/2006/relationships/hyperlink" Target="https://poolhost.com/profootball/playerstats/1722286" TargetMode="External"/><Relationship Id="rId79" Type="http://schemas.openxmlformats.org/officeDocument/2006/relationships/hyperlink" Target="https://poolhost.com/profootball/playerstats/1659558" TargetMode="External"/><Relationship Id="rId102" Type="http://schemas.openxmlformats.org/officeDocument/2006/relationships/hyperlink" Target="https://poolhost.com/profootball/playerstats/1685066" TargetMode="External"/><Relationship Id="rId123" Type="http://schemas.openxmlformats.org/officeDocument/2006/relationships/hyperlink" Target="https://poolhost.com/profootball/playerstats/1674086" TargetMode="External"/><Relationship Id="rId128" Type="http://schemas.openxmlformats.org/officeDocument/2006/relationships/hyperlink" Target="https://poolhost.com/profootball/playerstats/1671837" TargetMode="External"/><Relationship Id="rId144" Type="http://schemas.openxmlformats.org/officeDocument/2006/relationships/hyperlink" Target="https://poolhost.com/profootball/playerstats/1671748" TargetMode="External"/><Relationship Id="rId149" Type="http://schemas.openxmlformats.org/officeDocument/2006/relationships/hyperlink" Target="https://poolhost.com/profootball/playerstats/1729262" TargetMode="External"/><Relationship Id="rId5" Type="http://schemas.openxmlformats.org/officeDocument/2006/relationships/hyperlink" Target="https://poolhost.com/profootball/playerstats/1673761" TargetMode="External"/><Relationship Id="rId90" Type="http://schemas.openxmlformats.org/officeDocument/2006/relationships/hyperlink" Target="https://poolhost.com/profootball/playerstats/1722233" TargetMode="External"/><Relationship Id="rId95" Type="http://schemas.openxmlformats.org/officeDocument/2006/relationships/hyperlink" Target="https://poolhost.com/profootball/playerstats/1684266" TargetMode="External"/><Relationship Id="rId160" Type="http://schemas.openxmlformats.org/officeDocument/2006/relationships/hyperlink" Target="https://poolhost.com/profootball/playerstats/1662606" TargetMode="External"/><Relationship Id="rId22" Type="http://schemas.openxmlformats.org/officeDocument/2006/relationships/hyperlink" Target="https://poolhost.com/profootball/playerstats/1725535" TargetMode="External"/><Relationship Id="rId27" Type="http://schemas.openxmlformats.org/officeDocument/2006/relationships/hyperlink" Target="https://poolhost.com/profootball/playerstats/1679156" TargetMode="External"/><Relationship Id="rId43" Type="http://schemas.openxmlformats.org/officeDocument/2006/relationships/hyperlink" Target="https://poolhost.com/profootball/playerstats/1655488" TargetMode="External"/><Relationship Id="rId48" Type="http://schemas.openxmlformats.org/officeDocument/2006/relationships/hyperlink" Target="https://poolhost.com/profootball/playerstats/1661981" TargetMode="External"/><Relationship Id="rId64" Type="http://schemas.openxmlformats.org/officeDocument/2006/relationships/hyperlink" Target="https://poolhost.com/profootball/playerstats/1665910" TargetMode="External"/><Relationship Id="rId69" Type="http://schemas.openxmlformats.org/officeDocument/2006/relationships/hyperlink" Target="https://poolhost.com/profootball/playerstats/1668682" TargetMode="External"/><Relationship Id="rId113" Type="http://schemas.openxmlformats.org/officeDocument/2006/relationships/hyperlink" Target="https://poolhost.com/profootball/playerstats/1731690" TargetMode="External"/><Relationship Id="rId118" Type="http://schemas.openxmlformats.org/officeDocument/2006/relationships/hyperlink" Target="https://poolhost.com/profootball/playerstats/1658459" TargetMode="External"/><Relationship Id="rId134" Type="http://schemas.openxmlformats.org/officeDocument/2006/relationships/hyperlink" Target="https://poolhost.com/profootball/playerstats/1705272" TargetMode="External"/><Relationship Id="rId139" Type="http://schemas.openxmlformats.org/officeDocument/2006/relationships/hyperlink" Target="https://poolhost.com/profootball/playerstats/1681946" TargetMode="External"/><Relationship Id="rId80" Type="http://schemas.openxmlformats.org/officeDocument/2006/relationships/hyperlink" Target="https://poolhost.com/profootball/playerstats/1699660" TargetMode="External"/><Relationship Id="rId85" Type="http://schemas.openxmlformats.org/officeDocument/2006/relationships/hyperlink" Target="https://poolhost.com/profootball/playerstats/1657214" TargetMode="External"/><Relationship Id="rId150" Type="http://schemas.openxmlformats.org/officeDocument/2006/relationships/hyperlink" Target="https://poolhost.com/profootball/playerstats/1729314" TargetMode="External"/><Relationship Id="rId155" Type="http://schemas.openxmlformats.org/officeDocument/2006/relationships/hyperlink" Target="https://poolhost.com/profootball/playerstats/1729617" TargetMode="External"/><Relationship Id="rId12" Type="http://schemas.openxmlformats.org/officeDocument/2006/relationships/hyperlink" Target="https://poolhost.com/profootball/playerstats/1649126" TargetMode="External"/><Relationship Id="rId17" Type="http://schemas.openxmlformats.org/officeDocument/2006/relationships/hyperlink" Target="https://poolhost.com/profootball/playerstats/1665810" TargetMode="External"/><Relationship Id="rId33" Type="http://schemas.openxmlformats.org/officeDocument/2006/relationships/hyperlink" Target="https://poolhost.com/profootball/playerstats/1702170" TargetMode="External"/><Relationship Id="rId38" Type="http://schemas.openxmlformats.org/officeDocument/2006/relationships/hyperlink" Target="https://poolhost.com/profootball/playerstats/1732851" TargetMode="External"/><Relationship Id="rId59" Type="http://schemas.openxmlformats.org/officeDocument/2006/relationships/hyperlink" Target="https://poolhost.com/profootball/playerstats/1731755" TargetMode="External"/><Relationship Id="rId103" Type="http://schemas.openxmlformats.org/officeDocument/2006/relationships/hyperlink" Target="https://poolhost.com/profootball/playerstats/1654791" TargetMode="External"/><Relationship Id="rId108" Type="http://schemas.openxmlformats.org/officeDocument/2006/relationships/hyperlink" Target="https://poolhost.com/profootball/playerstats/1724223" TargetMode="External"/><Relationship Id="rId124" Type="http://schemas.openxmlformats.org/officeDocument/2006/relationships/hyperlink" Target="https://poolhost.com/profootball/playerstats/1666449" TargetMode="External"/><Relationship Id="rId129" Type="http://schemas.openxmlformats.org/officeDocument/2006/relationships/hyperlink" Target="https://poolhost.com/profootball/playerstats/1665614" TargetMode="External"/><Relationship Id="rId54" Type="http://schemas.openxmlformats.org/officeDocument/2006/relationships/hyperlink" Target="https://poolhost.com/profootball/playerstats/1732411" TargetMode="External"/><Relationship Id="rId70" Type="http://schemas.openxmlformats.org/officeDocument/2006/relationships/hyperlink" Target="https://poolhost.com/profootball/playerstats/1663641" TargetMode="External"/><Relationship Id="rId75" Type="http://schemas.openxmlformats.org/officeDocument/2006/relationships/hyperlink" Target="https://poolhost.com/profootball/playerstats/1734363" TargetMode="External"/><Relationship Id="rId91" Type="http://schemas.openxmlformats.org/officeDocument/2006/relationships/hyperlink" Target="https://poolhost.com/profootball/playerstats/1686727" TargetMode="External"/><Relationship Id="rId96" Type="http://schemas.openxmlformats.org/officeDocument/2006/relationships/hyperlink" Target="https://poolhost.com/profootball/playerstats/1684290" TargetMode="External"/><Relationship Id="rId140" Type="http://schemas.openxmlformats.org/officeDocument/2006/relationships/hyperlink" Target="https://poolhost.com/profootball/playerstats/1727170" TargetMode="External"/><Relationship Id="rId145" Type="http://schemas.openxmlformats.org/officeDocument/2006/relationships/hyperlink" Target="https://poolhost.com/profootball/playerstats/1732254" TargetMode="External"/><Relationship Id="rId161" Type="http://schemas.openxmlformats.org/officeDocument/2006/relationships/hyperlink" Target="https://poolhost.com/profootball/playerstats/1661711" TargetMode="External"/><Relationship Id="rId1" Type="http://schemas.openxmlformats.org/officeDocument/2006/relationships/hyperlink" Target="https://poolhost.com/profootball/playerstats/1696717" TargetMode="External"/><Relationship Id="rId6" Type="http://schemas.openxmlformats.org/officeDocument/2006/relationships/hyperlink" Target="https://poolhost.com/profootball/playerstats/1741250" TargetMode="External"/><Relationship Id="rId15" Type="http://schemas.openxmlformats.org/officeDocument/2006/relationships/hyperlink" Target="https://poolhost.com/profootball/playerstats/1734172" TargetMode="External"/><Relationship Id="rId23" Type="http://schemas.openxmlformats.org/officeDocument/2006/relationships/hyperlink" Target="https://poolhost.com/profootball/playerstats/1709781" TargetMode="External"/><Relationship Id="rId28" Type="http://schemas.openxmlformats.org/officeDocument/2006/relationships/hyperlink" Target="https://poolhost.com/profootball/playerstats/1705029" TargetMode="External"/><Relationship Id="rId36" Type="http://schemas.openxmlformats.org/officeDocument/2006/relationships/hyperlink" Target="https://poolhost.com/profootball/playerstats/1681897" TargetMode="External"/><Relationship Id="rId49" Type="http://schemas.openxmlformats.org/officeDocument/2006/relationships/hyperlink" Target="https://poolhost.com/profootball/playerstats/1667866" TargetMode="External"/><Relationship Id="rId57" Type="http://schemas.openxmlformats.org/officeDocument/2006/relationships/hyperlink" Target="https://poolhost.com/profootball/playerstats/1669305" TargetMode="External"/><Relationship Id="rId106" Type="http://schemas.openxmlformats.org/officeDocument/2006/relationships/hyperlink" Target="https://poolhost.com/profootball/playerstats/1669212" TargetMode="External"/><Relationship Id="rId114" Type="http://schemas.openxmlformats.org/officeDocument/2006/relationships/hyperlink" Target="https://poolhost.com/profootball/playerstats/1694017" TargetMode="External"/><Relationship Id="rId119" Type="http://schemas.openxmlformats.org/officeDocument/2006/relationships/hyperlink" Target="https://poolhost.com/profootball/playerstats/1677370" TargetMode="External"/><Relationship Id="rId127" Type="http://schemas.openxmlformats.org/officeDocument/2006/relationships/hyperlink" Target="https://poolhost.com/profootball/playerstats/1695492" TargetMode="External"/><Relationship Id="rId10" Type="http://schemas.openxmlformats.org/officeDocument/2006/relationships/hyperlink" Target="https://poolhost.com/profootball/playerstats/1665631" TargetMode="External"/><Relationship Id="rId31" Type="http://schemas.openxmlformats.org/officeDocument/2006/relationships/hyperlink" Target="https://poolhost.com/profootball/playerstats/1679009" TargetMode="External"/><Relationship Id="rId44" Type="http://schemas.openxmlformats.org/officeDocument/2006/relationships/hyperlink" Target="https://poolhost.com/profootball/playerstats/1733218" TargetMode="External"/><Relationship Id="rId52" Type="http://schemas.openxmlformats.org/officeDocument/2006/relationships/hyperlink" Target="https://poolhost.com/profootball/playerstats/1711169" TargetMode="External"/><Relationship Id="rId60" Type="http://schemas.openxmlformats.org/officeDocument/2006/relationships/hyperlink" Target="https://poolhost.com/profootball/playerstats/1683531" TargetMode="External"/><Relationship Id="rId65" Type="http://schemas.openxmlformats.org/officeDocument/2006/relationships/hyperlink" Target="https://poolhost.com/profootball/playerstats/1666034" TargetMode="External"/><Relationship Id="rId73" Type="http://schemas.openxmlformats.org/officeDocument/2006/relationships/hyperlink" Target="https://poolhost.com/profootball/playerstats/1673234" TargetMode="External"/><Relationship Id="rId78" Type="http://schemas.openxmlformats.org/officeDocument/2006/relationships/hyperlink" Target="https://poolhost.com/profootball/playerstats/1654448" TargetMode="External"/><Relationship Id="rId81" Type="http://schemas.openxmlformats.org/officeDocument/2006/relationships/hyperlink" Target="https://poolhost.com/profootball/playerstats/1659875" TargetMode="External"/><Relationship Id="rId86" Type="http://schemas.openxmlformats.org/officeDocument/2006/relationships/hyperlink" Target="https://poolhost.com/profootball/playerstats/1678632" TargetMode="External"/><Relationship Id="rId94" Type="http://schemas.openxmlformats.org/officeDocument/2006/relationships/hyperlink" Target="https://poolhost.com/profootball/playerstats/1679667" TargetMode="External"/><Relationship Id="rId99" Type="http://schemas.openxmlformats.org/officeDocument/2006/relationships/hyperlink" Target="https://poolhost.com/profootball/playerstats/1667937" TargetMode="External"/><Relationship Id="rId101" Type="http://schemas.openxmlformats.org/officeDocument/2006/relationships/hyperlink" Target="https://poolhost.com/profootball/playerstats/1657801" TargetMode="External"/><Relationship Id="rId122" Type="http://schemas.openxmlformats.org/officeDocument/2006/relationships/hyperlink" Target="https://poolhost.com/profootball/playerstats/1656464" TargetMode="External"/><Relationship Id="rId130" Type="http://schemas.openxmlformats.org/officeDocument/2006/relationships/hyperlink" Target="https://poolhost.com/profootball/playerstats/1654484" TargetMode="External"/><Relationship Id="rId135" Type="http://schemas.openxmlformats.org/officeDocument/2006/relationships/hyperlink" Target="https://poolhost.com/profootball/playerstats/1657024" TargetMode="External"/><Relationship Id="rId143" Type="http://schemas.openxmlformats.org/officeDocument/2006/relationships/hyperlink" Target="https://poolhost.com/profootball/playerstats/1705049" TargetMode="External"/><Relationship Id="rId148" Type="http://schemas.openxmlformats.org/officeDocument/2006/relationships/hyperlink" Target="https://poolhost.com/profootball/playerstats/1705249" TargetMode="External"/><Relationship Id="rId151" Type="http://schemas.openxmlformats.org/officeDocument/2006/relationships/hyperlink" Target="https://poolhost.com/profootball/playerstats/1669323" TargetMode="External"/><Relationship Id="rId156" Type="http://schemas.openxmlformats.org/officeDocument/2006/relationships/hyperlink" Target="https://poolhost.com/profootball/playerstats/1666027" TargetMode="External"/><Relationship Id="rId4" Type="http://schemas.openxmlformats.org/officeDocument/2006/relationships/hyperlink" Target="https://poolhost.com/profootball/playerstats/1687892" TargetMode="External"/><Relationship Id="rId9" Type="http://schemas.openxmlformats.org/officeDocument/2006/relationships/hyperlink" Target="https://poolhost.com/profootball/playerstats/1649341" TargetMode="External"/><Relationship Id="rId13" Type="http://schemas.openxmlformats.org/officeDocument/2006/relationships/hyperlink" Target="https://poolhost.com/profootball/playerstats/1735486" TargetMode="External"/><Relationship Id="rId18" Type="http://schemas.openxmlformats.org/officeDocument/2006/relationships/hyperlink" Target="https://poolhost.com/profootball/playerstats/1730270" TargetMode="External"/><Relationship Id="rId39" Type="http://schemas.openxmlformats.org/officeDocument/2006/relationships/hyperlink" Target="https://poolhost.com/profootball/playerstats/1663101" TargetMode="External"/><Relationship Id="rId109" Type="http://schemas.openxmlformats.org/officeDocument/2006/relationships/hyperlink" Target="https://poolhost.com/profootball/playerstats/1729491" TargetMode="External"/><Relationship Id="rId34" Type="http://schemas.openxmlformats.org/officeDocument/2006/relationships/hyperlink" Target="https://poolhost.com/profootball/playerstats/1655447" TargetMode="External"/><Relationship Id="rId50" Type="http://schemas.openxmlformats.org/officeDocument/2006/relationships/hyperlink" Target="https://poolhost.com/profootball/playerstats/1654500" TargetMode="External"/><Relationship Id="rId55" Type="http://schemas.openxmlformats.org/officeDocument/2006/relationships/hyperlink" Target="https://poolhost.com/profootball/playerstats/1732290" TargetMode="External"/><Relationship Id="rId76" Type="http://schemas.openxmlformats.org/officeDocument/2006/relationships/hyperlink" Target="https://poolhost.com/profootball/playerstats/1708805" TargetMode="External"/><Relationship Id="rId97" Type="http://schemas.openxmlformats.org/officeDocument/2006/relationships/hyperlink" Target="https://poolhost.com/profootball/playerstats/1666092" TargetMode="External"/><Relationship Id="rId104" Type="http://schemas.openxmlformats.org/officeDocument/2006/relationships/hyperlink" Target="https://poolhost.com/profootball/playerstats/1703401" TargetMode="External"/><Relationship Id="rId120" Type="http://schemas.openxmlformats.org/officeDocument/2006/relationships/hyperlink" Target="https://poolhost.com/profootball/playerstats/1676125" TargetMode="External"/><Relationship Id="rId125" Type="http://schemas.openxmlformats.org/officeDocument/2006/relationships/hyperlink" Target="https://poolhost.com/profootball/playerstats/1715552" TargetMode="External"/><Relationship Id="rId141" Type="http://schemas.openxmlformats.org/officeDocument/2006/relationships/hyperlink" Target="https://poolhost.com/profootball/playerstats/1660811" TargetMode="External"/><Relationship Id="rId146" Type="http://schemas.openxmlformats.org/officeDocument/2006/relationships/hyperlink" Target="https://poolhost.com/profootball/playerstats/1676654" TargetMode="External"/><Relationship Id="rId7" Type="http://schemas.openxmlformats.org/officeDocument/2006/relationships/hyperlink" Target="https://poolhost.com/profootball/playerstats/1681958" TargetMode="External"/><Relationship Id="rId71" Type="http://schemas.openxmlformats.org/officeDocument/2006/relationships/hyperlink" Target="https://poolhost.com/profootball/playerstats/1673248" TargetMode="External"/><Relationship Id="rId92" Type="http://schemas.openxmlformats.org/officeDocument/2006/relationships/hyperlink" Target="https://poolhost.com/profootball/playerstats/1726632" TargetMode="External"/><Relationship Id="rId162" Type="http://schemas.openxmlformats.org/officeDocument/2006/relationships/hyperlink" Target="https://poolhost.com/profootball/playerstats/1657241" TargetMode="External"/><Relationship Id="rId2" Type="http://schemas.openxmlformats.org/officeDocument/2006/relationships/hyperlink" Target="https://poolhost.com/profootball/playerstats/1668628" TargetMode="External"/><Relationship Id="rId29" Type="http://schemas.openxmlformats.org/officeDocument/2006/relationships/hyperlink" Target="https://poolhost.com/profootball/playerstats/1721401" TargetMode="External"/><Relationship Id="rId24" Type="http://schemas.openxmlformats.org/officeDocument/2006/relationships/hyperlink" Target="https://poolhost.com/profootball/playerstats/1707988" TargetMode="External"/><Relationship Id="rId40" Type="http://schemas.openxmlformats.org/officeDocument/2006/relationships/hyperlink" Target="https://poolhost.com/profootball/playerstats/1654649" TargetMode="External"/><Relationship Id="rId45" Type="http://schemas.openxmlformats.org/officeDocument/2006/relationships/hyperlink" Target="https://poolhost.com/profootball/playerstats/1699295" TargetMode="External"/><Relationship Id="rId66" Type="http://schemas.openxmlformats.org/officeDocument/2006/relationships/hyperlink" Target="https://poolhost.com/profootball/playerstats/1730676" TargetMode="External"/><Relationship Id="rId87" Type="http://schemas.openxmlformats.org/officeDocument/2006/relationships/hyperlink" Target="https://poolhost.com/profootball/playerstats/1732788" TargetMode="External"/><Relationship Id="rId110" Type="http://schemas.openxmlformats.org/officeDocument/2006/relationships/hyperlink" Target="https://poolhost.com/profootball/playerstats/1679300" TargetMode="External"/><Relationship Id="rId115" Type="http://schemas.openxmlformats.org/officeDocument/2006/relationships/hyperlink" Target="https://poolhost.com/profootball/playerstats/1691673" TargetMode="External"/><Relationship Id="rId131" Type="http://schemas.openxmlformats.org/officeDocument/2006/relationships/hyperlink" Target="https://poolhost.com/profootball/playerstats/1654603" TargetMode="External"/><Relationship Id="rId136" Type="http://schemas.openxmlformats.org/officeDocument/2006/relationships/hyperlink" Target="https://poolhost.com/profootball/playerstats/1694354" TargetMode="External"/><Relationship Id="rId157" Type="http://schemas.openxmlformats.org/officeDocument/2006/relationships/hyperlink" Target="https://poolhost.com/profootball/playerstats/1704294" TargetMode="External"/><Relationship Id="rId61" Type="http://schemas.openxmlformats.org/officeDocument/2006/relationships/hyperlink" Target="https://poolhost.com/profootball/playerstats/1723980" TargetMode="External"/><Relationship Id="rId82" Type="http://schemas.openxmlformats.org/officeDocument/2006/relationships/hyperlink" Target="https://poolhost.com/profootball/playerstats/1659846" TargetMode="External"/><Relationship Id="rId152" Type="http://schemas.openxmlformats.org/officeDocument/2006/relationships/hyperlink" Target="https://poolhost.com/profootball/playerstats/1727817" TargetMode="External"/><Relationship Id="rId19" Type="http://schemas.openxmlformats.org/officeDocument/2006/relationships/hyperlink" Target="https://poolhost.com/profootball/playerstats/1703435" TargetMode="External"/><Relationship Id="rId14" Type="http://schemas.openxmlformats.org/officeDocument/2006/relationships/hyperlink" Target="https://poolhost.com/profootball/playerstats/1726326" TargetMode="External"/><Relationship Id="rId30" Type="http://schemas.openxmlformats.org/officeDocument/2006/relationships/hyperlink" Target="https://poolhost.com/profootball/playerstats/1712780" TargetMode="External"/><Relationship Id="rId35" Type="http://schemas.openxmlformats.org/officeDocument/2006/relationships/hyperlink" Target="https://poolhost.com/profootball/playerstats/1728782" TargetMode="External"/><Relationship Id="rId56" Type="http://schemas.openxmlformats.org/officeDocument/2006/relationships/hyperlink" Target="https://poolhost.com/profootball/playerstats/1709552" TargetMode="External"/><Relationship Id="rId77" Type="http://schemas.openxmlformats.org/officeDocument/2006/relationships/hyperlink" Target="https://poolhost.com/profootball/playerstats/1699810" TargetMode="External"/><Relationship Id="rId100" Type="http://schemas.openxmlformats.org/officeDocument/2006/relationships/hyperlink" Target="https://poolhost.com/profootball/playerstats/1728787" TargetMode="External"/><Relationship Id="rId105" Type="http://schemas.openxmlformats.org/officeDocument/2006/relationships/hyperlink" Target="https://poolhost.com/profootball/playerstats/1668461" TargetMode="External"/><Relationship Id="rId126" Type="http://schemas.openxmlformats.org/officeDocument/2006/relationships/hyperlink" Target="https://poolhost.com/profootball/playerstats/1705346" TargetMode="External"/><Relationship Id="rId147" Type="http://schemas.openxmlformats.org/officeDocument/2006/relationships/hyperlink" Target="https://poolhost.com/profootball/playerstats/1684491" TargetMode="External"/><Relationship Id="rId8" Type="http://schemas.openxmlformats.org/officeDocument/2006/relationships/hyperlink" Target="https://poolhost.com/profootball/playerstats/1668687" TargetMode="External"/><Relationship Id="rId51" Type="http://schemas.openxmlformats.org/officeDocument/2006/relationships/hyperlink" Target="https://poolhost.com/profootball/playerstats/1733415" TargetMode="External"/><Relationship Id="rId72" Type="http://schemas.openxmlformats.org/officeDocument/2006/relationships/hyperlink" Target="https://poolhost.com/profootball/playerstats/1682884" TargetMode="External"/><Relationship Id="rId93" Type="http://schemas.openxmlformats.org/officeDocument/2006/relationships/hyperlink" Target="https://poolhost.com/profootball/playerstats/1685256" TargetMode="External"/><Relationship Id="rId98" Type="http://schemas.openxmlformats.org/officeDocument/2006/relationships/hyperlink" Target="https://poolhost.com/profootball/playerstats/1682523" TargetMode="External"/><Relationship Id="rId121" Type="http://schemas.openxmlformats.org/officeDocument/2006/relationships/hyperlink" Target="https://poolhost.com/profootball/playerstats/1678377" TargetMode="External"/><Relationship Id="rId142" Type="http://schemas.openxmlformats.org/officeDocument/2006/relationships/hyperlink" Target="https://poolhost.com/profootball/playerstats/1670484" TargetMode="External"/><Relationship Id="rId163" Type="http://schemas.openxmlformats.org/officeDocument/2006/relationships/hyperlink" Target="https://poolhost.com/profootball/playerstats/1732996" TargetMode="External"/><Relationship Id="rId3" Type="http://schemas.openxmlformats.org/officeDocument/2006/relationships/hyperlink" Target="https://poolhost.com/profootball/playerstats/1654634" TargetMode="External"/><Relationship Id="rId25" Type="http://schemas.openxmlformats.org/officeDocument/2006/relationships/hyperlink" Target="https://poolhost.com/profootball/playerstats/1708448" TargetMode="External"/><Relationship Id="rId46" Type="http://schemas.openxmlformats.org/officeDocument/2006/relationships/hyperlink" Target="https://poolhost.com/profootball/playerstats/1708312" TargetMode="External"/><Relationship Id="rId67" Type="http://schemas.openxmlformats.org/officeDocument/2006/relationships/hyperlink" Target="https://poolhost.com/profootball/playerstats/1722206" TargetMode="External"/><Relationship Id="rId116" Type="http://schemas.openxmlformats.org/officeDocument/2006/relationships/hyperlink" Target="https://poolhost.com/profootball/playerstats/1702449" TargetMode="External"/><Relationship Id="rId137" Type="http://schemas.openxmlformats.org/officeDocument/2006/relationships/hyperlink" Target="https://poolhost.com/profootball/playerstats/1657103" TargetMode="External"/><Relationship Id="rId158" Type="http://schemas.openxmlformats.org/officeDocument/2006/relationships/hyperlink" Target="https://poolhost.com/profootball/playerstats/1667376" TargetMode="External"/><Relationship Id="rId20" Type="http://schemas.openxmlformats.org/officeDocument/2006/relationships/hyperlink" Target="https://poolhost.com/profootball/playerstats/1672167" TargetMode="External"/><Relationship Id="rId41" Type="http://schemas.openxmlformats.org/officeDocument/2006/relationships/hyperlink" Target="https://poolhost.com/profootball/playerstats/1672298" TargetMode="External"/><Relationship Id="rId62" Type="http://schemas.openxmlformats.org/officeDocument/2006/relationships/hyperlink" Target="https://poolhost.com/profootball/playerstats/1678667" TargetMode="External"/><Relationship Id="rId83" Type="http://schemas.openxmlformats.org/officeDocument/2006/relationships/hyperlink" Target="https://poolhost.com/profootball/playerstats/1700155" TargetMode="External"/><Relationship Id="rId88" Type="http://schemas.openxmlformats.org/officeDocument/2006/relationships/hyperlink" Target="https://poolhost.com/profootball/playerstats/1686915" TargetMode="External"/><Relationship Id="rId111" Type="http://schemas.openxmlformats.org/officeDocument/2006/relationships/hyperlink" Target="https://poolhost.com/profootball/playerstats/1683389" TargetMode="External"/><Relationship Id="rId132" Type="http://schemas.openxmlformats.org/officeDocument/2006/relationships/hyperlink" Target="https://poolhost.com/profootball/playerstats/1701053" TargetMode="External"/><Relationship Id="rId153" Type="http://schemas.openxmlformats.org/officeDocument/2006/relationships/hyperlink" Target="https://poolhost.com/profootball/playerstats/1708505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poolhost.com/profootball/playerstats/1676125" TargetMode="External"/><Relationship Id="rId117" Type="http://schemas.openxmlformats.org/officeDocument/2006/relationships/hyperlink" Target="https://poolhost.com/profootball/playerstats/1708312" TargetMode="External"/><Relationship Id="rId21" Type="http://schemas.openxmlformats.org/officeDocument/2006/relationships/hyperlink" Target="https://poolhost.com/profootball/playerstats/1684491" TargetMode="External"/><Relationship Id="rId42" Type="http://schemas.openxmlformats.org/officeDocument/2006/relationships/hyperlink" Target="https://poolhost.com/profootball/playerstats/1732953" TargetMode="External"/><Relationship Id="rId47" Type="http://schemas.openxmlformats.org/officeDocument/2006/relationships/hyperlink" Target="https://poolhost.com/profootball/playerstats/1705346" TargetMode="External"/><Relationship Id="rId63" Type="http://schemas.openxmlformats.org/officeDocument/2006/relationships/hyperlink" Target="https://poolhost.com/profootball/playerstats/1731780" TargetMode="External"/><Relationship Id="rId68" Type="http://schemas.openxmlformats.org/officeDocument/2006/relationships/hyperlink" Target="https://poolhost.com/profootball/playerstats/1686727" TargetMode="External"/><Relationship Id="rId84" Type="http://schemas.openxmlformats.org/officeDocument/2006/relationships/hyperlink" Target="https://poolhost.com/profootball/playerstats/1700155" TargetMode="External"/><Relationship Id="rId89" Type="http://schemas.openxmlformats.org/officeDocument/2006/relationships/hyperlink" Target="https://poolhost.com/profootball/playerstats/1674022" TargetMode="External"/><Relationship Id="rId112" Type="http://schemas.openxmlformats.org/officeDocument/2006/relationships/hyperlink" Target="https://poolhost.com/profootball/playerstats/1684290" TargetMode="External"/><Relationship Id="rId133" Type="http://schemas.openxmlformats.org/officeDocument/2006/relationships/hyperlink" Target="https://poolhost.com/profootball/playerstats/1666449" TargetMode="External"/><Relationship Id="rId138" Type="http://schemas.openxmlformats.org/officeDocument/2006/relationships/hyperlink" Target="https://poolhost.com/profootball/playerstats/1704294" TargetMode="External"/><Relationship Id="rId154" Type="http://schemas.openxmlformats.org/officeDocument/2006/relationships/hyperlink" Target="https://poolhost.com/profootball/playerstats/1729314" TargetMode="External"/><Relationship Id="rId159" Type="http://schemas.openxmlformats.org/officeDocument/2006/relationships/hyperlink" Target="https://poolhost.com/profootball/playerstats/1663101" TargetMode="External"/><Relationship Id="rId16" Type="http://schemas.openxmlformats.org/officeDocument/2006/relationships/hyperlink" Target="https://poolhost.com/profootball/playerstats/1657801" TargetMode="External"/><Relationship Id="rId107" Type="http://schemas.openxmlformats.org/officeDocument/2006/relationships/hyperlink" Target="https://poolhost.com/profootball/playerstats/1734363" TargetMode="External"/><Relationship Id="rId11" Type="http://schemas.openxmlformats.org/officeDocument/2006/relationships/hyperlink" Target="https://poolhost.com/profootball/playerstats/1705272" TargetMode="External"/><Relationship Id="rId32" Type="http://schemas.openxmlformats.org/officeDocument/2006/relationships/hyperlink" Target="https://poolhost.com/profootball/playerstats/1682884" TargetMode="External"/><Relationship Id="rId37" Type="http://schemas.openxmlformats.org/officeDocument/2006/relationships/hyperlink" Target="https://poolhost.com/profootball/playerstats/1649126" TargetMode="External"/><Relationship Id="rId53" Type="http://schemas.openxmlformats.org/officeDocument/2006/relationships/hyperlink" Target="https://poolhost.com/profootball/playerstats/1667866" TargetMode="External"/><Relationship Id="rId58" Type="http://schemas.openxmlformats.org/officeDocument/2006/relationships/hyperlink" Target="https://poolhost.com/profootball/playerstats/1727817" TargetMode="External"/><Relationship Id="rId74" Type="http://schemas.openxmlformats.org/officeDocument/2006/relationships/hyperlink" Target="https://poolhost.com/profootball/playerstats/1728782" TargetMode="External"/><Relationship Id="rId79" Type="http://schemas.openxmlformats.org/officeDocument/2006/relationships/hyperlink" Target="https://poolhost.com/profootball/playerstats/1659846" TargetMode="External"/><Relationship Id="rId102" Type="http://schemas.openxmlformats.org/officeDocument/2006/relationships/hyperlink" Target="https://poolhost.com/profootball/playerstats/1709552" TargetMode="External"/><Relationship Id="rId123" Type="http://schemas.openxmlformats.org/officeDocument/2006/relationships/hyperlink" Target="https://poolhost.com/profootball/playerstats/1711169" TargetMode="External"/><Relationship Id="rId128" Type="http://schemas.openxmlformats.org/officeDocument/2006/relationships/hyperlink" Target="https://poolhost.com/profootball/playerstats/1726326" TargetMode="External"/><Relationship Id="rId144" Type="http://schemas.openxmlformats.org/officeDocument/2006/relationships/hyperlink" Target="https://poolhost.com/profootball/playerstats/1669212" TargetMode="External"/><Relationship Id="rId149" Type="http://schemas.openxmlformats.org/officeDocument/2006/relationships/hyperlink" Target="https://poolhost.com/profootball/playerstats/1721401" TargetMode="External"/><Relationship Id="rId5" Type="http://schemas.openxmlformats.org/officeDocument/2006/relationships/hyperlink" Target="https://poolhost.com/profootball/playerstats/1705029" TargetMode="External"/><Relationship Id="rId90" Type="http://schemas.openxmlformats.org/officeDocument/2006/relationships/hyperlink" Target="https://poolhost.com/profootball/playerstats/1700157" TargetMode="External"/><Relationship Id="rId95" Type="http://schemas.openxmlformats.org/officeDocument/2006/relationships/hyperlink" Target="https://poolhost.com/profootball/playerstats/1681958" TargetMode="External"/><Relationship Id="rId160" Type="http://schemas.openxmlformats.org/officeDocument/2006/relationships/hyperlink" Target="https://poolhost.com/profootball/playerstats/1657241" TargetMode="External"/><Relationship Id="rId22" Type="http://schemas.openxmlformats.org/officeDocument/2006/relationships/hyperlink" Target="https://poolhost.com/profootball/playerstats/1678377" TargetMode="External"/><Relationship Id="rId27" Type="http://schemas.openxmlformats.org/officeDocument/2006/relationships/hyperlink" Target="https://poolhost.com/profootball/playerstats/1667376" TargetMode="External"/><Relationship Id="rId43" Type="http://schemas.openxmlformats.org/officeDocument/2006/relationships/hyperlink" Target="https://poolhost.com/profootball/playerstats/1654623" TargetMode="External"/><Relationship Id="rId48" Type="http://schemas.openxmlformats.org/officeDocument/2006/relationships/hyperlink" Target="https://poolhost.com/profootball/playerstats/1732788" TargetMode="External"/><Relationship Id="rId64" Type="http://schemas.openxmlformats.org/officeDocument/2006/relationships/hyperlink" Target="https://poolhost.com/profootball/playerstats/1727170" TargetMode="External"/><Relationship Id="rId69" Type="http://schemas.openxmlformats.org/officeDocument/2006/relationships/hyperlink" Target="https://poolhost.com/profootball/playerstats/1670484" TargetMode="External"/><Relationship Id="rId113" Type="http://schemas.openxmlformats.org/officeDocument/2006/relationships/hyperlink" Target="https://poolhost.com/profootball/playerstats/1707988" TargetMode="External"/><Relationship Id="rId118" Type="http://schemas.openxmlformats.org/officeDocument/2006/relationships/hyperlink" Target="https://poolhost.com/profootball/playerstats/1703401" TargetMode="External"/><Relationship Id="rId134" Type="http://schemas.openxmlformats.org/officeDocument/2006/relationships/hyperlink" Target="https://poolhost.com/profootball/playerstats/1668461" TargetMode="External"/><Relationship Id="rId139" Type="http://schemas.openxmlformats.org/officeDocument/2006/relationships/hyperlink" Target="https://poolhost.com/profootball/playerstats/1730676" TargetMode="External"/><Relationship Id="rId80" Type="http://schemas.openxmlformats.org/officeDocument/2006/relationships/hyperlink" Target="https://poolhost.com/profootball/playerstats/1668687" TargetMode="External"/><Relationship Id="rId85" Type="http://schemas.openxmlformats.org/officeDocument/2006/relationships/hyperlink" Target="https://poolhost.com/profootball/playerstats/1654649" TargetMode="External"/><Relationship Id="rId150" Type="http://schemas.openxmlformats.org/officeDocument/2006/relationships/hyperlink" Target="https://poolhost.com/profootball/playerstats/1654485" TargetMode="External"/><Relationship Id="rId155" Type="http://schemas.openxmlformats.org/officeDocument/2006/relationships/hyperlink" Target="https://poolhost.com/profootball/playerstats/1724223" TargetMode="External"/><Relationship Id="rId12" Type="http://schemas.openxmlformats.org/officeDocument/2006/relationships/hyperlink" Target="https://poolhost.com/profootball/playerstats/1657214" TargetMode="External"/><Relationship Id="rId17" Type="http://schemas.openxmlformats.org/officeDocument/2006/relationships/hyperlink" Target="https://poolhost.com/profootball/playerstats/1665910" TargetMode="External"/><Relationship Id="rId33" Type="http://schemas.openxmlformats.org/officeDocument/2006/relationships/hyperlink" Target="https://poolhost.com/profootball/playerstats/1659558" TargetMode="External"/><Relationship Id="rId38" Type="http://schemas.openxmlformats.org/officeDocument/2006/relationships/hyperlink" Target="https://poolhost.com/profootball/playerstats/1679009" TargetMode="External"/><Relationship Id="rId59" Type="http://schemas.openxmlformats.org/officeDocument/2006/relationships/hyperlink" Target="https://poolhost.com/profootball/playerstats/1729491" TargetMode="External"/><Relationship Id="rId103" Type="http://schemas.openxmlformats.org/officeDocument/2006/relationships/hyperlink" Target="https://poolhost.com/profootball/playerstats/1672298" TargetMode="External"/><Relationship Id="rId108" Type="http://schemas.openxmlformats.org/officeDocument/2006/relationships/hyperlink" Target="https://poolhost.com/profootball/playerstats/1657024" TargetMode="External"/><Relationship Id="rId124" Type="http://schemas.openxmlformats.org/officeDocument/2006/relationships/hyperlink" Target="https://poolhost.com/profootball/playerstats/1685256" TargetMode="External"/><Relationship Id="rId129" Type="http://schemas.openxmlformats.org/officeDocument/2006/relationships/hyperlink" Target="https://poolhost.com/profootball/playerstats/1662306" TargetMode="External"/><Relationship Id="rId54" Type="http://schemas.openxmlformats.org/officeDocument/2006/relationships/hyperlink" Target="https://poolhost.com/profootball/playerstats/1679156" TargetMode="External"/><Relationship Id="rId70" Type="http://schemas.openxmlformats.org/officeDocument/2006/relationships/hyperlink" Target="https://poolhost.com/profootball/playerstats/1656464" TargetMode="External"/><Relationship Id="rId75" Type="http://schemas.openxmlformats.org/officeDocument/2006/relationships/hyperlink" Target="https://poolhost.com/profootball/playerstats/1655488" TargetMode="External"/><Relationship Id="rId91" Type="http://schemas.openxmlformats.org/officeDocument/2006/relationships/hyperlink" Target="https://poolhost.com/profootball/playerstats/1701053" TargetMode="External"/><Relationship Id="rId96" Type="http://schemas.openxmlformats.org/officeDocument/2006/relationships/hyperlink" Target="https://poolhost.com/profootball/playerstats/1669305" TargetMode="External"/><Relationship Id="rId140" Type="http://schemas.openxmlformats.org/officeDocument/2006/relationships/hyperlink" Target="https://poolhost.com/profootball/playerstats/1666473" TargetMode="External"/><Relationship Id="rId145" Type="http://schemas.openxmlformats.org/officeDocument/2006/relationships/hyperlink" Target="https://poolhost.com/profootball/playerstats/1673234" TargetMode="External"/><Relationship Id="rId161" Type="http://schemas.openxmlformats.org/officeDocument/2006/relationships/hyperlink" Target="https://poolhost.com/profootball/playerstats/1704026" TargetMode="External"/><Relationship Id="rId1" Type="http://schemas.openxmlformats.org/officeDocument/2006/relationships/hyperlink" Target="https://poolhost.com/profootball/playerstats/1671837" TargetMode="External"/><Relationship Id="rId6" Type="http://schemas.openxmlformats.org/officeDocument/2006/relationships/hyperlink" Target="https://poolhost.com/profootball/playerstats/1691673" TargetMode="External"/><Relationship Id="rId15" Type="http://schemas.openxmlformats.org/officeDocument/2006/relationships/hyperlink" Target="https://poolhost.com/profootball/playerstats/1730347" TargetMode="External"/><Relationship Id="rId23" Type="http://schemas.openxmlformats.org/officeDocument/2006/relationships/hyperlink" Target="https://poolhost.com/profootball/playerstats/1721307" TargetMode="External"/><Relationship Id="rId28" Type="http://schemas.openxmlformats.org/officeDocument/2006/relationships/hyperlink" Target="https://poolhost.com/profootball/playerstats/1732254" TargetMode="External"/><Relationship Id="rId36" Type="http://schemas.openxmlformats.org/officeDocument/2006/relationships/hyperlink" Target="https://poolhost.com/profootball/playerstats/1679667" TargetMode="External"/><Relationship Id="rId49" Type="http://schemas.openxmlformats.org/officeDocument/2006/relationships/hyperlink" Target="https://poolhost.com/profootball/playerstats/1654500" TargetMode="External"/><Relationship Id="rId57" Type="http://schemas.openxmlformats.org/officeDocument/2006/relationships/hyperlink" Target="https://poolhost.com/profootball/playerstats/1677370" TargetMode="External"/><Relationship Id="rId106" Type="http://schemas.openxmlformats.org/officeDocument/2006/relationships/hyperlink" Target="https://poolhost.com/profootball/playerstats/1674086" TargetMode="External"/><Relationship Id="rId114" Type="http://schemas.openxmlformats.org/officeDocument/2006/relationships/hyperlink" Target="https://poolhost.com/profootball/playerstats/1654448" TargetMode="External"/><Relationship Id="rId119" Type="http://schemas.openxmlformats.org/officeDocument/2006/relationships/hyperlink" Target="https://poolhost.com/profootball/playerstats/1678632" TargetMode="External"/><Relationship Id="rId127" Type="http://schemas.openxmlformats.org/officeDocument/2006/relationships/hyperlink" Target="https://poolhost.com/profootball/playerstats/1668628" TargetMode="External"/><Relationship Id="rId10" Type="http://schemas.openxmlformats.org/officeDocument/2006/relationships/hyperlink" Target="https://poolhost.com/profootball/playerstats/1681946" TargetMode="External"/><Relationship Id="rId31" Type="http://schemas.openxmlformats.org/officeDocument/2006/relationships/hyperlink" Target="https://poolhost.com/profootball/playerstats/1733218" TargetMode="External"/><Relationship Id="rId44" Type="http://schemas.openxmlformats.org/officeDocument/2006/relationships/hyperlink" Target="https://poolhost.com/profootball/playerstats/1673761" TargetMode="External"/><Relationship Id="rId52" Type="http://schemas.openxmlformats.org/officeDocument/2006/relationships/hyperlink" Target="https://poolhost.com/profootball/playerstats/1702170" TargetMode="External"/><Relationship Id="rId60" Type="http://schemas.openxmlformats.org/officeDocument/2006/relationships/hyperlink" Target="https://poolhost.com/profootball/playerstats/1678667" TargetMode="External"/><Relationship Id="rId65" Type="http://schemas.openxmlformats.org/officeDocument/2006/relationships/hyperlink" Target="https://poolhost.com/profootball/playerstats/1729262" TargetMode="External"/><Relationship Id="rId73" Type="http://schemas.openxmlformats.org/officeDocument/2006/relationships/hyperlink" Target="https://poolhost.com/profootball/playerstats/1699295" TargetMode="External"/><Relationship Id="rId78" Type="http://schemas.openxmlformats.org/officeDocument/2006/relationships/hyperlink" Target="https://poolhost.com/profootball/playerstats/1659875" TargetMode="External"/><Relationship Id="rId81" Type="http://schemas.openxmlformats.org/officeDocument/2006/relationships/hyperlink" Target="https://poolhost.com/profootball/playerstats/1723980" TargetMode="External"/><Relationship Id="rId86" Type="http://schemas.openxmlformats.org/officeDocument/2006/relationships/hyperlink" Target="https://poolhost.com/profootball/playerstats/1722206" TargetMode="External"/><Relationship Id="rId94" Type="http://schemas.openxmlformats.org/officeDocument/2006/relationships/hyperlink" Target="https://poolhost.com/profootball/playerstats/1665979" TargetMode="External"/><Relationship Id="rId99" Type="http://schemas.openxmlformats.org/officeDocument/2006/relationships/hyperlink" Target="https://poolhost.com/profootball/playerstats/1708448" TargetMode="External"/><Relationship Id="rId101" Type="http://schemas.openxmlformats.org/officeDocument/2006/relationships/hyperlink" Target="https://poolhost.com/profootball/playerstats/1726632" TargetMode="External"/><Relationship Id="rId122" Type="http://schemas.openxmlformats.org/officeDocument/2006/relationships/hyperlink" Target="https://poolhost.com/profootball/playerstats/1732290" TargetMode="External"/><Relationship Id="rId130" Type="http://schemas.openxmlformats.org/officeDocument/2006/relationships/hyperlink" Target="https://poolhost.com/profootball/playerstats/1708805" TargetMode="External"/><Relationship Id="rId135" Type="http://schemas.openxmlformats.org/officeDocument/2006/relationships/hyperlink" Target="https://poolhost.com/profootball/playerstats/1666092" TargetMode="External"/><Relationship Id="rId143" Type="http://schemas.openxmlformats.org/officeDocument/2006/relationships/hyperlink" Target="https://poolhost.com/profootball/playerstats/1687892" TargetMode="External"/><Relationship Id="rId148" Type="http://schemas.openxmlformats.org/officeDocument/2006/relationships/hyperlink" Target="https://poolhost.com/profootball/playerstats/1712780" TargetMode="External"/><Relationship Id="rId151" Type="http://schemas.openxmlformats.org/officeDocument/2006/relationships/hyperlink" Target="https://poolhost.com/profootball/playerstats/1649341" TargetMode="External"/><Relationship Id="rId156" Type="http://schemas.openxmlformats.org/officeDocument/2006/relationships/hyperlink" Target="https://poolhost.com/profootball/playerstats/1669323" TargetMode="External"/><Relationship Id="rId164" Type="http://schemas.openxmlformats.org/officeDocument/2006/relationships/printerSettings" Target="../printerSettings/printerSettings1.bin"/><Relationship Id="rId4" Type="http://schemas.openxmlformats.org/officeDocument/2006/relationships/hyperlink" Target="https://poolhost.com/profootball/playerstats/1670025" TargetMode="External"/><Relationship Id="rId9" Type="http://schemas.openxmlformats.org/officeDocument/2006/relationships/hyperlink" Target="https://poolhost.com/profootball/playerstats/1683389" TargetMode="External"/><Relationship Id="rId13" Type="http://schemas.openxmlformats.org/officeDocument/2006/relationships/hyperlink" Target="https://poolhost.com/profootball/playerstats/1665810" TargetMode="External"/><Relationship Id="rId18" Type="http://schemas.openxmlformats.org/officeDocument/2006/relationships/hyperlink" Target="https://poolhost.com/profootball/playerstats/1694354" TargetMode="External"/><Relationship Id="rId39" Type="http://schemas.openxmlformats.org/officeDocument/2006/relationships/hyperlink" Target="https://poolhost.com/profootball/playerstats/1668682" TargetMode="External"/><Relationship Id="rId109" Type="http://schemas.openxmlformats.org/officeDocument/2006/relationships/hyperlink" Target="https://poolhost.com/profootball/playerstats/1722286" TargetMode="External"/><Relationship Id="rId34" Type="http://schemas.openxmlformats.org/officeDocument/2006/relationships/hyperlink" Target="https://poolhost.com/profootball/playerstats/1715552" TargetMode="External"/><Relationship Id="rId50" Type="http://schemas.openxmlformats.org/officeDocument/2006/relationships/hyperlink" Target="https://poolhost.com/profootball/playerstats/1731755" TargetMode="External"/><Relationship Id="rId55" Type="http://schemas.openxmlformats.org/officeDocument/2006/relationships/hyperlink" Target="https://poolhost.com/profootball/playerstats/1697912" TargetMode="External"/><Relationship Id="rId76" Type="http://schemas.openxmlformats.org/officeDocument/2006/relationships/hyperlink" Target="https://poolhost.com/profootball/playerstats/1658459" TargetMode="External"/><Relationship Id="rId97" Type="http://schemas.openxmlformats.org/officeDocument/2006/relationships/hyperlink" Target="https://poolhost.com/profootball/playerstats/1655447" TargetMode="External"/><Relationship Id="rId104" Type="http://schemas.openxmlformats.org/officeDocument/2006/relationships/hyperlink" Target="https://poolhost.com/profootball/playerstats/1666034" TargetMode="External"/><Relationship Id="rId120" Type="http://schemas.openxmlformats.org/officeDocument/2006/relationships/hyperlink" Target="https://poolhost.com/profootball/playerstats/1701354" TargetMode="External"/><Relationship Id="rId125" Type="http://schemas.openxmlformats.org/officeDocument/2006/relationships/hyperlink" Target="https://poolhost.com/profootball/playerstats/1705049" TargetMode="External"/><Relationship Id="rId141" Type="http://schemas.openxmlformats.org/officeDocument/2006/relationships/hyperlink" Target="https://poolhost.com/profootball/playerstats/1686915" TargetMode="External"/><Relationship Id="rId146" Type="http://schemas.openxmlformats.org/officeDocument/2006/relationships/hyperlink" Target="https://poolhost.com/profootball/playerstats/1654484" TargetMode="External"/><Relationship Id="rId7" Type="http://schemas.openxmlformats.org/officeDocument/2006/relationships/hyperlink" Target="https://poolhost.com/profootball/playerstats/1722233" TargetMode="External"/><Relationship Id="rId71" Type="http://schemas.openxmlformats.org/officeDocument/2006/relationships/hyperlink" Target="https://poolhost.com/profootball/playerstats/1685066" TargetMode="External"/><Relationship Id="rId92" Type="http://schemas.openxmlformats.org/officeDocument/2006/relationships/hyperlink" Target="https://poolhost.com/profootball/playerstats/1665614" TargetMode="External"/><Relationship Id="rId162" Type="http://schemas.openxmlformats.org/officeDocument/2006/relationships/hyperlink" Target="https://poolhost.com/profootball/playerstats/1732996" TargetMode="External"/><Relationship Id="rId2" Type="http://schemas.openxmlformats.org/officeDocument/2006/relationships/hyperlink" Target="https://poolhost.com/profootball/playerstats/1657583" TargetMode="External"/><Relationship Id="rId29" Type="http://schemas.openxmlformats.org/officeDocument/2006/relationships/hyperlink" Target="https://poolhost.com/profootball/playerstats/1667937" TargetMode="External"/><Relationship Id="rId24" Type="http://schemas.openxmlformats.org/officeDocument/2006/relationships/hyperlink" Target="https://poolhost.com/profootball/playerstats/1732411" TargetMode="External"/><Relationship Id="rId40" Type="http://schemas.openxmlformats.org/officeDocument/2006/relationships/hyperlink" Target="https://poolhost.com/profootball/playerstats/1660811" TargetMode="External"/><Relationship Id="rId45" Type="http://schemas.openxmlformats.org/officeDocument/2006/relationships/hyperlink" Target="https://poolhost.com/profootball/playerstats/1665631" TargetMode="External"/><Relationship Id="rId66" Type="http://schemas.openxmlformats.org/officeDocument/2006/relationships/hyperlink" Target="https://poolhost.com/profootball/playerstats/1735486" TargetMode="External"/><Relationship Id="rId87" Type="http://schemas.openxmlformats.org/officeDocument/2006/relationships/hyperlink" Target="https://poolhost.com/profootball/playerstats/1654791" TargetMode="External"/><Relationship Id="rId110" Type="http://schemas.openxmlformats.org/officeDocument/2006/relationships/hyperlink" Target="https://poolhost.com/profootball/playerstats/1684266" TargetMode="External"/><Relationship Id="rId115" Type="http://schemas.openxmlformats.org/officeDocument/2006/relationships/hyperlink" Target="https://poolhost.com/profootball/playerstats/1696717" TargetMode="External"/><Relationship Id="rId131" Type="http://schemas.openxmlformats.org/officeDocument/2006/relationships/hyperlink" Target="https://poolhost.com/profootball/playerstats/1666027" TargetMode="External"/><Relationship Id="rId136" Type="http://schemas.openxmlformats.org/officeDocument/2006/relationships/hyperlink" Target="https://poolhost.com/profootball/playerstats/1709781" TargetMode="External"/><Relationship Id="rId157" Type="http://schemas.openxmlformats.org/officeDocument/2006/relationships/hyperlink" Target="https://poolhost.com/profootball/playerstats/1732851" TargetMode="External"/><Relationship Id="rId61" Type="http://schemas.openxmlformats.org/officeDocument/2006/relationships/hyperlink" Target="https://poolhost.com/profootball/playerstats/1699810" TargetMode="External"/><Relationship Id="rId82" Type="http://schemas.openxmlformats.org/officeDocument/2006/relationships/hyperlink" Target="https://poolhost.com/profootball/playerstats/1702449" TargetMode="External"/><Relationship Id="rId152" Type="http://schemas.openxmlformats.org/officeDocument/2006/relationships/hyperlink" Target="https://poolhost.com/profootball/playerstats/1677049" TargetMode="External"/><Relationship Id="rId19" Type="http://schemas.openxmlformats.org/officeDocument/2006/relationships/hyperlink" Target="https://poolhost.com/profootball/playerstats/1679300" TargetMode="External"/><Relationship Id="rId14" Type="http://schemas.openxmlformats.org/officeDocument/2006/relationships/hyperlink" Target="https://poolhost.com/profootball/playerstats/1670226" TargetMode="External"/><Relationship Id="rId30" Type="http://schemas.openxmlformats.org/officeDocument/2006/relationships/hyperlink" Target="https://poolhost.com/profootball/playerstats/1731690" TargetMode="External"/><Relationship Id="rId35" Type="http://schemas.openxmlformats.org/officeDocument/2006/relationships/hyperlink" Target="https://poolhost.com/profootball/playerstats/1680041" TargetMode="External"/><Relationship Id="rId56" Type="http://schemas.openxmlformats.org/officeDocument/2006/relationships/hyperlink" Target="https://poolhost.com/profootball/playerstats/1730270" TargetMode="External"/><Relationship Id="rId77" Type="http://schemas.openxmlformats.org/officeDocument/2006/relationships/hyperlink" Target="https://poolhost.com/profootball/playerstats/1672167" TargetMode="External"/><Relationship Id="rId100" Type="http://schemas.openxmlformats.org/officeDocument/2006/relationships/hyperlink" Target="https://poolhost.com/profootball/playerstats/1683531" TargetMode="External"/><Relationship Id="rId105" Type="http://schemas.openxmlformats.org/officeDocument/2006/relationships/hyperlink" Target="https://poolhost.com/profootball/playerstats/1661981" TargetMode="External"/><Relationship Id="rId126" Type="http://schemas.openxmlformats.org/officeDocument/2006/relationships/hyperlink" Target="https://poolhost.com/profootball/playerstats/1695492" TargetMode="External"/><Relationship Id="rId147" Type="http://schemas.openxmlformats.org/officeDocument/2006/relationships/hyperlink" Target="https://poolhost.com/profootball/playerstats/1733415" TargetMode="External"/><Relationship Id="rId8" Type="http://schemas.openxmlformats.org/officeDocument/2006/relationships/hyperlink" Target="https://poolhost.com/profootball/playerstats/1673248" TargetMode="External"/><Relationship Id="rId51" Type="http://schemas.openxmlformats.org/officeDocument/2006/relationships/hyperlink" Target="https://poolhost.com/profootball/playerstats/1654603" TargetMode="External"/><Relationship Id="rId72" Type="http://schemas.openxmlformats.org/officeDocument/2006/relationships/hyperlink" Target="https://poolhost.com/profootball/playerstats/1703435" TargetMode="External"/><Relationship Id="rId93" Type="http://schemas.openxmlformats.org/officeDocument/2006/relationships/hyperlink" Target="https://poolhost.com/profootball/playerstats/1663641" TargetMode="External"/><Relationship Id="rId98" Type="http://schemas.openxmlformats.org/officeDocument/2006/relationships/hyperlink" Target="https://poolhost.com/profootball/playerstats/1695716" TargetMode="External"/><Relationship Id="rId121" Type="http://schemas.openxmlformats.org/officeDocument/2006/relationships/hyperlink" Target="https://poolhost.com/profootball/playerstats/1728787" TargetMode="External"/><Relationship Id="rId142" Type="http://schemas.openxmlformats.org/officeDocument/2006/relationships/hyperlink" Target="https://poolhost.com/profootball/playerstats/1654634" TargetMode="External"/><Relationship Id="rId163" Type="http://schemas.openxmlformats.org/officeDocument/2006/relationships/hyperlink" Target="https://poolhost.com/profootball/playerstats/1734172" TargetMode="External"/><Relationship Id="rId3" Type="http://schemas.openxmlformats.org/officeDocument/2006/relationships/hyperlink" Target="https://poolhost.com/profootball/playerstats/1705249" TargetMode="External"/><Relationship Id="rId25" Type="http://schemas.openxmlformats.org/officeDocument/2006/relationships/hyperlink" Target="https://poolhost.com/profootball/playerstats/1729617" TargetMode="External"/><Relationship Id="rId46" Type="http://schemas.openxmlformats.org/officeDocument/2006/relationships/hyperlink" Target="https://poolhost.com/profootball/playerstats/1661711" TargetMode="External"/><Relationship Id="rId67" Type="http://schemas.openxmlformats.org/officeDocument/2006/relationships/hyperlink" Target="https://poolhost.com/profootball/playerstats/1676654" TargetMode="External"/><Relationship Id="rId116" Type="http://schemas.openxmlformats.org/officeDocument/2006/relationships/hyperlink" Target="https://poolhost.com/profootball/playerstats/1708505" TargetMode="External"/><Relationship Id="rId137" Type="http://schemas.openxmlformats.org/officeDocument/2006/relationships/hyperlink" Target="https://poolhost.com/profootball/playerstats/1657103" TargetMode="External"/><Relationship Id="rId158" Type="http://schemas.openxmlformats.org/officeDocument/2006/relationships/hyperlink" Target="https://poolhost.com/profootball/playerstats/1725535" TargetMode="External"/><Relationship Id="rId20" Type="http://schemas.openxmlformats.org/officeDocument/2006/relationships/hyperlink" Target="https://poolhost.com/profootball/playerstats/1681897" TargetMode="External"/><Relationship Id="rId41" Type="http://schemas.openxmlformats.org/officeDocument/2006/relationships/hyperlink" Target="https://poolhost.com/profootball/playerstats/1673222" TargetMode="External"/><Relationship Id="rId62" Type="http://schemas.openxmlformats.org/officeDocument/2006/relationships/hyperlink" Target="https://poolhost.com/profootball/playerstats/1741250" TargetMode="External"/><Relationship Id="rId83" Type="http://schemas.openxmlformats.org/officeDocument/2006/relationships/hyperlink" Target="https://poolhost.com/profootball/playerstats/1699660" TargetMode="External"/><Relationship Id="rId88" Type="http://schemas.openxmlformats.org/officeDocument/2006/relationships/hyperlink" Target="https://poolhost.com/profootball/playerstats/1662606" TargetMode="External"/><Relationship Id="rId111" Type="http://schemas.openxmlformats.org/officeDocument/2006/relationships/hyperlink" Target="https://poolhost.com/profootball/playerstats/1671748" TargetMode="External"/><Relationship Id="rId132" Type="http://schemas.openxmlformats.org/officeDocument/2006/relationships/hyperlink" Target="https://poolhost.com/profootball/playerstats/1682523" TargetMode="External"/><Relationship Id="rId153" Type="http://schemas.openxmlformats.org/officeDocument/2006/relationships/hyperlink" Target="https://poolhost.com/profootball/playerstats/1694017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poolhost.com/profootball/playerstats/1682884" TargetMode="External"/><Relationship Id="rId117" Type="http://schemas.openxmlformats.org/officeDocument/2006/relationships/hyperlink" Target="https://poolhost.com/profootball/playerstats/1729262" TargetMode="External"/><Relationship Id="rId21" Type="http://schemas.openxmlformats.org/officeDocument/2006/relationships/hyperlink" Target="https://poolhost.com/profootball/playerstats/1702170" TargetMode="External"/><Relationship Id="rId42" Type="http://schemas.openxmlformats.org/officeDocument/2006/relationships/hyperlink" Target="https://poolhost.com/profootball/playerstats/1669212" TargetMode="External"/><Relationship Id="rId47" Type="http://schemas.openxmlformats.org/officeDocument/2006/relationships/hyperlink" Target="https://poolhost.com/profootball/playerstats/1732996" TargetMode="External"/><Relationship Id="rId63" Type="http://schemas.openxmlformats.org/officeDocument/2006/relationships/hyperlink" Target="https://poolhost.com/profootball/playerstats/1663101" TargetMode="External"/><Relationship Id="rId68" Type="http://schemas.openxmlformats.org/officeDocument/2006/relationships/hyperlink" Target="https://poolhost.com/profootball/playerstats/1668461" TargetMode="External"/><Relationship Id="rId84" Type="http://schemas.openxmlformats.org/officeDocument/2006/relationships/hyperlink" Target="https://poolhost.com/profootball/playerstats/1681958" TargetMode="External"/><Relationship Id="rId89" Type="http://schemas.openxmlformats.org/officeDocument/2006/relationships/hyperlink" Target="https://poolhost.com/profootball/playerstats/1654500" TargetMode="External"/><Relationship Id="rId112" Type="http://schemas.openxmlformats.org/officeDocument/2006/relationships/hyperlink" Target="https://poolhost.com/profootball/playerstats/1705272" TargetMode="External"/><Relationship Id="rId133" Type="http://schemas.openxmlformats.org/officeDocument/2006/relationships/hyperlink" Target="https://poolhost.com/profootball/playerstats/1722286" TargetMode="External"/><Relationship Id="rId138" Type="http://schemas.openxmlformats.org/officeDocument/2006/relationships/hyperlink" Target="https://poolhost.com/profootball/playerstats/1684266" TargetMode="External"/><Relationship Id="rId154" Type="http://schemas.openxmlformats.org/officeDocument/2006/relationships/hyperlink" Target="https://poolhost.com/profootball/playerstats/1666449" TargetMode="External"/><Relationship Id="rId159" Type="http://schemas.openxmlformats.org/officeDocument/2006/relationships/hyperlink" Target="https://poolhost.com/profootball/playerstats/1663641" TargetMode="External"/><Relationship Id="rId16" Type="http://schemas.openxmlformats.org/officeDocument/2006/relationships/hyperlink" Target="https://poolhost.com/profootball/playerstats/1722206" TargetMode="External"/><Relationship Id="rId107" Type="http://schemas.openxmlformats.org/officeDocument/2006/relationships/hyperlink" Target="https://poolhost.com/profootball/playerstats/1673222" TargetMode="External"/><Relationship Id="rId11" Type="http://schemas.openxmlformats.org/officeDocument/2006/relationships/hyperlink" Target="https://poolhost.com/profootball/playerstats/1678377" TargetMode="External"/><Relationship Id="rId32" Type="http://schemas.openxmlformats.org/officeDocument/2006/relationships/hyperlink" Target="https://poolhost.com/profootball/playerstats/1674022" TargetMode="External"/><Relationship Id="rId37" Type="http://schemas.openxmlformats.org/officeDocument/2006/relationships/hyperlink" Target="https://poolhost.com/profootball/playerstats/1703435" TargetMode="External"/><Relationship Id="rId53" Type="http://schemas.openxmlformats.org/officeDocument/2006/relationships/hyperlink" Target="https://poolhost.com/profootball/playerstats/1668628" TargetMode="External"/><Relationship Id="rId58" Type="http://schemas.openxmlformats.org/officeDocument/2006/relationships/hyperlink" Target="https://poolhost.com/profootball/playerstats/1678632" TargetMode="External"/><Relationship Id="rId74" Type="http://schemas.openxmlformats.org/officeDocument/2006/relationships/hyperlink" Target="https://poolhost.com/profootball/playerstats/1732953" TargetMode="External"/><Relationship Id="rId79" Type="http://schemas.openxmlformats.org/officeDocument/2006/relationships/hyperlink" Target="https://poolhost.com/profootball/playerstats/1665910" TargetMode="External"/><Relationship Id="rId102" Type="http://schemas.openxmlformats.org/officeDocument/2006/relationships/hyperlink" Target="https://poolhost.com/profootball/playerstats/1668687" TargetMode="External"/><Relationship Id="rId123" Type="http://schemas.openxmlformats.org/officeDocument/2006/relationships/hyperlink" Target="https://poolhost.com/profootball/playerstats/1677370" TargetMode="External"/><Relationship Id="rId128" Type="http://schemas.openxmlformats.org/officeDocument/2006/relationships/hyperlink" Target="https://poolhost.com/profootball/playerstats/1708312" TargetMode="External"/><Relationship Id="rId144" Type="http://schemas.openxmlformats.org/officeDocument/2006/relationships/hyperlink" Target="https://poolhost.com/profootball/playerstats/1659846" TargetMode="External"/><Relationship Id="rId149" Type="http://schemas.openxmlformats.org/officeDocument/2006/relationships/hyperlink" Target="https://poolhost.com/profootball/playerstats/1722233" TargetMode="External"/><Relationship Id="rId5" Type="http://schemas.openxmlformats.org/officeDocument/2006/relationships/hyperlink" Target="https://poolhost.com/profootball/playerstats/1683531" TargetMode="External"/><Relationship Id="rId90" Type="http://schemas.openxmlformats.org/officeDocument/2006/relationships/hyperlink" Target="https://poolhost.com/profootball/playerstats/1695492" TargetMode="External"/><Relationship Id="rId95" Type="http://schemas.openxmlformats.org/officeDocument/2006/relationships/hyperlink" Target="https://poolhost.com/profootball/playerstats/1729491" TargetMode="External"/><Relationship Id="rId160" Type="http://schemas.openxmlformats.org/officeDocument/2006/relationships/hyperlink" Target="https://poolhost.com/profootball/playerstats/1732851" TargetMode="External"/><Relationship Id="rId22" Type="http://schemas.openxmlformats.org/officeDocument/2006/relationships/hyperlink" Target="https://poolhost.com/profootball/playerstats/1728782" TargetMode="External"/><Relationship Id="rId27" Type="http://schemas.openxmlformats.org/officeDocument/2006/relationships/hyperlink" Target="https://poolhost.com/profootball/playerstats/1729314" TargetMode="External"/><Relationship Id="rId43" Type="http://schemas.openxmlformats.org/officeDocument/2006/relationships/hyperlink" Target="https://poolhost.com/profootball/playerstats/1704294" TargetMode="External"/><Relationship Id="rId48" Type="http://schemas.openxmlformats.org/officeDocument/2006/relationships/hyperlink" Target="https://poolhost.com/profootball/playerstats/1654485" TargetMode="External"/><Relationship Id="rId64" Type="http://schemas.openxmlformats.org/officeDocument/2006/relationships/hyperlink" Target="https://poolhost.com/profootball/playerstats/1659558" TargetMode="External"/><Relationship Id="rId69" Type="http://schemas.openxmlformats.org/officeDocument/2006/relationships/hyperlink" Target="https://poolhost.com/profootball/playerstats/1727170" TargetMode="External"/><Relationship Id="rId113" Type="http://schemas.openxmlformats.org/officeDocument/2006/relationships/hyperlink" Target="https://poolhost.com/profootball/playerstats/1681897" TargetMode="External"/><Relationship Id="rId118" Type="http://schemas.openxmlformats.org/officeDocument/2006/relationships/hyperlink" Target="https://poolhost.com/profootball/playerstats/1697912" TargetMode="External"/><Relationship Id="rId134" Type="http://schemas.openxmlformats.org/officeDocument/2006/relationships/hyperlink" Target="https://poolhost.com/profootball/playerstats/1665631" TargetMode="External"/><Relationship Id="rId139" Type="http://schemas.openxmlformats.org/officeDocument/2006/relationships/hyperlink" Target="https://poolhost.com/profootball/playerstats/1670226" TargetMode="External"/><Relationship Id="rId80" Type="http://schemas.openxmlformats.org/officeDocument/2006/relationships/hyperlink" Target="https://poolhost.com/profootball/playerstats/1699660" TargetMode="External"/><Relationship Id="rId85" Type="http://schemas.openxmlformats.org/officeDocument/2006/relationships/hyperlink" Target="https://poolhost.com/profootball/playerstats/1705346" TargetMode="External"/><Relationship Id="rId150" Type="http://schemas.openxmlformats.org/officeDocument/2006/relationships/hyperlink" Target="https://poolhost.com/profootball/playerstats/1734363" TargetMode="External"/><Relationship Id="rId155" Type="http://schemas.openxmlformats.org/officeDocument/2006/relationships/hyperlink" Target="https://poolhost.com/profootball/playerstats/1669323" TargetMode="External"/><Relationship Id="rId12" Type="http://schemas.openxmlformats.org/officeDocument/2006/relationships/hyperlink" Target="https://poolhost.com/profootball/playerstats/1657024" TargetMode="External"/><Relationship Id="rId17" Type="http://schemas.openxmlformats.org/officeDocument/2006/relationships/hyperlink" Target="https://poolhost.com/profootball/playerstats/1694354" TargetMode="External"/><Relationship Id="rId33" Type="http://schemas.openxmlformats.org/officeDocument/2006/relationships/hyperlink" Target="https://poolhost.com/profootball/playerstats/1654649" TargetMode="External"/><Relationship Id="rId38" Type="http://schemas.openxmlformats.org/officeDocument/2006/relationships/hyperlink" Target="https://poolhost.com/profootball/playerstats/1732411" TargetMode="External"/><Relationship Id="rId59" Type="http://schemas.openxmlformats.org/officeDocument/2006/relationships/hyperlink" Target="https://poolhost.com/profootball/playerstats/1682523" TargetMode="External"/><Relationship Id="rId103" Type="http://schemas.openxmlformats.org/officeDocument/2006/relationships/hyperlink" Target="https://poolhost.com/profootball/playerstats/1670484" TargetMode="External"/><Relationship Id="rId108" Type="http://schemas.openxmlformats.org/officeDocument/2006/relationships/hyperlink" Target="https://poolhost.com/profootball/playerstats/1654484" TargetMode="External"/><Relationship Id="rId124" Type="http://schemas.openxmlformats.org/officeDocument/2006/relationships/hyperlink" Target="https://poolhost.com/profootball/playerstats/1711169" TargetMode="External"/><Relationship Id="rId129" Type="http://schemas.openxmlformats.org/officeDocument/2006/relationships/hyperlink" Target="https://poolhost.com/profootball/playerstats/1681946" TargetMode="External"/><Relationship Id="rId54" Type="http://schemas.openxmlformats.org/officeDocument/2006/relationships/hyperlink" Target="https://poolhost.com/profootball/playerstats/1721401" TargetMode="External"/><Relationship Id="rId70" Type="http://schemas.openxmlformats.org/officeDocument/2006/relationships/hyperlink" Target="https://poolhost.com/profootball/playerstats/1676654" TargetMode="External"/><Relationship Id="rId75" Type="http://schemas.openxmlformats.org/officeDocument/2006/relationships/hyperlink" Target="https://poolhost.com/profootball/playerstats/1699810" TargetMode="External"/><Relationship Id="rId91" Type="http://schemas.openxmlformats.org/officeDocument/2006/relationships/hyperlink" Target="https://poolhost.com/profootball/playerstats/1671748" TargetMode="External"/><Relationship Id="rId96" Type="http://schemas.openxmlformats.org/officeDocument/2006/relationships/hyperlink" Target="https://poolhost.com/profootball/playerstats/1702449" TargetMode="External"/><Relationship Id="rId140" Type="http://schemas.openxmlformats.org/officeDocument/2006/relationships/hyperlink" Target="https://poolhost.com/profootball/playerstats/1709781" TargetMode="External"/><Relationship Id="rId145" Type="http://schemas.openxmlformats.org/officeDocument/2006/relationships/hyperlink" Target="https://poolhost.com/profootball/playerstats/1668682" TargetMode="External"/><Relationship Id="rId161" Type="http://schemas.openxmlformats.org/officeDocument/2006/relationships/hyperlink" Target="https://poolhost.com/profootball/playerstats/1734172" TargetMode="External"/><Relationship Id="rId1" Type="http://schemas.openxmlformats.org/officeDocument/2006/relationships/hyperlink" Target="https://poolhost.com/profootball/playerstats/1705029" TargetMode="External"/><Relationship Id="rId6" Type="http://schemas.openxmlformats.org/officeDocument/2006/relationships/hyperlink" Target="https://poolhost.com/profootball/playerstats/1724223" TargetMode="External"/><Relationship Id="rId15" Type="http://schemas.openxmlformats.org/officeDocument/2006/relationships/hyperlink" Target="https://poolhost.com/profootball/playerstats/1679667" TargetMode="External"/><Relationship Id="rId23" Type="http://schemas.openxmlformats.org/officeDocument/2006/relationships/hyperlink" Target="https://poolhost.com/profootball/playerstats/1657103" TargetMode="External"/><Relationship Id="rId28" Type="http://schemas.openxmlformats.org/officeDocument/2006/relationships/hyperlink" Target="https://poolhost.com/profootball/playerstats/1683389" TargetMode="External"/><Relationship Id="rId36" Type="http://schemas.openxmlformats.org/officeDocument/2006/relationships/hyperlink" Target="https://poolhost.com/profootball/playerstats/1672298" TargetMode="External"/><Relationship Id="rId49" Type="http://schemas.openxmlformats.org/officeDocument/2006/relationships/hyperlink" Target="https://poolhost.com/profootball/playerstats/1654448" TargetMode="External"/><Relationship Id="rId57" Type="http://schemas.openxmlformats.org/officeDocument/2006/relationships/hyperlink" Target="https://poolhost.com/profootball/playerstats/1661711" TargetMode="External"/><Relationship Id="rId106" Type="http://schemas.openxmlformats.org/officeDocument/2006/relationships/hyperlink" Target="https://poolhost.com/profootball/playerstats/1674086" TargetMode="External"/><Relationship Id="rId114" Type="http://schemas.openxmlformats.org/officeDocument/2006/relationships/hyperlink" Target="https://poolhost.com/profootball/playerstats/1721307" TargetMode="External"/><Relationship Id="rId119" Type="http://schemas.openxmlformats.org/officeDocument/2006/relationships/hyperlink" Target="https://poolhost.com/profootball/playerstats/1715552" TargetMode="External"/><Relationship Id="rId127" Type="http://schemas.openxmlformats.org/officeDocument/2006/relationships/hyperlink" Target="https://poolhost.com/profootball/playerstats/1659875" TargetMode="External"/><Relationship Id="rId10" Type="http://schemas.openxmlformats.org/officeDocument/2006/relationships/hyperlink" Target="https://poolhost.com/profootball/playerstats/1685256" TargetMode="External"/><Relationship Id="rId31" Type="http://schemas.openxmlformats.org/officeDocument/2006/relationships/hyperlink" Target="https://poolhost.com/profootball/playerstats/1687892" TargetMode="External"/><Relationship Id="rId44" Type="http://schemas.openxmlformats.org/officeDocument/2006/relationships/hyperlink" Target="https://poolhost.com/profootball/playerstats/1669305" TargetMode="External"/><Relationship Id="rId52" Type="http://schemas.openxmlformats.org/officeDocument/2006/relationships/hyperlink" Target="https://poolhost.com/profootball/playerstats/1733218" TargetMode="External"/><Relationship Id="rId60" Type="http://schemas.openxmlformats.org/officeDocument/2006/relationships/hyperlink" Target="https://poolhost.com/profootball/playerstats/1673234" TargetMode="External"/><Relationship Id="rId65" Type="http://schemas.openxmlformats.org/officeDocument/2006/relationships/hyperlink" Target="https://poolhost.com/profootball/playerstats/1684290" TargetMode="External"/><Relationship Id="rId73" Type="http://schemas.openxmlformats.org/officeDocument/2006/relationships/hyperlink" Target="https://poolhost.com/profootball/playerstats/1678667" TargetMode="External"/><Relationship Id="rId78" Type="http://schemas.openxmlformats.org/officeDocument/2006/relationships/hyperlink" Target="https://poolhost.com/profootball/playerstats/1685066" TargetMode="External"/><Relationship Id="rId81" Type="http://schemas.openxmlformats.org/officeDocument/2006/relationships/hyperlink" Target="https://poolhost.com/profootball/playerstats/1679009" TargetMode="External"/><Relationship Id="rId86" Type="http://schemas.openxmlformats.org/officeDocument/2006/relationships/hyperlink" Target="https://poolhost.com/profootball/playerstats/1727817" TargetMode="External"/><Relationship Id="rId94" Type="http://schemas.openxmlformats.org/officeDocument/2006/relationships/hyperlink" Target="https://poolhost.com/profootball/playerstats/1686727" TargetMode="External"/><Relationship Id="rId99" Type="http://schemas.openxmlformats.org/officeDocument/2006/relationships/hyperlink" Target="https://poolhost.com/profootball/playerstats/1699295" TargetMode="External"/><Relationship Id="rId101" Type="http://schemas.openxmlformats.org/officeDocument/2006/relationships/hyperlink" Target="https://poolhost.com/profootball/playerstats/1729617" TargetMode="External"/><Relationship Id="rId122" Type="http://schemas.openxmlformats.org/officeDocument/2006/relationships/hyperlink" Target="https://poolhost.com/profootball/playerstats/1673761" TargetMode="External"/><Relationship Id="rId130" Type="http://schemas.openxmlformats.org/officeDocument/2006/relationships/hyperlink" Target="https://poolhost.com/profootball/playerstats/1671837" TargetMode="External"/><Relationship Id="rId135" Type="http://schemas.openxmlformats.org/officeDocument/2006/relationships/hyperlink" Target="https://poolhost.com/profootball/playerstats/1725535" TargetMode="External"/><Relationship Id="rId143" Type="http://schemas.openxmlformats.org/officeDocument/2006/relationships/hyperlink" Target="https://poolhost.com/profootball/playerstats/1666473" TargetMode="External"/><Relationship Id="rId148" Type="http://schemas.openxmlformats.org/officeDocument/2006/relationships/hyperlink" Target="https://poolhost.com/profootball/playerstats/1733415" TargetMode="External"/><Relationship Id="rId151" Type="http://schemas.openxmlformats.org/officeDocument/2006/relationships/hyperlink" Target="https://poolhost.com/profootball/playerstats/1662306" TargetMode="External"/><Relationship Id="rId156" Type="http://schemas.openxmlformats.org/officeDocument/2006/relationships/hyperlink" Target="https://poolhost.com/profootball/playerstats/1662606" TargetMode="External"/><Relationship Id="rId4" Type="http://schemas.openxmlformats.org/officeDocument/2006/relationships/hyperlink" Target="https://poolhost.com/profootball/playerstats/1654623" TargetMode="External"/><Relationship Id="rId9" Type="http://schemas.openxmlformats.org/officeDocument/2006/relationships/hyperlink" Target="https://poolhost.com/profootball/playerstats/1665614" TargetMode="External"/><Relationship Id="rId13" Type="http://schemas.openxmlformats.org/officeDocument/2006/relationships/hyperlink" Target="https://poolhost.com/profootball/playerstats/1654791" TargetMode="External"/><Relationship Id="rId18" Type="http://schemas.openxmlformats.org/officeDocument/2006/relationships/hyperlink" Target="https://poolhost.com/profootball/playerstats/1741250" TargetMode="External"/><Relationship Id="rId39" Type="http://schemas.openxmlformats.org/officeDocument/2006/relationships/hyperlink" Target="https://poolhost.com/profootball/playerstats/1696717" TargetMode="External"/><Relationship Id="rId109" Type="http://schemas.openxmlformats.org/officeDocument/2006/relationships/hyperlink" Target="https://poolhost.com/profootball/playerstats/1657583" TargetMode="External"/><Relationship Id="rId34" Type="http://schemas.openxmlformats.org/officeDocument/2006/relationships/hyperlink" Target="https://poolhost.com/profootball/playerstats/1680041" TargetMode="External"/><Relationship Id="rId50" Type="http://schemas.openxmlformats.org/officeDocument/2006/relationships/hyperlink" Target="https://poolhost.com/profootball/playerstats/1731690" TargetMode="External"/><Relationship Id="rId55" Type="http://schemas.openxmlformats.org/officeDocument/2006/relationships/hyperlink" Target="https://poolhost.com/profootball/playerstats/1732254" TargetMode="External"/><Relationship Id="rId76" Type="http://schemas.openxmlformats.org/officeDocument/2006/relationships/hyperlink" Target="https://poolhost.com/profootball/playerstats/1661981" TargetMode="External"/><Relationship Id="rId97" Type="http://schemas.openxmlformats.org/officeDocument/2006/relationships/hyperlink" Target="https://poolhost.com/profootball/playerstats/1656464" TargetMode="External"/><Relationship Id="rId104" Type="http://schemas.openxmlformats.org/officeDocument/2006/relationships/hyperlink" Target="https://poolhost.com/profootball/playerstats/1694017" TargetMode="External"/><Relationship Id="rId120" Type="http://schemas.openxmlformats.org/officeDocument/2006/relationships/hyperlink" Target="https://poolhost.com/profootball/playerstats/1686915" TargetMode="External"/><Relationship Id="rId125" Type="http://schemas.openxmlformats.org/officeDocument/2006/relationships/hyperlink" Target="https://poolhost.com/profootball/playerstats/1665979" TargetMode="External"/><Relationship Id="rId141" Type="http://schemas.openxmlformats.org/officeDocument/2006/relationships/hyperlink" Target="https://poolhost.com/profootball/playerstats/1730270" TargetMode="External"/><Relationship Id="rId146" Type="http://schemas.openxmlformats.org/officeDocument/2006/relationships/hyperlink" Target="https://poolhost.com/profootball/playerstats/1655447" TargetMode="External"/><Relationship Id="rId7" Type="http://schemas.openxmlformats.org/officeDocument/2006/relationships/hyperlink" Target="https://poolhost.com/profootball/playerstats/1728787" TargetMode="External"/><Relationship Id="rId71" Type="http://schemas.openxmlformats.org/officeDocument/2006/relationships/hyperlink" Target="https://poolhost.com/profootball/playerstats/1657214" TargetMode="External"/><Relationship Id="rId92" Type="http://schemas.openxmlformats.org/officeDocument/2006/relationships/hyperlink" Target="https://poolhost.com/profootball/playerstats/1701053" TargetMode="External"/><Relationship Id="rId162" Type="http://schemas.openxmlformats.org/officeDocument/2006/relationships/hyperlink" Target="https://poolhost.com/profootball/playerstats/1700157" TargetMode="External"/><Relationship Id="rId2" Type="http://schemas.openxmlformats.org/officeDocument/2006/relationships/hyperlink" Target="https://poolhost.com/profootball/playerstats/1665810" TargetMode="External"/><Relationship Id="rId29" Type="http://schemas.openxmlformats.org/officeDocument/2006/relationships/hyperlink" Target="https://poolhost.com/profootball/playerstats/1667866" TargetMode="External"/><Relationship Id="rId24" Type="http://schemas.openxmlformats.org/officeDocument/2006/relationships/hyperlink" Target="https://poolhost.com/profootball/playerstats/1730676" TargetMode="External"/><Relationship Id="rId40" Type="http://schemas.openxmlformats.org/officeDocument/2006/relationships/hyperlink" Target="https://poolhost.com/profootball/playerstats/1701354" TargetMode="External"/><Relationship Id="rId45" Type="http://schemas.openxmlformats.org/officeDocument/2006/relationships/hyperlink" Target="https://poolhost.com/profootball/playerstats/1679156" TargetMode="External"/><Relationship Id="rId66" Type="http://schemas.openxmlformats.org/officeDocument/2006/relationships/hyperlink" Target="https://poolhost.com/profootball/playerstats/1730347" TargetMode="External"/><Relationship Id="rId87" Type="http://schemas.openxmlformats.org/officeDocument/2006/relationships/hyperlink" Target="https://poolhost.com/profootball/playerstats/1654603" TargetMode="External"/><Relationship Id="rId110" Type="http://schemas.openxmlformats.org/officeDocument/2006/relationships/hyperlink" Target="https://poolhost.com/profootball/playerstats/1708448" TargetMode="External"/><Relationship Id="rId115" Type="http://schemas.openxmlformats.org/officeDocument/2006/relationships/hyperlink" Target="https://poolhost.com/profootball/playerstats/1658459" TargetMode="External"/><Relationship Id="rId131" Type="http://schemas.openxmlformats.org/officeDocument/2006/relationships/hyperlink" Target="https://poolhost.com/profootball/playerstats/1657801" TargetMode="External"/><Relationship Id="rId136" Type="http://schemas.openxmlformats.org/officeDocument/2006/relationships/hyperlink" Target="https://poolhost.com/profootball/playerstats/1676125" TargetMode="External"/><Relationship Id="rId157" Type="http://schemas.openxmlformats.org/officeDocument/2006/relationships/hyperlink" Target="https://poolhost.com/profootball/playerstats/1657241" TargetMode="External"/><Relationship Id="rId61" Type="http://schemas.openxmlformats.org/officeDocument/2006/relationships/hyperlink" Target="https://poolhost.com/profootball/playerstats/1708505" TargetMode="External"/><Relationship Id="rId82" Type="http://schemas.openxmlformats.org/officeDocument/2006/relationships/hyperlink" Target="https://poolhost.com/profootball/playerstats/1691673" TargetMode="External"/><Relationship Id="rId152" Type="http://schemas.openxmlformats.org/officeDocument/2006/relationships/hyperlink" Target="https://poolhost.com/profootball/playerstats/1670025" TargetMode="External"/><Relationship Id="rId19" Type="http://schemas.openxmlformats.org/officeDocument/2006/relationships/hyperlink" Target="https://poolhost.com/profootball/playerstats/1731755" TargetMode="External"/><Relationship Id="rId14" Type="http://schemas.openxmlformats.org/officeDocument/2006/relationships/hyperlink" Target="https://poolhost.com/profootball/playerstats/1684491" TargetMode="External"/><Relationship Id="rId30" Type="http://schemas.openxmlformats.org/officeDocument/2006/relationships/hyperlink" Target="https://poolhost.com/profootball/playerstats/1732788" TargetMode="External"/><Relationship Id="rId35" Type="http://schemas.openxmlformats.org/officeDocument/2006/relationships/hyperlink" Target="https://poolhost.com/profootball/playerstats/1673248" TargetMode="External"/><Relationship Id="rId56" Type="http://schemas.openxmlformats.org/officeDocument/2006/relationships/hyperlink" Target="https://poolhost.com/profootball/playerstats/1679300" TargetMode="External"/><Relationship Id="rId77" Type="http://schemas.openxmlformats.org/officeDocument/2006/relationships/hyperlink" Target="https://poolhost.com/profootball/playerstats/1649126" TargetMode="External"/><Relationship Id="rId100" Type="http://schemas.openxmlformats.org/officeDocument/2006/relationships/hyperlink" Target="https://poolhost.com/profootball/playerstats/1726632" TargetMode="External"/><Relationship Id="rId105" Type="http://schemas.openxmlformats.org/officeDocument/2006/relationships/hyperlink" Target="https://poolhost.com/profootball/playerstats/1660811" TargetMode="External"/><Relationship Id="rId126" Type="http://schemas.openxmlformats.org/officeDocument/2006/relationships/hyperlink" Target="https://poolhost.com/profootball/playerstats/1672167" TargetMode="External"/><Relationship Id="rId147" Type="http://schemas.openxmlformats.org/officeDocument/2006/relationships/hyperlink" Target="https://poolhost.com/profootball/playerstats/1649341" TargetMode="External"/><Relationship Id="rId8" Type="http://schemas.openxmlformats.org/officeDocument/2006/relationships/hyperlink" Target="https://poolhost.com/profootball/playerstats/1708805" TargetMode="External"/><Relationship Id="rId51" Type="http://schemas.openxmlformats.org/officeDocument/2006/relationships/hyperlink" Target="https://poolhost.com/profootball/playerstats/1723980" TargetMode="External"/><Relationship Id="rId72" Type="http://schemas.openxmlformats.org/officeDocument/2006/relationships/hyperlink" Target="https://poolhost.com/profootball/playerstats/1709552" TargetMode="External"/><Relationship Id="rId93" Type="http://schemas.openxmlformats.org/officeDocument/2006/relationships/hyperlink" Target="https://poolhost.com/profootball/playerstats/1703401" TargetMode="External"/><Relationship Id="rId98" Type="http://schemas.openxmlformats.org/officeDocument/2006/relationships/hyperlink" Target="https://poolhost.com/profootball/playerstats/1655488" TargetMode="External"/><Relationship Id="rId121" Type="http://schemas.openxmlformats.org/officeDocument/2006/relationships/hyperlink" Target="https://poolhost.com/profootball/playerstats/1654634" TargetMode="External"/><Relationship Id="rId142" Type="http://schemas.openxmlformats.org/officeDocument/2006/relationships/hyperlink" Target="https://poolhost.com/profootball/playerstats/1667376" TargetMode="External"/><Relationship Id="rId163" Type="http://schemas.openxmlformats.org/officeDocument/2006/relationships/hyperlink" Target="https://poolhost.com/profootball/playerstats/1700155" TargetMode="External"/><Relationship Id="rId3" Type="http://schemas.openxmlformats.org/officeDocument/2006/relationships/hyperlink" Target="https://poolhost.com/profootball/playerstats/1667937" TargetMode="External"/><Relationship Id="rId25" Type="http://schemas.openxmlformats.org/officeDocument/2006/relationships/hyperlink" Target="https://poolhost.com/profootball/playerstats/1705049" TargetMode="External"/><Relationship Id="rId46" Type="http://schemas.openxmlformats.org/officeDocument/2006/relationships/hyperlink" Target="https://poolhost.com/profootball/playerstats/1735486" TargetMode="External"/><Relationship Id="rId67" Type="http://schemas.openxmlformats.org/officeDocument/2006/relationships/hyperlink" Target="https://poolhost.com/profootball/playerstats/1726326" TargetMode="External"/><Relationship Id="rId116" Type="http://schemas.openxmlformats.org/officeDocument/2006/relationships/hyperlink" Target="https://poolhost.com/profootball/playerstats/1732290" TargetMode="External"/><Relationship Id="rId137" Type="http://schemas.openxmlformats.org/officeDocument/2006/relationships/hyperlink" Target="https://poolhost.com/profootball/playerstats/1666027" TargetMode="External"/><Relationship Id="rId158" Type="http://schemas.openxmlformats.org/officeDocument/2006/relationships/hyperlink" Target="https://poolhost.com/profootball/playerstats/1704026" TargetMode="External"/><Relationship Id="rId20" Type="http://schemas.openxmlformats.org/officeDocument/2006/relationships/hyperlink" Target="https://poolhost.com/profootball/playerstats/1666092" TargetMode="External"/><Relationship Id="rId41" Type="http://schemas.openxmlformats.org/officeDocument/2006/relationships/hyperlink" Target="https://poolhost.com/profootball/playerstats/1695716" TargetMode="External"/><Relationship Id="rId62" Type="http://schemas.openxmlformats.org/officeDocument/2006/relationships/hyperlink" Target="https://poolhost.com/profootball/playerstats/1707988" TargetMode="External"/><Relationship Id="rId83" Type="http://schemas.openxmlformats.org/officeDocument/2006/relationships/hyperlink" Target="https://poolhost.com/profootball/playerstats/1705249" TargetMode="External"/><Relationship Id="rId88" Type="http://schemas.openxmlformats.org/officeDocument/2006/relationships/hyperlink" Target="https://poolhost.com/profootball/playerstats/1677049" TargetMode="External"/><Relationship Id="rId111" Type="http://schemas.openxmlformats.org/officeDocument/2006/relationships/hyperlink" Target="https://poolhost.com/profootball/playerstats/1731780" TargetMode="External"/><Relationship Id="rId132" Type="http://schemas.openxmlformats.org/officeDocument/2006/relationships/hyperlink" Target="https://poolhost.com/profootball/playerstats/1712780" TargetMode="External"/><Relationship Id="rId153" Type="http://schemas.openxmlformats.org/officeDocument/2006/relationships/hyperlink" Target="https://poolhost.com/profootball/playerstats/1666034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oolhost.com/profootball/playerstats/1666449" TargetMode="External"/><Relationship Id="rId117" Type="http://schemas.openxmlformats.org/officeDocument/2006/relationships/hyperlink" Target="https://www.poolhost.com/profootball/playerstats/1726326" TargetMode="External"/><Relationship Id="rId21" Type="http://schemas.openxmlformats.org/officeDocument/2006/relationships/hyperlink" Target="https://www.poolhost.com/profootball/playerstats/1679667" TargetMode="External"/><Relationship Id="rId42" Type="http://schemas.openxmlformats.org/officeDocument/2006/relationships/hyperlink" Target="https://www.poolhost.com/profootball/playerstats/1727170" TargetMode="External"/><Relationship Id="rId47" Type="http://schemas.openxmlformats.org/officeDocument/2006/relationships/hyperlink" Target="https://www.poolhost.com/profootball/playerstats/1695492" TargetMode="External"/><Relationship Id="rId63" Type="http://schemas.openxmlformats.org/officeDocument/2006/relationships/hyperlink" Target="https://www.poolhost.com/profootball/playerstats/1696717" TargetMode="External"/><Relationship Id="rId68" Type="http://schemas.openxmlformats.org/officeDocument/2006/relationships/hyperlink" Target="https://www.poolhost.com/profootball/playerstats/1665810" TargetMode="External"/><Relationship Id="rId84" Type="http://schemas.openxmlformats.org/officeDocument/2006/relationships/hyperlink" Target="https://www.poolhost.com/profootball/playerstats/1674086" TargetMode="External"/><Relationship Id="rId89" Type="http://schemas.openxmlformats.org/officeDocument/2006/relationships/hyperlink" Target="https://www.poolhost.com/profootball/playerstats/1663641" TargetMode="External"/><Relationship Id="rId112" Type="http://schemas.openxmlformats.org/officeDocument/2006/relationships/hyperlink" Target="https://www.poolhost.com/profootball/playerstats/1705346" TargetMode="External"/><Relationship Id="rId133" Type="http://schemas.openxmlformats.org/officeDocument/2006/relationships/hyperlink" Target="https://www.poolhost.com/profootball/playerstats/1728782" TargetMode="External"/><Relationship Id="rId138" Type="http://schemas.openxmlformats.org/officeDocument/2006/relationships/hyperlink" Target="https://www.poolhost.com/profootball/playerstats/1678377" TargetMode="External"/><Relationship Id="rId154" Type="http://schemas.openxmlformats.org/officeDocument/2006/relationships/hyperlink" Target="https://www.poolhost.com/profootball/playerstats/1729314" TargetMode="External"/><Relationship Id="rId159" Type="http://schemas.openxmlformats.org/officeDocument/2006/relationships/hyperlink" Target="https://www.poolhost.com/profootball/playerstats/1721401" TargetMode="External"/><Relationship Id="rId16" Type="http://schemas.openxmlformats.org/officeDocument/2006/relationships/hyperlink" Target="https://www.poolhost.com/profootball/playerstats/1680041" TargetMode="External"/><Relationship Id="rId107" Type="http://schemas.openxmlformats.org/officeDocument/2006/relationships/hyperlink" Target="https://www.poolhost.com/profootball/playerstats/1666473" TargetMode="External"/><Relationship Id="rId11" Type="http://schemas.openxmlformats.org/officeDocument/2006/relationships/hyperlink" Target="https://www.poolhost.com/profootball/playerstats/1709552" TargetMode="External"/><Relationship Id="rId32" Type="http://schemas.openxmlformats.org/officeDocument/2006/relationships/hyperlink" Target="https://www.poolhost.com/profootball/playerstats/1732788" TargetMode="External"/><Relationship Id="rId37" Type="http://schemas.openxmlformats.org/officeDocument/2006/relationships/hyperlink" Target="https://www.poolhost.com/profootball/playerstats/1654484" TargetMode="External"/><Relationship Id="rId53" Type="http://schemas.openxmlformats.org/officeDocument/2006/relationships/hyperlink" Target="https://www.poolhost.com/profootball/playerstats/1691673" TargetMode="External"/><Relationship Id="rId58" Type="http://schemas.openxmlformats.org/officeDocument/2006/relationships/hyperlink" Target="https://www.poolhost.com/profootball/playerstats/1673234" TargetMode="External"/><Relationship Id="rId74" Type="http://schemas.openxmlformats.org/officeDocument/2006/relationships/hyperlink" Target="https://www.poolhost.com/profootball/playerstats/1676125" TargetMode="External"/><Relationship Id="rId79" Type="http://schemas.openxmlformats.org/officeDocument/2006/relationships/hyperlink" Target="https://www.poolhost.com/profootball/playerstats/1670484" TargetMode="External"/><Relationship Id="rId102" Type="http://schemas.openxmlformats.org/officeDocument/2006/relationships/hyperlink" Target="https://www.poolhost.com/profootball/playerstats/1684491" TargetMode="External"/><Relationship Id="rId123" Type="http://schemas.openxmlformats.org/officeDocument/2006/relationships/hyperlink" Target="https://www.poolhost.com/profootball/playerstats/1654623" TargetMode="External"/><Relationship Id="rId128" Type="http://schemas.openxmlformats.org/officeDocument/2006/relationships/hyperlink" Target="https://www.poolhost.com/profootball/playerstats/1670226" TargetMode="External"/><Relationship Id="rId144" Type="http://schemas.openxmlformats.org/officeDocument/2006/relationships/hyperlink" Target="https://www.poolhost.com/profootball/playerstats/1730270" TargetMode="External"/><Relationship Id="rId149" Type="http://schemas.openxmlformats.org/officeDocument/2006/relationships/hyperlink" Target="https://www.poolhost.com/profootball/playerstats/1686915" TargetMode="External"/><Relationship Id="rId5" Type="http://schemas.openxmlformats.org/officeDocument/2006/relationships/hyperlink" Target="https://www.poolhost.com/profootball/playerstats/1660811" TargetMode="External"/><Relationship Id="rId90" Type="http://schemas.openxmlformats.org/officeDocument/2006/relationships/hyperlink" Target="https://www.poolhost.com/profootball/playerstats/1679300" TargetMode="External"/><Relationship Id="rId95" Type="http://schemas.openxmlformats.org/officeDocument/2006/relationships/hyperlink" Target="https://www.poolhost.com/profootball/playerstats/1729262" TargetMode="External"/><Relationship Id="rId160" Type="http://schemas.openxmlformats.org/officeDocument/2006/relationships/hyperlink" Target="https://www.poolhost.com/profootball/playerstats/1700157" TargetMode="External"/><Relationship Id="rId22" Type="http://schemas.openxmlformats.org/officeDocument/2006/relationships/hyperlink" Target="https://www.poolhost.com/profootball/playerstats/1665631" TargetMode="External"/><Relationship Id="rId27" Type="http://schemas.openxmlformats.org/officeDocument/2006/relationships/hyperlink" Target="https://www.poolhost.com/profootball/playerstats/1662606" TargetMode="External"/><Relationship Id="rId43" Type="http://schemas.openxmlformats.org/officeDocument/2006/relationships/hyperlink" Target="https://www.poolhost.com/profootball/playerstats/1674022" TargetMode="External"/><Relationship Id="rId48" Type="http://schemas.openxmlformats.org/officeDocument/2006/relationships/hyperlink" Target="https://www.poolhost.com/profootball/playerstats/1667866" TargetMode="External"/><Relationship Id="rId64" Type="http://schemas.openxmlformats.org/officeDocument/2006/relationships/hyperlink" Target="https://www.poolhost.com/profootball/playerstats/1669212" TargetMode="External"/><Relationship Id="rId69" Type="http://schemas.openxmlformats.org/officeDocument/2006/relationships/hyperlink" Target="https://www.poolhost.com/profootball/playerstats/1699295" TargetMode="External"/><Relationship Id="rId113" Type="http://schemas.openxmlformats.org/officeDocument/2006/relationships/hyperlink" Target="https://www.poolhost.com/profootball/playerstats/1667376" TargetMode="External"/><Relationship Id="rId118" Type="http://schemas.openxmlformats.org/officeDocument/2006/relationships/hyperlink" Target="https://www.poolhost.com/profootball/playerstats/1682884" TargetMode="External"/><Relationship Id="rId134" Type="http://schemas.openxmlformats.org/officeDocument/2006/relationships/hyperlink" Target="https://www.poolhost.com/profootball/playerstats/1667937" TargetMode="External"/><Relationship Id="rId139" Type="http://schemas.openxmlformats.org/officeDocument/2006/relationships/hyperlink" Target="https://www.poolhost.com/profootball/playerstats/1672167" TargetMode="External"/><Relationship Id="rId80" Type="http://schemas.openxmlformats.org/officeDocument/2006/relationships/hyperlink" Target="https://www.poolhost.com/profootball/playerstats/1708448" TargetMode="External"/><Relationship Id="rId85" Type="http://schemas.openxmlformats.org/officeDocument/2006/relationships/hyperlink" Target="https://www.poolhost.com/profootball/playerstats/1721307" TargetMode="External"/><Relationship Id="rId150" Type="http://schemas.openxmlformats.org/officeDocument/2006/relationships/hyperlink" Target="https://www.poolhost.com/profootball/playerstats/1649126" TargetMode="External"/><Relationship Id="rId155" Type="http://schemas.openxmlformats.org/officeDocument/2006/relationships/hyperlink" Target="https://www.poolhost.com/profootball/playerstats/1705272" TargetMode="External"/><Relationship Id="rId12" Type="http://schemas.openxmlformats.org/officeDocument/2006/relationships/hyperlink" Target="https://www.poolhost.com/profootball/playerstats/1662306" TargetMode="External"/><Relationship Id="rId17" Type="http://schemas.openxmlformats.org/officeDocument/2006/relationships/hyperlink" Target="https://www.poolhost.com/profootball/playerstats/1735486" TargetMode="External"/><Relationship Id="rId33" Type="http://schemas.openxmlformats.org/officeDocument/2006/relationships/hyperlink" Target="https://www.poolhost.com/profootball/playerstats/1704294" TargetMode="External"/><Relationship Id="rId38" Type="http://schemas.openxmlformats.org/officeDocument/2006/relationships/hyperlink" Target="https://www.poolhost.com/profootball/playerstats/1673222" TargetMode="External"/><Relationship Id="rId59" Type="http://schemas.openxmlformats.org/officeDocument/2006/relationships/hyperlink" Target="https://www.poolhost.com/profootball/playerstats/1666027" TargetMode="External"/><Relationship Id="rId103" Type="http://schemas.openxmlformats.org/officeDocument/2006/relationships/hyperlink" Target="https://www.poolhost.com/profootball/playerstats/1722206" TargetMode="External"/><Relationship Id="rId108" Type="http://schemas.openxmlformats.org/officeDocument/2006/relationships/hyperlink" Target="https://www.poolhost.com/profootball/playerstats/1657103" TargetMode="External"/><Relationship Id="rId124" Type="http://schemas.openxmlformats.org/officeDocument/2006/relationships/hyperlink" Target="https://www.poolhost.com/profootball/playerstats/1733218" TargetMode="External"/><Relationship Id="rId129" Type="http://schemas.openxmlformats.org/officeDocument/2006/relationships/hyperlink" Target="https://www.poolhost.com/profootball/playerstats/1741250" TargetMode="External"/><Relationship Id="rId54" Type="http://schemas.openxmlformats.org/officeDocument/2006/relationships/hyperlink" Target="https://www.poolhost.com/profootball/playerstats/1669323" TargetMode="External"/><Relationship Id="rId70" Type="http://schemas.openxmlformats.org/officeDocument/2006/relationships/hyperlink" Target="https://www.poolhost.com/profootball/playerstats/1654500" TargetMode="External"/><Relationship Id="rId75" Type="http://schemas.openxmlformats.org/officeDocument/2006/relationships/hyperlink" Target="https://www.poolhost.com/profootball/playerstats/1671837" TargetMode="External"/><Relationship Id="rId91" Type="http://schemas.openxmlformats.org/officeDocument/2006/relationships/hyperlink" Target="https://www.poolhost.com/profootball/playerstats/1657583" TargetMode="External"/><Relationship Id="rId96" Type="http://schemas.openxmlformats.org/officeDocument/2006/relationships/hyperlink" Target="https://www.poolhost.com/profootball/playerstats/1669305" TargetMode="External"/><Relationship Id="rId140" Type="http://schemas.openxmlformats.org/officeDocument/2006/relationships/hyperlink" Target="https://www.poolhost.com/profootball/playerstats/1724223" TargetMode="External"/><Relationship Id="rId145" Type="http://schemas.openxmlformats.org/officeDocument/2006/relationships/hyperlink" Target="https://www.poolhost.com/profootball/playerstats/1682523" TargetMode="External"/><Relationship Id="rId161" Type="http://schemas.openxmlformats.org/officeDocument/2006/relationships/hyperlink" Target="https://www.poolhost.com/profootball/playerstats/1722233" TargetMode="External"/><Relationship Id="rId1" Type="http://schemas.openxmlformats.org/officeDocument/2006/relationships/hyperlink" Target="https://www.poolhost.com/profootball/playerstats/1668461" TargetMode="External"/><Relationship Id="rId6" Type="http://schemas.openxmlformats.org/officeDocument/2006/relationships/hyperlink" Target="https://www.poolhost.com/profootball/playerstats/1707988" TargetMode="External"/><Relationship Id="rId15" Type="http://schemas.openxmlformats.org/officeDocument/2006/relationships/hyperlink" Target="https://www.poolhost.com/profootball/playerstats/1702449" TargetMode="External"/><Relationship Id="rId23" Type="http://schemas.openxmlformats.org/officeDocument/2006/relationships/hyperlink" Target="https://www.poolhost.com/profootball/playerstats/1697912" TargetMode="External"/><Relationship Id="rId28" Type="http://schemas.openxmlformats.org/officeDocument/2006/relationships/hyperlink" Target="https://www.poolhost.com/profootball/playerstats/1732851" TargetMode="External"/><Relationship Id="rId36" Type="http://schemas.openxmlformats.org/officeDocument/2006/relationships/hyperlink" Target="https://www.poolhost.com/profootball/playerstats/1730347" TargetMode="External"/><Relationship Id="rId49" Type="http://schemas.openxmlformats.org/officeDocument/2006/relationships/hyperlink" Target="https://www.poolhost.com/profootball/playerstats/1683389" TargetMode="External"/><Relationship Id="rId57" Type="http://schemas.openxmlformats.org/officeDocument/2006/relationships/hyperlink" Target="https://www.poolhost.com/profootball/playerstats/1699660" TargetMode="External"/><Relationship Id="rId106" Type="http://schemas.openxmlformats.org/officeDocument/2006/relationships/hyperlink" Target="https://www.poolhost.com/profootball/playerstats/1685256" TargetMode="External"/><Relationship Id="rId114" Type="http://schemas.openxmlformats.org/officeDocument/2006/relationships/hyperlink" Target="https://www.poolhost.com/profootball/playerstats/1657801" TargetMode="External"/><Relationship Id="rId119" Type="http://schemas.openxmlformats.org/officeDocument/2006/relationships/hyperlink" Target="https://www.poolhost.com/profootball/playerstats/1731755" TargetMode="External"/><Relationship Id="rId127" Type="http://schemas.openxmlformats.org/officeDocument/2006/relationships/hyperlink" Target="https://www.poolhost.com/profootball/playerstats/1700155" TargetMode="External"/><Relationship Id="rId10" Type="http://schemas.openxmlformats.org/officeDocument/2006/relationships/hyperlink" Target="https://www.poolhost.com/profootball/playerstats/1731780" TargetMode="External"/><Relationship Id="rId31" Type="http://schemas.openxmlformats.org/officeDocument/2006/relationships/hyperlink" Target="https://www.poolhost.com/profootball/playerstats/1678632" TargetMode="External"/><Relationship Id="rId44" Type="http://schemas.openxmlformats.org/officeDocument/2006/relationships/hyperlink" Target="https://www.poolhost.com/profootball/playerstats/1679009" TargetMode="External"/><Relationship Id="rId52" Type="http://schemas.openxmlformats.org/officeDocument/2006/relationships/hyperlink" Target="https://www.poolhost.com/profootball/playerstats/1731690" TargetMode="External"/><Relationship Id="rId60" Type="http://schemas.openxmlformats.org/officeDocument/2006/relationships/hyperlink" Target="https://www.poolhost.com/profootball/playerstats/1655488" TargetMode="External"/><Relationship Id="rId65" Type="http://schemas.openxmlformats.org/officeDocument/2006/relationships/hyperlink" Target="https://www.poolhost.com/profootball/playerstats/1701053" TargetMode="External"/><Relationship Id="rId73" Type="http://schemas.openxmlformats.org/officeDocument/2006/relationships/hyperlink" Target="https://www.poolhost.com/profootball/playerstats/1677370" TargetMode="External"/><Relationship Id="rId78" Type="http://schemas.openxmlformats.org/officeDocument/2006/relationships/hyperlink" Target="https://www.poolhost.com/profootball/playerstats/1654448" TargetMode="External"/><Relationship Id="rId81" Type="http://schemas.openxmlformats.org/officeDocument/2006/relationships/hyperlink" Target="https://www.poolhost.com/profootball/playerstats/1654603" TargetMode="External"/><Relationship Id="rId86" Type="http://schemas.openxmlformats.org/officeDocument/2006/relationships/hyperlink" Target="https://www.poolhost.com/profootball/playerstats/1657214" TargetMode="External"/><Relationship Id="rId94" Type="http://schemas.openxmlformats.org/officeDocument/2006/relationships/hyperlink" Target="https://www.poolhost.com/profootball/playerstats/1681897" TargetMode="External"/><Relationship Id="rId99" Type="http://schemas.openxmlformats.org/officeDocument/2006/relationships/hyperlink" Target="https://www.poolhost.com/profootball/playerstats/1672298" TargetMode="External"/><Relationship Id="rId101" Type="http://schemas.openxmlformats.org/officeDocument/2006/relationships/hyperlink" Target="https://www.poolhost.com/profootball/playerstats/1661711" TargetMode="External"/><Relationship Id="rId122" Type="http://schemas.openxmlformats.org/officeDocument/2006/relationships/hyperlink" Target="https://www.poolhost.com/profootball/playerstats/1703401" TargetMode="External"/><Relationship Id="rId130" Type="http://schemas.openxmlformats.org/officeDocument/2006/relationships/hyperlink" Target="https://www.poolhost.com/profootball/playerstats/1670025" TargetMode="External"/><Relationship Id="rId135" Type="http://schemas.openxmlformats.org/officeDocument/2006/relationships/hyperlink" Target="https://www.poolhost.com/profootball/playerstats/1705049" TargetMode="External"/><Relationship Id="rId143" Type="http://schemas.openxmlformats.org/officeDocument/2006/relationships/hyperlink" Target="https://www.poolhost.com/profootball/playerstats/1683531" TargetMode="External"/><Relationship Id="rId148" Type="http://schemas.openxmlformats.org/officeDocument/2006/relationships/hyperlink" Target="https://www.poolhost.com/profootball/playerstats/1657241" TargetMode="External"/><Relationship Id="rId151" Type="http://schemas.openxmlformats.org/officeDocument/2006/relationships/hyperlink" Target="https://www.poolhost.com/profootball/playerstats/1679156" TargetMode="External"/><Relationship Id="rId156" Type="http://schemas.openxmlformats.org/officeDocument/2006/relationships/hyperlink" Target="https://www.poolhost.com/profootball/playerstats/1708312" TargetMode="External"/><Relationship Id="rId4" Type="http://schemas.openxmlformats.org/officeDocument/2006/relationships/hyperlink" Target="https://www.poolhost.com/profootball/playerstats/1732290" TargetMode="External"/><Relationship Id="rId9" Type="http://schemas.openxmlformats.org/officeDocument/2006/relationships/hyperlink" Target="https://www.poolhost.com/profootball/playerstats/1654791" TargetMode="External"/><Relationship Id="rId13" Type="http://schemas.openxmlformats.org/officeDocument/2006/relationships/hyperlink" Target="https://www.poolhost.com/profootball/playerstats/1673761" TargetMode="External"/><Relationship Id="rId18" Type="http://schemas.openxmlformats.org/officeDocument/2006/relationships/hyperlink" Target="https://www.poolhost.com/profootball/playerstats/1668682" TargetMode="External"/><Relationship Id="rId39" Type="http://schemas.openxmlformats.org/officeDocument/2006/relationships/hyperlink" Target="https://www.poolhost.com/profootball/playerstats/1685066" TargetMode="External"/><Relationship Id="rId109" Type="http://schemas.openxmlformats.org/officeDocument/2006/relationships/hyperlink" Target="https://www.poolhost.com/profootball/playerstats/1725535" TargetMode="External"/><Relationship Id="rId34" Type="http://schemas.openxmlformats.org/officeDocument/2006/relationships/hyperlink" Target="https://www.poolhost.com/profootball/playerstats/1654485" TargetMode="External"/><Relationship Id="rId50" Type="http://schemas.openxmlformats.org/officeDocument/2006/relationships/hyperlink" Target="https://www.poolhost.com/profootball/playerstats/1671748" TargetMode="External"/><Relationship Id="rId55" Type="http://schemas.openxmlformats.org/officeDocument/2006/relationships/hyperlink" Target="https://www.poolhost.com/profootball/playerstats/1704026" TargetMode="External"/><Relationship Id="rId76" Type="http://schemas.openxmlformats.org/officeDocument/2006/relationships/hyperlink" Target="https://www.poolhost.com/profootball/playerstats/1701354" TargetMode="External"/><Relationship Id="rId97" Type="http://schemas.openxmlformats.org/officeDocument/2006/relationships/hyperlink" Target="https://www.poolhost.com/profootball/playerstats/1684290" TargetMode="External"/><Relationship Id="rId104" Type="http://schemas.openxmlformats.org/officeDocument/2006/relationships/hyperlink" Target="https://www.poolhost.com/profootball/playerstats/1659558" TargetMode="External"/><Relationship Id="rId120" Type="http://schemas.openxmlformats.org/officeDocument/2006/relationships/hyperlink" Target="https://www.poolhost.com/profootball/playerstats/1727817" TargetMode="External"/><Relationship Id="rId125" Type="http://schemas.openxmlformats.org/officeDocument/2006/relationships/hyperlink" Target="https://www.poolhost.com/profootball/playerstats/1658459" TargetMode="External"/><Relationship Id="rId141" Type="http://schemas.openxmlformats.org/officeDocument/2006/relationships/hyperlink" Target="https://www.poolhost.com/profootball/playerstats/1668628" TargetMode="External"/><Relationship Id="rId146" Type="http://schemas.openxmlformats.org/officeDocument/2006/relationships/hyperlink" Target="https://www.poolhost.com/profootball/playerstats/1702170" TargetMode="External"/><Relationship Id="rId7" Type="http://schemas.openxmlformats.org/officeDocument/2006/relationships/hyperlink" Target="https://www.poolhost.com/profootball/playerstats/1723980" TargetMode="External"/><Relationship Id="rId71" Type="http://schemas.openxmlformats.org/officeDocument/2006/relationships/hyperlink" Target="https://www.poolhost.com/profootball/playerstats/1728787" TargetMode="External"/><Relationship Id="rId92" Type="http://schemas.openxmlformats.org/officeDocument/2006/relationships/hyperlink" Target="https://www.poolhost.com/profootball/playerstats/1654634" TargetMode="External"/><Relationship Id="rId162" Type="http://schemas.openxmlformats.org/officeDocument/2006/relationships/hyperlink" Target="https://www.poolhost.com/profootball/playerstats/1734172" TargetMode="External"/><Relationship Id="rId2" Type="http://schemas.openxmlformats.org/officeDocument/2006/relationships/hyperlink" Target="https://www.poolhost.com/profootball/playerstats/1656464" TargetMode="External"/><Relationship Id="rId29" Type="http://schemas.openxmlformats.org/officeDocument/2006/relationships/hyperlink" Target="https://www.poolhost.com/profootball/playerstats/1666034" TargetMode="External"/><Relationship Id="rId24" Type="http://schemas.openxmlformats.org/officeDocument/2006/relationships/hyperlink" Target="https://www.poolhost.com/profootball/playerstats/1681958" TargetMode="External"/><Relationship Id="rId40" Type="http://schemas.openxmlformats.org/officeDocument/2006/relationships/hyperlink" Target="https://www.poolhost.com/profootball/playerstats/1686727" TargetMode="External"/><Relationship Id="rId45" Type="http://schemas.openxmlformats.org/officeDocument/2006/relationships/hyperlink" Target="https://www.poolhost.com/profootball/playerstats/1726632" TargetMode="External"/><Relationship Id="rId66" Type="http://schemas.openxmlformats.org/officeDocument/2006/relationships/hyperlink" Target="https://www.poolhost.com/profootball/playerstats/1732996" TargetMode="External"/><Relationship Id="rId87" Type="http://schemas.openxmlformats.org/officeDocument/2006/relationships/hyperlink" Target="https://www.poolhost.com/profootball/playerstats/1649341" TargetMode="External"/><Relationship Id="rId110" Type="http://schemas.openxmlformats.org/officeDocument/2006/relationships/hyperlink" Target="https://www.poolhost.com/profootball/playerstats/1678667" TargetMode="External"/><Relationship Id="rId115" Type="http://schemas.openxmlformats.org/officeDocument/2006/relationships/hyperlink" Target="https://www.poolhost.com/profootball/playerstats/1734363" TargetMode="External"/><Relationship Id="rId131" Type="http://schemas.openxmlformats.org/officeDocument/2006/relationships/hyperlink" Target="https://www.poolhost.com/profootball/playerstats/1733415" TargetMode="External"/><Relationship Id="rId136" Type="http://schemas.openxmlformats.org/officeDocument/2006/relationships/hyperlink" Target="https://www.poolhost.com/profootball/playerstats/1729491" TargetMode="External"/><Relationship Id="rId157" Type="http://schemas.openxmlformats.org/officeDocument/2006/relationships/hyperlink" Target="https://www.poolhost.com/profootball/playerstats/1705249" TargetMode="External"/><Relationship Id="rId61" Type="http://schemas.openxmlformats.org/officeDocument/2006/relationships/hyperlink" Target="https://www.poolhost.com/profootball/playerstats/1659875" TargetMode="External"/><Relationship Id="rId82" Type="http://schemas.openxmlformats.org/officeDocument/2006/relationships/hyperlink" Target="https://www.poolhost.com/profootball/playerstats/1684266" TargetMode="External"/><Relationship Id="rId152" Type="http://schemas.openxmlformats.org/officeDocument/2006/relationships/hyperlink" Target="https://www.poolhost.com/profootball/playerstats/1655447" TargetMode="External"/><Relationship Id="rId19" Type="http://schemas.openxmlformats.org/officeDocument/2006/relationships/hyperlink" Target="https://www.poolhost.com/profootball/playerstats/1715552" TargetMode="External"/><Relationship Id="rId14" Type="http://schemas.openxmlformats.org/officeDocument/2006/relationships/hyperlink" Target="https://www.poolhost.com/profootball/playerstats/1654649" TargetMode="External"/><Relationship Id="rId30" Type="http://schemas.openxmlformats.org/officeDocument/2006/relationships/hyperlink" Target="https://www.poolhost.com/profootball/playerstats/1676654" TargetMode="External"/><Relationship Id="rId35" Type="http://schemas.openxmlformats.org/officeDocument/2006/relationships/hyperlink" Target="https://www.poolhost.com/profootball/playerstats/1673248" TargetMode="External"/><Relationship Id="rId56" Type="http://schemas.openxmlformats.org/officeDocument/2006/relationships/hyperlink" Target="https://www.poolhost.com/profootball/playerstats/1665979" TargetMode="External"/><Relationship Id="rId77" Type="http://schemas.openxmlformats.org/officeDocument/2006/relationships/hyperlink" Target="https://www.poolhost.com/profootball/playerstats/1695716" TargetMode="External"/><Relationship Id="rId100" Type="http://schemas.openxmlformats.org/officeDocument/2006/relationships/hyperlink" Target="https://www.poolhost.com/profootball/playerstats/1722286" TargetMode="External"/><Relationship Id="rId105" Type="http://schemas.openxmlformats.org/officeDocument/2006/relationships/hyperlink" Target="https://www.poolhost.com/profootball/playerstats/1657024" TargetMode="External"/><Relationship Id="rId126" Type="http://schemas.openxmlformats.org/officeDocument/2006/relationships/hyperlink" Target="https://www.poolhost.com/profootball/playerstats/1687892" TargetMode="External"/><Relationship Id="rId147" Type="http://schemas.openxmlformats.org/officeDocument/2006/relationships/hyperlink" Target="https://www.poolhost.com/profootball/playerstats/1711169" TargetMode="External"/><Relationship Id="rId8" Type="http://schemas.openxmlformats.org/officeDocument/2006/relationships/hyperlink" Target="https://www.poolhost.com/profootball/playerstats/1661981" TargetMode="External"/><Relationship Id="rId51" Type="http://schemas.openxmlformats.org/officeDocument/2006/relationships/hyperlink" Target="https://www.poolhost.com/profootball/playerstats/1665614" TargetMode="External"/><Relationship Id="rId72" Type="http://schemas.openxmlformats.org/officeDocument/2006/relationships/hyperlink" Target="https://www.poolhost.com/profootball/playerstats/1681946" TargetMode="External"/><Relationship Id="rId93" Type="http://schemas.openxmlformats.org/officeDocument/2006/relationships/hyperlink" Target="https://www.poolhost.com/profootball/playerstats/1708805" TargetMode="External"/><Relationship Id="rId98" Type="http://schemas.openxmlformats.org/officeDocument/2006/relationships/hyperlink" Target="https://www.poolhost.com/profootball/playerstats/1668687" TargetMode="External"/><Relationship Id="rId121" Type="http://schemas.openxmlformats.org/officeDocument/2006/relationships/hyperlink" Target="https://www.poolhost.com/profootball/playerstats/1732411" TargetMode="External"/><Relationship Id="rId142" Type="http://schemas.openxmlformats.org/officeDocument/2006/relationships/hyperlink" Target="https://www.poolhost.com/profootball/playerstats/1732953" TargetMode="External"/><Relationship Id="rId163" Type="http://schemas.openxmlformats.org/officeDocument/2006/relationships/hyperlink" Target="https://www.poolhost.com/profootball/playerstats/1663101" TargetMode="External"/><Relationship Id="rId3" Type="http://schemas.openxmlformats.org/officeDocument/2006/relationships/hyperlink" Target="https://www.poolhost.com/profootball/playerstats/1705029" TargetMode="External"/><Relationship Id="rId25" Type="http://schemas.openxmlformats.org/officeDocument/2006/relationships/hyperlink" Target="https://www.poolhost.com/profootball/playerstats/1694017" TargetMode="External"/><Relationship Id="rId46" Type="http://schemas.openxmlformats.org/officeDocument/2006/relationships/hyperlink" Target="https://www.poolhost.com/profootball/playerstats/1703435" TargetMode="External"/><Relationship Id="rId67" Type="http://schemas.openxmlformats.org/officeDocument/2006/relationships/hyperlink" Target="https://www.poolhost.com/profootball/playerstats/1730676" TargetMode="External"/><Relationship Id="rId116" Type="http://schemas.openxmlformats.org/officeDocument/2006/relationships/hyperlink" Target="https://www.poolhost.com/profootball/playerstats/1709781" TargetMode="External"/><Relationship Id="rId137" Type="http://schemas.openxmlformats.org/officeDocument/2006/relationships/hyperlink" Target="https://www.poolhost.com/profootball/playerstats/1677049" TargetMode="External"/><Relationship Id="rId158" Type="http://schemas.openxmlformats.org/officeDocument/2006/relationships/hyperlink" Target="https://www.poolhost.com/profootball/playerstats/1708505" TargetMode="External"/><Relationship Id="rId20" Type="http://schemas.openxmlformats.org/officeDocument/2006/relationships/hyperlink" Target="https://www.poolhost.com/profootball/playerstats/1699810" TargetMode="External"/><Relationship Id="rId41" Type="http://schemas.openxmlformats.org/officeDocument/2006/relationships/hyperlink" Target="https://www.poolhost.com/profootball/playerstats/1712780" TargetMode="External"/><Relationship Id="rId62" Type="http://schemas.openxmlformats.org/officeDocument/2006/relationships/hyperlink" Target="https://www.poolhost.com/profootball/playerstats/1659846" TargetMode="External"/><Relationship Id="rId83" Type="http://schemas.openxmlformats.org/officeDocument/2006/relationships/hyperlink" Target="https://www.poolhost.com/profootball/playerstats/1694354" TargetMode="External"/><Relationship Id="rId88" Type="http://schemas.openxmlformats.org/officeDocument/2006/relationships/hyperlink" Target="https://www.poolhost.com/profootball/playerstats/1666092" TargetMode="External"/><Relationship Id="rId111" Type="http://schemas.openxmlformats.org/officeDocument/2006/relationships/hyperlink" Target="https://www.poolhost.com/profootball/playerstats/1732254" TargetMode="External"/><Relationship Id="rId132" Type="http://schemas.openxmlformats.org/officeDocument/2006/relationships/hyperlink" Target="https://www.poolhost.com/profootball/playerstats/1665910" TargetMode="External"/><Relationship Id="rId153" Type="http://schemas.openxmlformats.org/officeDocument/2006/relationships/hyperlink" Target="https://www.poolhost.com/profootball/playerstats/1729617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oolhost.com/profootball/playerstats/1669212" TargetMode="External"/><Relationship Id="rId117" Type="http://schemas.openxmlformats.org/officeDocument/2006/relationships/hyperlink" Target="https://www.poolhost.com/profootball/playerstats/1682523" TargetMode="External"/><Relationship Id="rId21" Type="http://schemas.openxmlformats.org/officeDocument/2006/relationships/hyperlink" Target="https://www.poolhost.com/profootball/playerstats/1722233" TargetMode="External"/><Relationship Id="rId42" Type="http://schemas.openxmlformats.org/officeDocument/2006/relationships/hyperlink" Target="https://www.poolhost.com/profootball/playerstats/1665810" TargetMode="External"/><Relationship Id="rId47" Type="http://schemas.openxmlformats.org/officeDocument/2006/relationships/hyperlink" Target="https://www.poolhost.com/profootball/playerstats/1666027" TargetMode="External"/><Relationship Id="rId63" Type="http://schemas.openxmlformats.org/officeDocument/2006/relationships/hyperlink" Target="https://www.poolhost.com/profootball/playerstats/1681958" TargetMode="External"/><Relationship Id="rId68" Type="http://schemas.openxmlformats.org/officeDocument/2006/relationships/hyperlink" Target="https://www.poolhost.com/profootball/playerstats/1729314" TargetMode="External"/><Relationship Id="rId84" Type="http://schemas.openxmlformats.org/officeDocument/2006/relationships/hyperlink" Target="https://www.poolhost.com/profootball/playerstats/1679009" TargetMode="External"/><Relationship Id="rId89" Type="http://schemas.openxmlformats.org/officeDocument/2006/relationships/hyperlink" Target="https://www.poolhost.com/profootball/playerstats/1684266" TargetMode="External"/><Relationship Id="rId112" Type="http://schemas.openxmlformats.org/officeDocument/2006/relationships/hyperlink" Target="https://www.poolhost.com/profootball/playerstats/1654485" TargetMode="External"/><Relationship Id="rId133" Type="http://schemas.openxmlformats.org/officeDocument/2006/relationships/hyperlink" Target="https://www.poolhost.com/profootball/playerstats/1681946" TargetMode="External"/><Relationship Id="rId138" Type="http://schemas.openxmlformats.org/officeDocument/2006/relationships/hyperlink" Target="https://www.poolhost.com/profootball/playerstats/1666449" TargetMode="External"/><Relationship Id="rId154" Type="http://schemas.openxmlformats.org/officeDocument/2006/relationships/hyperlink" Target="https://www.poolhost.com/profootball/playerstats/1681897" TargetMode="External"/><Relationship Id="rId159" Type="http://schemas.openxmlformats.org/officeDocument/2006/relationships/hyperlink" Target="https://www.poolhost.com/profootball/playerstats/1708505" TargetMode="External"/><Relationship Id="rId16" Type="http://schemas.openxmlformats.org/officeDocument/2006/relationships/hyperlink" Target="https://www.poolhost.com/profootball/playerstats/1654484" TargetMode="External"/><Relationship Id="rId107" Type="http://schemas.openxmlformats.org/officeDocument/2006/relationships/hyperlink" Target="https://www.poolhost.com/profootball/playerstats/1705029" TargetMode="External"/><Relationship Id="rId11" Type="http://schemas.openxmlformats.org/officeDocument/2006/relationships/hyperlink" Target="https://www.poolhost.com/profootball/playerstats/1726326" TargetMode="External"/><Relationship Id="rId32" Type="http://schemas.openxmlformats.org/officeDocument/2006/relationships/hyperlink" Target="https://www.poolhost.com/profootball/playerstats/1656464" TargetMode="External"/><Relationship Id="rId37" Type="http://schemas.openxmlformats.org/officeDocument/2006/relationships/hyperlink" Target="https://www.poolhost.com/profootball/playerstats/1695492" TargetMode="External"/><Relationship Id="rId53" Type="http://schemas.openxmlformats.org/officeDocument/2006/relationships/hyperlink" Target="https://www.poolhost.com/profootball/playerstats/1665614" TargetMode="External"/><Relationship Id="rId58" Type="http://schemas.openxmlformats.org/officeDocument/2006/relationships/hyperlink" Target="https://www.poolhost.com/profootball/playerstats/1731690" TargetMode="External"/><Relationship Id="rId74" Type="http://schemas.openxmlformats.org/officeDocument/2006/relationships/hyperlink" Target="https://www.poolhost.com/profootball/playerstats/1708805" TargetMode="External"/><Relationship Id="rId79" Type="http://schemas.openxmlformats.org/officeDocument/2006/relationships/hyperlink" Target="https://www.poolhost.com/profootball/playerstats/1699810" TargetMode="External"/><Relationship Id="rId102" Type="http://schemas.openxmlformats.org/officeDocument/2006/relationships/hyperlink" Target="https://www.poolhost.com/profootball/playerstats/1732290" TargetMode="External"/><Relationship Id="rId123" Type="http://schemas.openxmlformats.org/officeDocument/2006/relationships/hyperlink" Target="https://www.poolhost.com/profootball/playerstats/1705272" TargetMode="External"/><Relationship Id="rId128" Type="http://schemas.openxmlformats.org/officeDocument/2006/relationships/hyperlink" Target="https://www.poolhost.com/profootball/playerstats/1657241" TargetMode="External"/><Relationship Id="rId144" Type="http://schemas.openxmlformats.org/officeDocument/2006/relationships/hyperlink" Target="https://www.poolhost.com/profootball/playerstats/1703401" TargetMode="External"/><Relationship Id="rId149" Type="http://schemas.openxmlformats.org/officeDocument/2006/relationships/hyperlink" Target="https://www.poolhost.com/profootball/playerstats/1702170" TargetMode="External"/><Relationship Id="rId5" Type="http://schemas.openxmlformats.org/officeDocument/2006/relationships/hyperlink" Target="https://www.poolhost.com/profootball/playerstats/1670025" TargetMode="External"/><Relationship Id="rId90" Type="http://schemas.openxmlformats.org/officeDocument/2006/relationships/hyperlink" Target="https://www.poolhost.com/profootball/playerstats/1655488" TargetMode="External"/><Relationship Id="rId95" Type="http://schemas.openxmlformats.org/officeDocument/2006/relationships/hyperlink" Target="https://www.poolhost.com/profootball/playerstats/1699660" TargetMode="External"/><Relationship Id="rId160" Type="http://schemas.openxmlformats.org/officeDocument/2006/relationships/hyperlink" Target="https://www.poolhost.com/profootball/playerstats/1654649" TargetMode="External"/><Relationship Id="rId22" Type="http://schemas.openxmlformats.org/officeDocument/2006/relationships/hyperlink" Target="https://www.poolhost.com/profootball/playerstats/1674086" TargetMode="External"/><Relationship Id="rId27" Type="http://schemas.openxmlformats.org/officeDocument/2006/relationships/hyperlink" Target="https://www.poolhost.com/profootball/playerstats/1660811" TargetMode="External"/><Relationship Id="rId43" Type="http://schemas.openxmlformats.org/officeDocument/2006/relationships/hyperlink" Target="https://www.poolhost.com/profootball/playerstats/1679300" TargetMode="External"/><Relationship Id="rId48" Type="http://schemas.openxmlformats.org/officeDocument/2006/relationships/hyperlink" Target="https://www.poolhost.com/profootball/playerstats/1673222" TargetMode="External"/><Relationship Id="rId64" Type="http://schemas.openxmlformats.org/officeDocument/2006/relationships/hyperlink" Target="https://www.poolhost.com/profootball/playerstats/1732411" TargetMode="External"/><Relationship Id="rId69" Type="http://schemas.openxmlformats.org/officeDocument/2006/relationships/hyperlink" Target="https://www.poolhost.com/profootball/playerstats/1662306" TargetMode="External"/><Relationship Id="rId113" Type="http://schemas.openxmlformats.org/officeDocument/2006/relationships/hyperlink" Target="https://www.poolhost.com/profootball/playerstats/1701354" TargetMode="External"/><Relationship Id="rId118" Type="http://schemas.openxmlformats.org/officeDocument/2006/relationships/hyperlink" Target="https://www.poolhost.com/profootball/playerstats/1671837" TargetMode="External"/><Relationship Id="rId134" Type="http://schemas.openxmlformats.org/officeDocument/2006/relationships/hyperlink" Target="https://www.poolhost.com/profootball/playerstats/1678377" TargetMode="External"/><Relationship Id="rId139" Type="http://schemas.openxmlformats.org/officeDocument/2006/relationships/hyperlink" Target="https://www.poolhost.com/profootball/playerstats/1694017" TargetMode="External"/><Relationship Id="rId80" Type="http://schemas.openxmlformats.org/officeDocument/2006/relationships/hyperlink" Target="https://www.poolhost.com/profootball/playerstats/1655447" TargetMode="External"/><Relationship Id="rId85" Type="http://schemas.openxmlformats.org/officeDocument/2006/relationships/hyperlink" Target="https://www.poolhost.com/profootball/playerstats/1659558" TargetMode="External"/><Relationship Id="rId150" Type="http://schemas.openxmlformats.org/officeDocument/2006/relationships/hyperlink" Target="https://www.poolhost.com/profootball/playerstats/1654448" TargetMode="External"/><Relationship Id="rId155" Type="http://schemas.openxmlformats.org/officeDocument/2006/relationships/hyperlink" Target="https://www.poolhost.com/profootball/playerstats/1663641" TargetMode="External"/><Relationship Id="rId12" Type="http://schemas.openxmlformats.org/officeDocument/2006/relationships/hyperlink" Target="https://www.poolhost.com/profootball/playerstats/1668682" TargetMode="External"/><Relationship Id="rId17" Type="http://schemas.openxmlformats.org/officeDocument/2006/relationships/hyperlink" Target="https://www.poolhost.com/profootball/playerstats/1695716" TargetMode="External"/><Relationship Id="rId33" Type="http://schemas.openxmlformats.org/officeDocument/2006/relationships/hyperlink" Target="https://www.poolhost.com/profootball/playerstats/1654500" TargetMode="External"/><Relationship Id="rId38" Type="http://schemas.openxmlformats.org/officeDocument/2006/relationships/hyperlink" Target="https://www.poolhost.com/profootball/playerstats/1705049" TargetMode="External"/><Relationship Id="rId59" Type="http://schemas.openxmlformats.org/officeDocument/2006/relationships/hyperlink" Target="https://www.poolhost.com/profootball/playerstats/1654603" TargetMode="External"/><Relationship Id="rId103" Type="http://schemas.openxmlformats.org/officeDocument/2006/relationships/hyperlink" Target="https://www.poolhost.com/profootball/playerstats/1732254" TargetMode="External"/><Relationship Id="rId108" Type="http://schemas.openxmlformats.org/officeDocument/2006/relationships/hyperlink" Target="https://www.poolhost.com/profootball/playerstats/1728782" TargetMode="External"/><Relationship Id="rId124" Type="http://schemas.openxmlformats.org/officeDocument/2006/relationships/hyperlink" Target="https://www.poolhost.com/profootball/playerstats/1684290" TargetMode="External"/><Relationship Id="rId129" Type="http://schemas.openxmlformats.org/officeDocument/2006/relationships/hyperlink" Target="https://www.poolhost.com/profootball/playerstats/1672298" TargetMode="External"/><Relationship Id="rId54" Type="http://schemas.openxmlformats.org/officeDocument/2006/relationships/hyperlink" Target="https://www.poolhost.com/profootball/playerstats/1659846" TargetMode="External"/><Relationship Id="rId70" Type="http://schemas.openxmlformats.org/officeDocument/2006/relationships/hyperlink" Target="https://www.poolhost.com/profootball/playerstats/1678632" TargetMode="External"/><Relationship Id="rId75" Type="http://schemas.openxmlformats.org/officeDocument/2006/relationships/hyperlink" Target="https://www.poolhost.com/profootball/playerstats/1657214" TargetMode="External"/><Relationship Id="rId91" Type="http://schemas.openxmlformats.org/officeDocument/2006/relationships/hyperlink" Target="https://www.poolhost.com/profootball/playerstats/1679156" TargetMode="External"/><Relationship Id="rId96" Type="http://schemas.openxmlformats.org/officeDocument/2006/relationships/hyperlink" Target="https://www.poolhost.com/profootball/playerstats/1729491" TargetMode="External"/><Relationship Id="rId140" Type="http://schemas.openxmlformats.org/officeDocument/2006/relationships/hyperlink" Target="https://www.poolhost.com/profootball/playerstats/1669323" TargetMode="External"/><Relationship Id="rId145" Type="http://schemas.openxmlformats.org/officeDocument/2006/relationships/hyperlink" Target="https://www.poolhost.com/profootball/playerstats/1654634" TargetMode="External"/><Relationship Id="rId161" Type="http://schemas.openxmlformats.org/officeDocument/2006/relationships/hyperlink" Target="https://www.poolhost.com/profootball/playerstats/1732996" TargetMode="External"/><Relationship Id="rId1" Type="http://schemas.openxmlformats.org/officeDocument/2006/relationships/hyperlink" Target="https://www.poolhost.com/profootball/playerstats/1704294" TargetMode="External"/><Relationship Id="rId6" Type="http://schemas.openxmlformats.org/officeDocument/2006/relationships/hyperlink" Target="https://www.poolhost.com/profootball/playerstats/1665910" TargetMode="External"/><Relationship Id="rId15" Type="http://schemas.openxmlformats.org/officeDocument/2006/relationships/hyperlink" Target="https://www.poolhost.com/profootball/playerstats/1683531" TargetMode="External"/><Relationship Id="rId23" Type="http://schemas.openxmlformats.org/officeDocument/2006/relationships/hyperlink" Target="https://www.poolhost.com/profootball/playerstats/1721307" TargetMode="External"/><Relationship Id="rId28" Type="http://schemas.openxmlformats.org/officeDocument/2006/relationships/hyperlink" Target="https://www.poolhost.com/profootball/playerstats/1658459" TargetMode="External"/><Relationship Id="rId36" Type="http://schemas.openxmlformats.org/officeDocument/2006/relationships/hyperlink" Target="https://www.poolhost.com/profootball/playerstats/1685256" TargetMode="External"/><Relationship Id="rId49" Type="http://schemas.openxmlformats.org/officeDocument/2006/relationships/hyperlink" Target="https://www.poolhost.com/profootball/playerstats/1726632" TargetMode="External"/><Relationship Id="rId57" Type="http://schemas.openxmlformats.org/officeDocument/2006/relationships/hyperlink" Target="https://www.poolhost.com/profootball/playerstats/1703435" TargetMode="External"/><Relationship Id="rId106" Type="http://schemas.openxmlformats.org/officeDocument/2006/relationships/hyperlink" Target="https://www.poolhost.com/profootball/playerstats/1733218" TargetMode="External"/><Relationship Id="rId114" Type="http://schemas.openxmlformats.org/officeDocument/2006/relationships/hyperlink" Target="https://www.poolhost.com/profootball/playerstats/1691673" TargetMode="External"/><Relationship Id="rId119" Type="http://schemas.openxmlformats.org/officeDocument/2006/relationships/hyperlink" Target="https://www.poolhost.com/profootball/playerstats/1666473" TargetMode="External"/><Relationship Id="rId127" Type="http://schemas.openxmlformats.org/officeDocument/2006/relationships/hyperlink" Target="https://www.poolhost.com/profootball/playerstats/1709552" TargetMode="External"/><Relationship Id="rId10" Type="http://schemas.openxmlformats.org/officeDocument/2006/relationships/hyperlink" Target="https://www.poolhost.com/profootball/playerstats/1700155" TargetMode="External"/><Relationship Id="rId31" Type="http://schemas.openxmlformats.org/officeDocument/2006/relationships/hyperlink" Target="https://www.poolhost.com/profootball/playerstats/1671748" TargetMode="External"/><Relationship Id="rId44" Type="http://schemas.openxmlformats.org/officeDocument/2006/relationships/hyperlink" Target="https://www.poolhost.com/profootball/playerstats/1673761" TargetMode="External"/><Relationship Id="rId52" Type="http://schemas.openxmlformats.org/officeDocument/2006/relationships/hyperlink" Target="https://www.poolhost.com/profootball/playerstats/1657103" TargetMode="External"/><Relationship Id="rId60" Type="http://schemas.openxmlformats.org/officeDocument/2006/relationships/hyperlink" Target="https://www.poolhost.com/profootball/playerstats/1657801" TargetMode="External"/><Relationship Id="rId65" Type="http://schemas.openxmlformats.org/officeDocument/2006/relationships/hyperlink" Target="https://www.poolhost.com/profootball/playerstats/1705346" TargetMode="External"/><Relationship Id="rId73" Type="http://schemas.openxmlformats.org/officeDocument/2006/relationships/hyperlink" Target="https://www.poolhost.com/profootball/playerstats/1724223" TargetMode="External"/><Relationship Id="rId78" Type="http://schemas.openxmlformats.org/officeDocument/2006/relationships/hyperlink" Target="https://www.poolhost.com/profootball/playerstats/1701053" TargetMode="External"/><Relationship Id="rId81" Type="http://schemas.openxmlformats.org/officeDocument/2006/relationships/hyperlink" Target="https://www.poolhost.com/profootball/playerstats/1674022" TargetMode="External"/><Relationship Id="rId86" Type="http://schemas.openxmlformats.org/officeDocument/2006/relationships/hyperlink" Target="https://www.poolhost.com/profootball/playerstats/1666034" TargetMode="External"/><Relationship Id="rId94" Type="http://schemas.openxmlformats.org/officeDocument/2006/relationships/hyperlink" Target="https://www.poolhost.com/profootball/playerstats/1708312" TargetMode="External"/><Relationship Id="rId99" Type="http://schemas.openxmlformats.org/officeDocument/2006/relationships/hyperlink" Target="https://www.poolhost.com/profootball/playerstats/1715552" TargetMode="External"/><Relationship Id="rId101" Type="http://schemas.openxmlformats.org/officeDocument/2006/relationships/hyperlink" Target="https://www.poolhost.com/profootball/playerstats/1667866" TargetMode="External"/><Relationship Id="rId122" Type="http://schemas.openxmlformats.org/officeDocument/2006/relationships/hyperlink" Target="https://www.poolhost.com/profootball/playerstats/1687892" TargetMode="External"/><Relationship Id="rId130" Type="http://schemas.openxmlformats.org/officeDocument/2006/relationships/hyperlink" Target="https://www.poolhost.com/profootball/playerstats/1731780" TargetMode="External"/><Relationship Id="rId135" Type="http://schemas.openxmlformats.org/officeDocument/2006/relationships/hyperlink" Target="https://www.poolhost.com/profootball/playerstats/1676125" TargetMode="External"/><Relationship Id="rId143" Type="http://schemas.openxmlformats.org/officeDocument/2006/relationships/hyperlink" Target="https://www.poolhost.com/profootball/playerstats/1723980" TargetMode="External"/><Relationship Id="rId148" Type="http://schemas.openxmlformats.org/officeDocument/2006/relationships/hyperlink" Target="https://www.poolhost.com/profootball/playerstats/1649341" TargetMode="External"/><Relationship Id="rId151" Type="http://schemas.openxmlformats.org/officeDocument/2006/relationships/hyperlink" Target="https://www.poolhost.com/profootball/playerstats/1727170" TargetMode="External"/><Relationship Id="rId156" Type="http://schemas.openxmlformats.org/officeDocument/2006/relationships/hyperlink" Target="https://www.poolhost.com/profootball/playerstats/1722206" TargetMode="External"/><Relationship Id="rId4" Type="http://schemas.openxmlformats.org/officeDocument/2006/relationships/hyperlink" Target="https://www.poolhost.com/profootball/playerstats/1649126" TargetMode="External"/><Relationship Id="rId9" Type="http://schemas.openxmlformats.org/officeDocument/2006/relationships/hyperlink" Target="https://www.poolhost.com/profootball/playerstats/1654623" TargetMode="External"/><Relationship Id="rId13" Type="http://schemas.openxmlformats.org/officeDocument/2006/relationships/hyperlink" Target="https://www.poolhost.com/profootball/playerstats/1731755" TargetMode="External"/><Relationship Id="rId18" Type="http://schemas.openxmlformats.org/officeDocument/2006/relationships/hyperlink" Target="https://www.poolhost.com/profootball/playerstats/1735486" TargetMode="External"/><Relationship Id="rId39" Type="http://schemas.openxmlformats.org/officeDocument/2006/relationships/hyperlink" Target="https://www.poolhost.com/profootball/playerstats/1672167" TargetMode="External"/><Relationship Id="rId109" Type="http://schemas.openxmlformats.org/officeDocument/2006/relationships/hyperlink" Target="https://www.poolhost.com/profootball/playerstats/1663101" TargetMode="External"/><Relationship Id="rId34" Type="http://schemas.openxmlformats.org/officeDocument/2006/relationships/hyperlink" Target="https://www.poolhost.com/profootball/playerstats/1686915" TargetMode="External"/><Relationship Id="rId50" Type="http://schemas.openxmlformats.org/officeDocument/2006/relationships/hyperlink" Target="https://www.poolhost.com/profootball/playerstats/1677370" TargetMode="External"/><Relationship Id="rId55" Type="http://schemas.openxmlformats.org/officeDocument/2006/relationships/hyperlink" Target="https://www.poolhost.com/profootball/playerstats/1659875" TargetMode="External"/><Relationship Id="rId76" Type="http://schemas.openxmlformats.org/officeDocument/2006/relationships/hyperlink" Target="https://www.poolhost.com/profootball/playerstats/1662606" TargetMode="External"/><Relationship Id="rId97" Type="http://schemas.openxmlformats.org/officeDocument/2006/relationships/hyperlink" Target="https://www.poolhost.com/profootball/playerstats/1732953" TargetMode="External"/><Relationship Id="rId104" Type="http://schemas.openxmlformats.org/officeDocument/2006/relationships/hyperlink" Target="https://www.poolhost.com/profootball/playerstats/1711169" TargetMode="External"/><Relationship Id="rId120" Type="http://schemas.openxmlformats.org/officeDocument/2006/relationships/hyperlink" Target="https://www.poolhost.com/profootball/playerstats/1676654" TargetMode="External"/><Relationship Id="rId125" Type="http://schemas.openxmlformats.org/officeDocument/2006/relationships/hyperlink" Target="https://www.poolhost.com/profootball/playerstats/1670484" TargetMode="External"/><Relationship Id="rId141" Type="http://schemas.openxmlformats.org/officeDocument/2006/relationships/hyperlink" Target="https://www.poolhost.com/profootball/playerstats/1673234" TargetMode="External"/><Relationship Id="rId146" Type="http://schemas.openxmlformats.org/officeDocument/2006/relationships/hyperlink" Target="https://www.poolhost.com/profootball/playerstats/1741250" TargetMode="External"/><Relationship Id="rId7" Type="http://schemas.openxmlformats.org/officeDocument/2006/relationships/hyperlink" Target="https://www.poolhost.com/profootball/playerstats/1673248" TargetMode="External"/><Relationship Id="rId71" Type="http://schemas.openxmlformats.org/officeDocument/2006/relationships/hyperlink" Target="https://www.poolhost.com/profootball/playerstats/1727817" TargetMode="External"/><Relationship Id="rId92" Type="http://schemas.openxmlformats.org/officeDocument/2006/relationships/hyperlink" Target="https://www.poolhost.com/profootball/playerstats/1729617" TargetMode="External"/><Relationship Id="rId162" Type="http://schemas.openxmlformats.org/officeDocument/2006/relationships/hyperlink" Target="https://www.poolhost.com/profootball/playerstats/1666092" TargetMode="External"/><Relationship Id="rId2" Type="http://schemas.openxmlformats.org/officeDocument/2006/relationships/hyperlink" Target="https://www.poolhost.com/profootball/playerstats/1728787" TargetMode="External"/><Relationship Id="rId29" Type="http://schemas.openxmlformats.org/officeDocument/2006/relationships/hyperlink" Target="https://www.poolhost.com/profootball/playerstats/1734172" TargetMode="External"/><Relationship Id="rId24" Type="http://schemas.openxmlformats.org/officeDocument/2006/relationships/hyperlink" Target="https://www.poolhost.com/profootball/playerstats/1696717" TargetMode="External"/><Relationship Id="rId40" Type="http://schemas.openxmlformats.org/officeDocument/2006/relationships/hyperlink" Target="https://www.poolhost.com/profootball/playerstats/1694354" TargetMode="External"/><Relationship Id="rId45" Type="http://schemas.openxmlformats.org/officeDocument/2006/relationships/hyperlink" Target="https://www.poolhost.com/profootball/playerstats/1709781" TargetMode="External"/><Relationship Id="rId66" Type="http://schemas.openxmlformats.org/officeDocument/2006/relationships/hyperlink" Target="https://www.poolhost.com/profootball/playerstats/1734363" TargetMode="External"/><Relationship Id="rId87" Type="http://schemas.openxmlformats.org/officeDocument/2006/relationships/hyperlink" Target="https://www.poolhost.com/profootball/playerstats/1679667" TargetMode="External"/><Relationship Id="rId110" Type="http://schemas.openxmlformats.org/officeDocument/2006/relationships/hyperlink" Target="https://www.poolhost.com/profootball/playerstats/1661711" TargetMode="External"/><Relationship Id="rId115" Type="http://schemas.openxmlformats.org/officeDocument/2006/relationships/hyperlink" Target="https://www.poolhost.com/profootball/playerstats/1707988" TargetMode="External"/><Relationship Id="rId131" Type="http://schemas.openxmlformats.org/officeDocument/2006/relationships/hyperlink" Target="https://www.poolhost.com/profootball/playerstats/1702449" TargetMode="External"/><Relationship Id="rId136" Type="http://schemas.openxmlformats.org/officeDocument/2006/relationships/hyperlink" Target="https://www.poolhost.com/profootball/playerstats/1704026" TargetMode="External"/><Relationship Id="rId157" Type="http://schemas.openxmlformats.org/officeDocument/2006/relationships/hyperlink" Target="https://www.poolhost.com/profootball/playerstats/1730347" TargetMode="External"/><Relationship Id="rId61" Type="http://schemas.openxmlformats.org/officeDocument/2006/relationships/hyperlink" Target="https://www.poolhost.com/profootball/playerstats/1729262" TargetMode="External"/><Relationship Id="rId82" Type="http://schemas.openxmlformats.org/officeDocument/2006/relationships/hyperlink" Target="https://www.poolhost.com/profootball/playerstats/1730676" TargetMode="External"/><Relationship Id="rId152" Type="http://schemas.openxmlformats.org/officeDocument/2006/relationships/hyperlink" Target="https://www.poolhost.com/profootball/playerstats/1661981" TargetMode="External"/><Relationship Id="rId19" Type="http://schemas.openxmlformats.org/officeDocument/2006/relationships/hyperlink" Target="https://www.poolhost.com/profootball/playerstats/1730270" TargetMode="External"/><Relationship Id="rId14" Type="http://schemas.openxmlformats.org/officeDocument/2006/relationships/hyperlink" Target="https://www.poolhost.com/profootball/playerstats/1725535" TargetMode="External"/><Relationship Id="rId30" Type="http://schemas.openxmlformats.org/officeDocument/2006/relationships/hyperlink" Target="https://www.poolhost.com/profootball/playerstats/1668461" TargetMode="External"/><Relationship Id="rId35" Type="http://schemas.openxmlformats.org/officeDocument/2006/relationships/hyperlink" Target="https://www.poolhost.com/profootball/playerstats/1682884" TargetMode="External"/><Relationship Id="rId56" Type="http://schemas.openxmlformats.org/officeDocument/2006/relationships/hyperlink" Target="https://www.poolhost.com/profootball/playerstats/1684491" TargetMode="External"/><Relationship Id="rId77" Type="http://schemas.openxmlformats.org/officeDocument/2006/relationships/hyperlink" Target="https://www.poolhost.com/profootball/playerstats/1712780" TargetMode="External"/><Relationship Id="rId100" Type="http://schemas.openxmlformats.org/officeDocument/2006/relationships/hyperlink" Target="https://www.poolhost.com/profootball/playerstats/1667376" TargetMode="External"/><Relationship Id="rId105" Type="http://schemas.openxmlformats.org/officeDocument/2006/relationships/hyperlink" Target="https://www.poolhost.com/profootball/playerstats/1721401" TargetMode="External"/><Relationship Id="rId126" Type="http://schemas.openxmlformats.org/officeDocument/2006/relationships/hyperlink" Target="https://www.poolhost.com/profootball/playerstats/1722286" TargetMode="External"/><Relationship Id="rId147" Type="http://schemas.openxmlformats.org/officeDocument/2006/relationships/hyperlink" Target="https://www.poolhost.com/profootball/playerstats/1732788" TargetMode="External"/><Relationship Id="rId8" Type="http://schemas.openxmlformats.org/officeDocument/2006/relationships/hyperlink" Target="https://www.poolhost.com/profootball/playerstats/1668687" TargetMode="External"/><Relationship Id="rId51" Type="http://schemas.openxmlformats.org/officeDocument/2006/relationships/hyperlink" Target="https://www.poolhost.com/profootball/playerstats/1657583" TargetMode="External"/><Relationship Id="rId72" Type="http://schemas.openxmlformats.org/officeDocument/2006/relationships/hyperlink" Target="https://www.poolhost.com/profootball/playerstats/1665979" TargetMode="External"/><Relationship Id="rId93" Type="http://schemas.openxmlformats.org/officeDocument/2006/relationships/hyperlink" Target="https://www.poolhost.com/profootball/playerstats/1699295" TargetMode="External"/><Relationship Id="rId98" Type="http://schemas.openxmlformats.org/officeDocument/2006/relationships/hyperlink" Target="https://www.poolhost.com/profootball/playerstats/1654791" TargetMode="External"/><Relationship Id="rId121" Type="http://schemas.openxmlformats.org/officeDocument/2006/relationships/hyperlink" Target="https://www.poolhost.com/profootball/playerstats/1667937" TargetMode="External"/><Relationship Id="rId142" Type="http://schemas.openxmlformats.org/officeDocument/2006/relationships/hyperlink" Target="https://www.poolhost.com/profootball/playerstats/1680041" TargetMode="External"/><Relationship Id="rId163" Type="http://schemas.openxmlformats.org/officeDocument/2006/relationships/hyperlink" Target="https://www.poolhost.com/profootball/playerstats/1733415" TargetMode="External"/><Relationship Id="rId3" Type="http://schemas.openxmlformats.org/officeDocument/2006/relationships/hyperlink" Target="https://www.poolhost.com/profootball/playerstats/1685066" TargetMode="External"/><Relationship Id="rId25" Type="http://schemas.openxmlformats.org/officeDocument/2006/relationships/hyperlink" Target="https://www.poolhost.com/profootball/playerstats/1686727" TargetMode="External"/><Relationship Id="rId46" Type="http://schemas.openxmlformats.org/officeDocument/2006/relationships/hyperlink" Target="https://www.poolhost.com/profootball/playerstats/1670226" TargetMode="External"/><Relationship Id="rId67" Type="http://schemas.openxmlformats.org/officeDocument/2006/relationships/hyperlink" Target="https://www.poolhost.com/profootball/playerstats/1697912" TargetMode="External"/><Relationship Id="rId116" Type="http://schemas.openxmlformats.org/officeDocument/2006/relationships/hyperlink" Target="https://www.poolhost.com/profootball/playerstats/1708448" TargetMode="External"/><Relationship Id="rId137" Type="http://schemas.openxmlformats.org/officeDocument/2006/relationships/hyperlink" Target="https://www.poolhost.com/profootball/playerstats/1677049" TargetMode="External"/><Relationship Id="rId158" Type="http://schemas.openxmlformats.org/officeDocument/2006/relationships/hyperlink" Target="https://www.poolhost.com/profootball/playerstats/1700157" TargetMode="External"/><Relationship Id="rId20" Type="http://schemas.openxmlformats.org/officeDocument/2006/relationships/hyperlink" Target="https://www.poolhost.com/profootball/playerstats/1678667" TargetMode="External"/><Relationship Id="rId41" Type="http://schemas.openxmlformats.org/officeDocument/2006/relationships/hyperlink" Target="https://www.poolhost.com/profootball/playerstats/1668628" TargetMode="External"/><Relationship Id="rId62" Type="http://schemas.openxmlformats.org/officeDocument/2006/relationships/hyperlink" Target="https://www.poolhost.com/profootball/playerstats/1669305" TargetMode="External"/><Relationship Id="rId83" Type="http://schemas.openxmlformats.org/officeDocument/2006/relationships/hyperlink" Target="https://www.poolhost.com/profootball/playerstats/1683389" TargetMode="External"/><Relationship Id="rId88" Type="http://schemas.openxmlformats.org/officeDocument/2006/relationships/hyperlink" Target="https://www.poolhost.com/profootball/playerstats/1665631" TargetMode="External"/><Relationship Id="rId111" Type="http://schemas.openxmlformats.org/officeDocument/2006/relationships/hyperlink" Target="https://www.poolhost.com/profootball/playerstats/1705249" TargetMode="External"/><Relationship Id="rId132" Type="http://schemas.openxmlformats.org/officeDocument/2006/relationships/hyperlink" Target="https://www.poolhost.com/profootball/playerstats/1657024" TargetMode="External"/><Relationship Id="rId153" Type="http://schemas.openxmlformats.org/officeDocument/2006/relationships/hyperlink" Target="https://www.poolhost.com/profootball/playerstats/1732851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oolhost.com/profootball/playerstats/1668628" TargetMode="External"/><Relationship Id="rId117" Type="http://schemas.openxmlformats.org/officeDocument/2006/relationships/hyperlink" Target="https://www.poolhost.com/profootball/playerstats/1684266" TargetMode="External"/><Relationship Id="rId21" Type="http://schemas.openxmlformats.org/officeDocument/2006/relationships/hyperlink" Target="https://www.poolhost.com/profootball/playerstats/1730270" TargetMode="External"/><Relationship Id="rId42" Type="http://schemas.openxmlformats.org/officeDocument/2006/relationships/hyperlink" Target="https://www.poolhost.com/profootball/playerstats/1701053" TargetMode="External"/><Relationship Id="rId47" Type="http://schemas.openxmlformats.org/officeDocument/2006/relationships/hyperlink" Target="https://www.poolhost.com/profootball/playerstats/1708312" TargetMode="External"/><Relationship Id="rId63" Type="http://schemas.openxmlformats.org/officeDocument/2006/relationships/hyperlink" Target="https://www.poolhost.com/profootball/playerstats/1673248" TargetMode="External"/><Relationship Id="rId68" Type="http://schemas.openxmlformats.org/officeDocument/2006/relationships/hyperlink" Target="https://www.poolhost.com/profootball/playerstats/1697912" TargetMode="External"/><Relationship Id="rId84" Type="http://schemas.openxmlformats.org/officeDocument/2006/relationships/hyperlink" Target="https://www.poolhost.com/profootball/playerstats/1699810" TargetMode="External"/><Relationship Id="rId89" Type="http://schemas.openxmlformats.org/officeDocument/2006/relationships/hyperlink" Target="https://www.poolhost.com/profootball/playerstats/1659558" TargetMode="External"/><Relationship Id="rId112" Type="http://schemas.openxmlformats.org/officeDocument/2006/relationships/hyperlink" Target="https://www.poolhost.com/profootball/playerstats/1695492" TargetMode="External"/><Relationship Id="rId133" Type="http://schemas.openxmlformats.org/officeDocument/2006/relationships/hyperlink" Target="https://www.poolhost.com/profootball/playerstats/1733218" TargetMode="External"/><Relationship Id="rId138" Type="http://schemas.openxmlformats.org/officeDocument/2006/relationships/hyperlink" Target="https://www.poolhost.com/profootball/playerstats/1694017" TargetMode="External"/><Relationship Id="rId154" Type="http://schemas.openxmlformats.org/officeDocument/2006/relationships/hyperlink" Target="https://www.poolhost.com/profootball/playerstats/1679009" TargetMode="External"/><Relationship Id="rId159" Type="http://schemas.openxmlformats.org/officeDocument/2006/relationships/hyperlink" Target="https://www.poolhost.com/profootball/playerstats/1666092" TargetMode="External"/><Relationship Id="rId16" Type="http://schemas.openxmlformats.org/officeDocument/2006/relationships/hyperlink" Target="https://www.poolhost.com/profootball/playerstats/1695716" TargetMode="External"/><Relationship Id="rId107" Type="http://schemas.openxmlformats.org/officeDocument/2006/relationships/hyperlink" Target="https://www.poolhost.com/profootball/playerstats/1729262" TargetMode="External"/><Relationship Id="rId11" Type="http://schemas.openxmlformats.org/officeDocument/2006/relationships/hyperlink" Target="https://www.poolhost.com/profootball/playerstats/1654603" TargetMode="External"/><Relationship Id="rId32" Type="http://schemas.openxmlformats.org/officeDocument/2006/relationships/hyperlink" Target="https://www.poolhost.com/profootball/playerstats/1707988" TargetMode="External"/><Relationship Id="rId37" Type="http://schemas.openxmlformats.org/officeDocument/2006/relationships/hyperlink" Target="https://www.poolhost.com/profootball/playerstats/1731690" TargetMode="External"/><Relationship Id="rId53" Type="http://schemas.openxmlformats.org/officeDocument/2006/relationships/hyperlink" Target="https://www.poolhost.com/profootball/playerstats/1729491" TargetMode="External"/><Relationship Id="rId58" Type="http://schemas.openxmlformats.org/officeDocument/2006/relationships/hyperlink" Target="https://www.poolhost.com/profootball/playerstats/1700155" TargetMode="External"/><Relationship Id="rId74" Type="http://schemas.openxmlformats.org/officeDocument/2006/relationships/hyperlink" Target="https://www.poolhost.com/profootball/playerstats/1684290" TargetMode="External"/><Relationship Id="rId79" Type="http://schemas.openxmlformats.org/officeDocument/2006/relationships/hyperlink" Target="https://www.poolhost.com/profootball/playerstats/1734363" TargetMode="External"/><Relationship Id="rId102" Type="http://schemas.openxmlformats.org/officeDocument/2006/relationships/hyperlink" Target="https://www.poolhost.com/profootball/playerstats/1686727" TargetMode="External"/><Relationship Id="rId123" Type="http://schemas.openxmlformats.org/officeDocument/2006/relationships/hyperlink" Target="https://www.poolhost.com/profootball/playerstats/1732411" TargetMode="External"/><Relationship Id="rId128" Type="http://schemas.openxmlformats.org/officeDocument/2006/relationships/hyperlink" Target="https://www.poolhost.com/profootball/playerstats/1667866" TargetMode="External"/><Relationship Id="rId144" Type="http://schemas.openxmlformats.org/officeDocument/2006/relationships/hyperlink" Target="https://www.poolhost.com/profootball/playerstats/1727170" TargetMode="External"/><Relationship Id="rId149" Type="http://schemas.openxmlformats.org/officeDocument/2006/relationships/hyperlink" Target="https://www.poolhost.com/profootball/playerstats/1732851" TargetMode="External"/><Relationship Id="rId5" Type="http://schemas.openxmlformats.org/officeDocument/2006/relationships/hyperlink" Target="https://www.poolhost.com/profootball/playerstats/1711169" TargetMode="External"/><Relationship Id="rId90" Type="http://schemas.openxmlformats.org/officeDocument/2006/relationships/hyperlink" Target="https://www.poolhost.com/profootball/playerstats/1659875" TargetMode="External"/><Relationship Id="rId95" Type="http://schemas.openxmlformats.org/officeDocument/2006/relationships/hyperlink" Target="https://www.poolhost.com/profootball/playerstats/1696717" TargetMode="External"/><Relationship Id="rId160" Type="http://schemas.openxmlformats.org/officeDocument/2006/relationships/hyperlink" Target="https://www.poolhost.com/profootball/playerstats/1672298" TargetMode="External"/><Relationship Id="rId22" Type="http://schemas.openxmlformats.org/officeDocument/2006/relationships/hyperlink" Target="https://www.poolhost.com/profootball/playerstats/1670025" TargetMode="External"/><Relationship Id="rId27" Type="http://schemas.openxmlformats.org/officeDocument/2006/relationships/hyperlink" Target="https://www.poolhost.com/profootball/playerstats/1731780" TargetMode="External"/><Relationship Id="rId43" Type="http://schemas.openxmlformats.org/officeDocument/2006/relationships/hyperlink" Target="https://www.poolhost.com/profootball/playerstats/1694354" TargetMode="External"/><Relationship Id="rId48" Type="http://schemas.openxmlformats.org/officeDocument/2006/relationships/hyperlink" Target="https://www.poolhost.com/profootball/playerstats/1679667" TargetMode="External"/><Relationship Id="rId64" Type="http://schemas.openxmlformats.org/officeDocument/2006/relationships/hyperlink" Target="https://www.poolhost.com/profootball/playerstats/1676125" TargetMode="External"/><Relationship Id="rId69" Type="http://schemas.openxmlformats.org/officeDocument/2006/relationships/hyperlink" Target="https://www.poolhost.com/profootball/playerstats/1666034" TargetMode="External"/><Relationship Id="rId113" Type="http://schemas.openxmlformats.org/officeDocument/2006/relationships/hyperlink" Target="https://www.poolhost.com/profootball/playerstats/1681897" TargetMode="External"/><Relationship Id="rId118" Type="http://schemas.openxmlformats.org/officeDocument/2006/relationships/hyperlink" Target="https://www.poolhost.com/profootball/playerstats/1705272" TargetMode="External"/><Relationship Id="rId134" Type="http://schemas.openxmlformats.org/officeDocument/2006/relationships/hyperlink" Target="https://www.poolhost.com/profootball/playerstats/1667376" TargetMode="External"/><Relationship Id="rId139" Type="http://schemas.openxmlformats.org/officeDocument/2006/relationships/hyperlink" Target="https://www.poolhost.com/profootball/playerstats/1662306" TargetMode="External"/><Relationship Id="rId80" Type="http://schemas.openxmlformats.org/officeDocument/2006/relationships/hyperlink" Target="https://www.poolhost.com/profootball/playerstats/1708805" TargetMode="External"/><Relationship Id="rId85" Type="http://schemas.openxmlformats.org/officeDocument/2006/relationships/hyperlink" Target="https://www.poolhost.com/profootball/playerstats/1670484" TargetMode="External"/><Relationship Id="rId150" Type="http://schemas.openxmlformats.org/officeDocument/2006/relationships/hyperlink" Target="https://www.poolhost.com/profootball/playerstats/1665614" TargetMode="External"/><Relationship Id="rId155" Type="http://schemas.openxmlformats.org/officeDocument/2006/relationships/hyperlink" Target="https://www.poolhost.com/profootball/playerstats/1661711" TargetMode="External"/><Relationship Id="rId12" Type="http://schemas.openxmlformats.org/officeDocument/2006/relationships/hyperlink" Target="https://www.poolhost.com/profootball/playerstats/1654791" TargetMode="External"/><Relationship Id="rId17" Type="http://schemas.openxmlformats.org/officeDocument/2006/relationships/hyperlink" Target="https://www.poolhost.com/profootball/playerstats/1655447" TargetMode="External"/><Relationship Id="rId33" Type="http://schemas.openxmlformats.org/officeDocument/2006/relationships/hyperlink" Target="https://www.poolhost.com/profootball/playerstats/1699660" TargetMode="External"/><Relationship Id="rId38" Type="http://schemas.openxmlformats.org/officeDocument/2006/relationships/hyperlink" Target="https://www.poolhost.com/profootball/playerstats/1727817" TargetMode="External"/><Relationship Id="rId59" Type="http://schemas.openxmlformats.org/officeDocument/2006/relationships/hyperlink" Target="https://www.poolhost.com/profootball/playerstats/1677370" TargetMode="External"/><Relationship Id="rId103" Type="http://schemas.openxmlformats.org/officeDocument/2006/relationships/hyperlink" Target="https://www.poolhost.com/profootball/playerstats/1654448" TargetMode="External"/><Relationship Id="rId108" Type="http://schemas.openxmlformats.org/officeDocument/2006/relationships/hyperlink" Target="https://www.poolhost.com/profootball/playerstats/1701354" TargetMode="External"/><Relationship Id="rId124" Type="http://schemas.openxmlformats.org/officeDocument/2006/relationships/hyperlink" Target="https://www.poolhost.com/profootball/playerstats/1708448" TargetMode="External"/><Relationship Id="rId129" Type="http://schemas.openxmlformats.org/officeDocument/2006/relationships/hyperlink" Target="https://www.poolhost.com/profootball/playerstats/1686915" TargetMode="External"/><Relationship Id="rId54" Type="http://schemas.openxmlformats.org/officeDocument/2006/relationships/hyperlink" Target="https://www.poolhost.com/profootball/playerstats/1673234" TargetMode="External"/><Relationship Id="rId70" Type="http://schemas.openxmlformats.org/officeDocument/2006/relationships/hyperlink" Target="https://www.poolhost.com/profootball/playerstats/1666027" TargetMode="External"/><Relationship Id="rId75" Type="http://schemas.openxmlformats.org/officeDocument/2006/relationships/hyperlink" Target="https://www.poolhost.com/profootball/playerstats/1671748" TargetMode="External"/><Relationship Id="rId91" Type="http://schemas.openxmlformats.org/officeDocument/2006/relationships/hyperlink" Target="https://www.poolhost.com/profootball/playerstats/1703401" TargetMode="External"/><Relationship Id="rId96" Type="http://schemas.openxmlformats.org/officeDocument/2006/relationships/hyperlink" Target="https://www.poolhost.com/profootball/playerstats/1732996" TargetMode="External"/><Relationship Id="rId140" Type="http://schemas.openxmlformats.org/officeDocument/2006/relationships/hyperlink" Target="https://www.poolhost.com/profootball/playerstats/1732290" TargetMode="External"/><Relationship Id="rId145" Type="http://schemas.openxmlformats.org/officeDocument/2006/relationships/hyperlink" Target="https://www.poolhost.com/profootball/playerstats/1705346" TargetMode="External"/><Relationship Id="rId161" Type="http://schemas.openxmlformats.org/officeDocument/2006/relationships/hyperlink" Target="https://www.poolhost.com/profootball/playerstats/1734172" TargetMode="External"/><Relationship Id="rId1" Type="http://schemas.openxmlformats.org/officeDocument/2006/relationships/hyperlink" Target="https://www.poolhost.com/profootball/playerstats/1730676" TargetMode="External"/><Relationship Id="rId6" Type="http://schemas.openxmlformats.org/officeDocument/2006/relationships/hyperlink" Target="https://www.poolhost.com/profootball/playerstats/1702170" TargetMode="External"/><Relationship Id="rId15" Type="http://schemas.openxmlformats.org/officeDocument/2006/relationships/hyperlink" Target="https://www.poolhost.com/profootball/playerstats/1681958" TargetMode="External"/><Relationship Id="rId23" Type="http://schemas.openxmlformats.org/officeDocument/2006/relationships/hyperlink" Target="https://www.poolhost.com/profootball/playerstats/1732953" TargetMode="External"/><Relationship Id="rId28" Type="http://schemas.openxmlformats.org/officeDocument/2006/relationships/hyperlink" Target="https://www.poolhost.com/profootball/playerstats/1665910" TargetMode="External"/><Relationship Id="rId36" Type="http://schemas.openxmlformats.org/officeDocument/2006/relationships/hyperlink" Target="https://www.poolhost.com/profootball/playerstats/1732254" TargetMode="External"/><Relationship Id="rId49" Type="http://schemas.openxmlformats.org/officeDocument/2006/relationships/hyperlink" Target="https://www.poolhost.com/profootball/playerstats/1712780" TargetMode="External"/><Relationship Id="rId57" Type="http://schemas.openxmlformats.org/officeDocument/2006/relationships/hyperlink" Target="https://www.poolhost.com/profootball/playerstats/1722286" TargetMode="External"/><Relationship Id="rId106" Type="http://schemas.openxmlformats.org/officeDocument/2006/relationships/hyperlink" Target="https://www.poolhost.com/profootball/playerstats/1663101" TargetMode="External"/><Relationship Id="rId114" Type="http://schemas.openxmlformats.org/officeDocument/2006/relationships/hyperlink" Target="https://www.poolhost.com/profootball/playerstats/1741250" TargetMode="External"/><Relationship Id="rId119" Type="http://schemas.openxmlformats.org/officeDocument/2006/relationships/hyperlink" Target="https://www.poolhost.com/profootball/playerstats/1674086" TargetMode="External"/><Relationship Id="rId127" Type="http://schemas.openxmlformats.org/officeDocument/2006/relationships/hyperlink" Target="https://www.poolhost.com/profootball/playerstats/1654485" TargetMode="External"/><Relationship Id="rId10" Type="http://schemas.openxmlformats.org/officeDocument/2006/relationships/hyperlink" Target="https://www.poolhost.com/profootball/playerstats/1654634" TargetMode="External"/><Relationship Id="rId31" Type="http://schemas.openxmlformats.org/officeDocument/2006/relationships/hyperlink" Target="https://www.poolhost.com/profootball/playerstats/1656464" TargetMode="External"/><Relationship Id="rId44" Type="http://schemas.openxmlformats.org/officeDocument/2006/relationships/hyperlink" Target="https://www.poolhost.com/profootball/playerstats/1682523" TargetMode="External"/><Relationship Id="rId52" Type="http://schemas.openxmlformats.org/officeDocument/2006/relationships/hyperlink" Target="https://www.poolhost.com/profootball/playerstats/1709552" TargetMode="External"/><Relationship Id="rId60" Type="http://schemas.openxmlformats.org/officeDocument/2006/relationships/hyperlink" Target="https://www.poolhost.com/profootball/playerstats/1721307" TargetMode="External"/><Relationship Id="rId65" Type="http://schemas.openxmlformats.org/officeDocument/2006/relationships/hyperlink" Target="https://www.poolhost.com/profootball/playerstats/1654500" TargetMode="External"/><Relationship Id="rId73" Type="http://schemas.openxmlformats.org/officeDocument/2006/relationships/hyperlink" Target="https://www.poolhost.com/profootball/playerstats/1649341" TargetMode="External"/><Relationship Id="rId78" Type="http://schemas.openxmlformats.org/officeDocument/2006/relationships/hyperlink" Target="https://www.poolhost.com/profootball/playerstats/1679300" TargetMode="External"/><Relationship Id="rId81" Type="http://schemas.openxmlformats.org/officeDocument/2006/relationships/hyperlink" Target="https://www.poolhost.com/profootball/playerstats/1662606" TargetMode="External"/><Relationship Id="rId86" Type="http://schemas.openxmlformats.org/officeDocument/2006/relationships/hyperlink" Target="https://www.poolhost.com/profootball/playerstats/1657214" TargetMode="External"/><Relationship Id="rId94" Type="http://schemas.openxmlformats.org/officeDocument/2006/relationships/hyperlink" Target="https://www.poolhost.com/profootball/playerstats/1681946" TargetMode="External"/><Relationship Id="rId99" Type="http://schemas.openxmlformats.org/officeDocument/2006/relationships/hyperlink" Target="https://www.poolhost.com/profootball/playerstats/1661981" TargetMode="External"/><Relationship Id="rId101" Type="http://schemas.openxmlformats.org/officeDocument/2006/relationships/hyperlink" Target="https://www.poolhost.com/profootball/playerstats/1715552" TargetMode="External"/><Relationship Id="rId122" Type="http://schemas.openxmlformats.org/officeDocument/2006/relationships/hyperlink" Target="https://www.poolhost.com/profootball/playerstats/1660811" TargetMode="External"/><Relationship Id="rId130" Type="http://schemas.openxmlformats.org/officeDocument/2006/relationships/hyperlink" Target="https://www.poolhost.com/profootball/playerstats/1735486" TargetMode="External"/><Relationship Id="rId135" Type="http://schemas.openxmlformats.org/officeDocument/2006/relationships/hyperlink" Target="https://www.poolhost.com/profootball/playerstats/1665810" TargetMode="External"/><Relationship Id="rId143" Type="http://schemas.openxmlformats.org/officeDocument/2006/relationships/hyperlink" Target="https://www.poolhost.com/profootball/playerstats/1708505" TargetMode="External"/><Relationship Id="rId148" Type="http://schemas.openxmlformats.org/officeDocument/2006/relationships/hyperlink" Target="https://www.poolhost.com/profootball/playerstats/1657241" TargetMode="External"/><Relationship Id="rId151" Type="http://schemas.openxmlformats.org/officeDocument/2006/relationships/hyperlink" Target="https://www.poolhost.com/profootball/playerstats/1665631" TargetMode="External"/><Relationship Id="rId156" Type="http://schemas.openxmlformats.org/officeDocument/2006/relationships/hyperlink" Target="https://www.poolhost.com/profootball/playerstats/1726632" TargetMode="External"/><Relationship Id="rId4" Type="http://schemas.openxmlformats.org/officeDocument/2006/relationships/hyperlink" Target="https://www.poolhost.com/profootball/playerstats/1670226" TargetMode="External"/><Relationship Id="rId9" Type="http://schemas.openxmlformats.org/officeDocument/2006/relationships/hyperlink" Target="https://www.poolhost.com/profootball/playerstats/1700157" TargetMode="External"/><Relationship Id="rId13" Type="http://schemas.openxmlformats.org/officeDocument/2006/relationships/hyperlink" Target="https://www.poolhost.com/profootball/playerstats/1678377" TargetMode="External"/><Relationship Id="rId18" Type="http://schemas.openxmlformats.org/officeDocument/2006/relationships/hyperlink" Target="https://www.poolhost.com/profootball/playerstats/1724223" TargetMode="External"/><Relationship Id="rId39" Type="http://schemas.openxmlformats.org/officeDocument/2006/relationships/hyperlink" Target="https://www.poolhost.com/profootball/playerstats/1669323" TargetMode="External"/><Relationship Id="rId109" Type="http://schemas.openxmlformats.org/officeDocument/2006/relationships/hyperlink" Target="https://www.poolhost.com/profootball/playerstats/1667937" TargetMode="External"/><Relationship Id="rId34" Type="http://schemas.openxmlformats.org/officeDocument/2006/relationships/hyperlink" Target="https://www.poolhost.com/profootball/playerstats/1730347" TargetMode="External"/><Relationship Id="rId50" Type="http://schemas.openxmlformats.org/officeDocument/2006/relationships/hyperlink" Target="https://www.poolhost.com/profootball/playerstats/1705049" TargetMode="External"/><Relationship Id="rId55" Type="http://schemas.openxmlformats.org/officeDocument/2006/relationships/hyperlink" Target="https://www.poolhost.com/profootball/playerstats/1702449" TargetMode="External"/><Relationship Id="rId76" Type="http://schemas.openxmlformats.org/officeDocument/2006/relationships/hyperlink" Target="https://www.poolhost.com/profootball/playerstats/1666449" TargetMode="External"/><Relationship Id="rId97" Type="http://schemas.openxmlformats.org/officeDocument/2006/relationships/hyperlink" Target="https://www.poolhost.com/profootball/playerstats/1666473" TargetMode="External"/><Relationship Id="rId104" Type="http://schemas.openxmlformats.org/officeDocument/2006/relationships/hyperlink" Target="https://www.poolhost.com/profootball/playerstats/1728787" TargetMode="External"/><Relationship Id="rId120" Type="http://schemas.openxmlformats.org/officeDocument/2006/relationships/hyperlink" Target="https://www.poolhost.com/profootball/playerstats/1676654" TargetMode="External"/><Relationship Id="rId125" Type="http://schemas.openxmlformats.org/officeDocument/2006/relationships/hyperlink" Target="https://www.poolhost.com/profootball/playerstats/1682884" TargetMode="External"/><Relationship Id="rId141" Type="http://schemas.openxmlformats.org/officeDocument/2006/relationships/hyperlink" Target="https://www.poolhost.com/profootball/playerstats/1657024" TargetMode="External"/><Relationship Id="rId146" Type="http://schemas.openxmlformats.org/officeDocument/2006/relationships/hyperlink" Target="https://www.poolhost.com/profootball/playerstats/1729617" TargetMode="External"/><Relationship Id="rId7" Type="http://schemas.openxmlformats.org/officeDocument/2006/relationships/hyperlink" Target="https://www.poolhost.com/profootball/playerstats/1699295" TargetMode="External"/><Relationship Id="rId71" Type="http://schemas.openxmlformats.org/officeDocument/2006/relationships/hyperlink" Target="https://www.poolhost.com/profootball/playerstats/1705029" TargetMode="External"/><Relationship Id="rId92" Type="http://schemas.openxmlformats.org/officeDocument/2006/relationships/hyperlink" Target="https://www.poolhost.com/profootball/playerstats/1680041" TargetMode="External"/><Relationship Id="rId162" Type="http://schemas.openxmlformats.org/officeDocument/2006/relationships/hyperlink" Target="https://www.poolhost.com/profootball/playerstats/1733415" TargetMode="External"/><Relationship Id="rId2" Type="http://schemas.openxmlformats.org/officeDocument/2006/relationships/hyperlink" Target="https://www.poolhost.com/profootball/playerstats/1654623" TargetMode="External"/><Relationship Id="rId29" Type="http://schemas.openxmlformats.org/officeDocument/2006/relationships/hyperlink" Target="https://www.poolhost.com/profootball/playerstats/1687892" TargetMode="External"/><Relationship Id="rId24" Type="http://schemas.openxmlformats.org/officeDocument/2006/relationships/hyperlink" Target="https://www.poolhost.com/profootball/playerstats/1658459" TargetMode="External"/><Relationship Id="rId40" Type="http://schemas.openxmlformats.org/officeDocument/2006/relationships/hyperlink" Target="https://www.poolhost.com/profootball/playerstats/1668687" TargetMode="External"/><Relationship Id="rId45" Type="http://schemas.openxmlformats.org/officeDocument/2006/relationships/hyperlink" Target="https://www.poolhost.com/profootball/playerstats/1655488" TargetMode="External"/><Relationship Id="rId66" Type="http://schemas.openxmlformats.org/officeDocument/2006/relationships/hyperlink" Target="https://www.poolhost.com/profootball/playerstats/1728782" TargetMode="External"/><Relationship Id="rId87" Type="http://schemas.openxmlformats.org/officeDocument/2006/relationships/hyperlink" Target="https://www.poolhost.com/profootball/playerstats/1669212" TargetMode="External"/><Relationship Id="rId110" Type="http://schemas.openxmlformats.org/officeDocument/2006/relationships/hyperlink" Target="https://www.poolhost.com/profootball/playerstats/1663641" TargetMode="External"/><Relationship Id="rId115" Type="http://schemas.openxmlformats.org/officeDocument/2006/relationships/hyperlink" Target="https://www.poolhost.com/profootball/playerstats/1704026" TargetMode="External"/><Relationship Id="rId131" Type="http://schemas.openxmlformats.org/officeDocument/2006/relationships/hyperlink" Target="https://www.poolhost.com/profootball/playerstats/1654484" TargetMode="External"/><Relationship Id="rId136" Type="http://schemas.openxmlformats.org/officeDocument/2006/relationships/hyperlink" Target="https://www.poolhost.com/profootball/playerstats/1731755" TargetMode="External"/><Relationship Id="rId157" Type="http://schemas.openxmlformats.org/officeDocument/2006/relationships/hyperlink" Target="https://www.poolhost.com/profootball/playerstats/1685256" TargetMode="External"/><Relationship Id="rId61" Type="http://schemas.openxmlformats.org/officeDocument/2006/relationships/hyperlink" Target="https://www.poolhost.com/profootball/playerstats/1726326" TargetMode="External"/><Relationship Id="rId82" Type="http://schemas.openxmlformats.org/officeDocument/2006/relationships/hyperlink" Target="https://www.poolhost.com/profootball/playerstats/1691673" TargetMode="External"/><Relationship Id="rId152" Type="http://schemas.openxmlformats.org/officeDocument/2006/relationships/hyperlink" Target="https://www.poolhost.com/profootball/playerstats/1679156" TargetMode="External"/><Relationship Id="rId19" Type="http://schemas.openxmlformats.org/officeDocument/2006/relationships/hyperlink" Target="https://www.poolhost.com/profootball/playerstats/1669305" TargetMode="External"/><Relationship Id="rId14" Type="http://schemas.openxmlformats.org/officeDocument/2006/relationships/hyperlink" Target="https://www.poolhost.com/profootball/playerstats/1668461" TargetMode="External"/><Relationship Id="rId30" Type="http://schemas.openxmlformats.org/officeDocument/2006/relationships/hyperlink" Target="https://www.poolhost.com/profootball/playerstats/1722206" TargetMode="External"/><Relationship Id="rId35" Type="http://schemas.openxmlformats.org/officeDocument/2006/relationships/hyperlink" Target="https://www.poolhost.com/profootball/playerstats/1674022" TargetMode="External"/><Relationship Id="rId56" Type="http://schemas.openxmlformats.org/officeDocument/2006/relationships/hyperlink" Target="https://www.poolhost.com/profootball/playerstats/1703435" TargetMode="External"/><Relationship Id="rId77" Type="http://schemas.openxmlformats.org/officeDocument/2006/relationships/hyperlink" Target="https://www.poolhost.com/profootball/playerstats/1729314" TargetMode="External"/><Relationship Id="rId100" Type="http://schemas.openxmlformats.org/officeDocument/2006/relationships/hyperlink" Target="https://www.poolhost.com/profootball/playerstats/1685066" TargetMode="External"/><Relationship Id="rId105" Type="http://schemas.openxmlformats.org/officeDocument/2006/relationships/hyperlink" Target="https://www.poolhost.com/profootball/playerstats/1723980" TargetMode="External"/><Relationship Id="rId126" Type="http://schemas.openxmlformats.org/officeDocument/2006/relationships/hyperlink" Target="https://www.poolhost.com/profootball/playerstats/1704294" TargetMode="External"/><Relationship Id="rId147" Type="http://schemas.openxmlformats.org/officeDocument/2006/relationships/hyperlink" Target="https://www.poolhost.com/profootball/playerstats/1673761" TargetMode="External"/><Relationship Id="rId8" Type="http://schemas.openxmlformats.org/officeDocument/2006/relationships/hyperlink" Target="https://www.poolhost.com/profootball/playerstats/1732788" TargetMode="External"/><Relationship Id="rId51" Type="http://schemas.openxmlformats.org/officeDocument/2006/relationships/hyperlink" Target="https://www.poolhost.com/profootball/playerstats/1705249" TargetMode="External"/><Relationship Id="rId72" Type="http://schemas.openxmlformats.org/officeDocument/2006/relationships/hyperlink" Target="https://www.poolhost.com/profootball/playerstats/1709781" TargetMode="External"/><Relationship Id="rId93" Type="http://schemas.openxmlformats.org/officeDocument/2006/relationships/hyperlink" Target="https://www.poolhost.com/profootball/playerstats/1683531" TargetMode="External"/><Relationship Id="rId98" Type="http://schemas.openxmlformats.org/officeDocument/2006/relationships/hyperlink" Target="https://www.poolhost.com/profootball/playerstats/1672167" TargetMode="External"/><Relationship Id="rId121" Type="http://schemas.openxmlformats.org/officeDocument/2006/relationships/hyperlink" Target="https://www.poolhost.com/profootball/playerstats/1657103" TargetMode="External"/><Relationship Id="rId142" Type="http://schemas.openxmlformats.org/officeDocument/2006/relationships/hyperlink" Target="https://www.poolhost.com/profootball/playerstats/1659846" TargetMode="External"/><Relationship Id="rId163" Type="http://schemas.openxmlformats.org/officeDocument/2006/relationships/hyperlink" Target="https://www.poolhost.com/profootball/playerstats/1654649" TargetMode="External"/><Relationship Id="rId3" Type="http://schemas.openxmlformats.org/officeDocument/2006/relationships/hyperlink" Target="https://www.poolhost.com/profootball/playerstats/1668682" TargetMode="External"/><Relationship Id="rId25" Type="http://schemas.openxmlformats.org/officeDocument/2006/relationships/hyperlink" Target="https://www.poolhost.com/profootball/playerstats/1678632" TargetMode="External"/><Relationship Id="rId46" Type="http://schemas.openxmlformats.org/officeDocument/2006/relationships/hyperlink" Target="https://www.poolhost.com/profootball/playerstats/1678667" TargetMode="External"/><Relationship Id="rId67" Type="http://schemas.openxmlformats.org/officeDocument/2006/relationships/hyperlink" Target="https://www.poolhost.com/profootball/playerstats/1649126" TargetMode="External"/><Relationship Id="rId116" Type="http://schemas.openxmlformats.org/officeDocument/2006/relationships/hyperlink" Target="https://www.poolhost.com/profootball/playerstats/1677049" TargetMode="External"/><Relationship Id="rId137" Type="http://schemas.openxmlformats.org/officeDocument/2006/relationships/hyperlink" Target="https://www.poolhost.com/profootball/playerstats/1671837" TargetMode="External"/><Relationship Id="rId158" Type="http://schemas.openxmlformats.org/officeDocument/2006/relationships/hyperlink" Target="https://www.poolhost.com/profootball/playerstats/1683389" TargetMode="External"/><Relationship Id="rId20" Type="http://schemas.openxmlformats.org/officeDocument/2006/relationships/hyperlink" Target="https://www.poolhost.com/profootball/playerstats/1722233" TargetMode="External"/><Relationship Id="rId41" Type="http://schemas.openxmlformats.org/officeDocument/2006/relationships/hyperlink" Target="https://www.poolhost.com/profootball/playerstats/1657583" TargetMode="External"/><Relationship Id="rId62" Type="http://schemas.openxmlformats.org/officeDocument/2006/relationships/hyperlink" Target="https://www.poolhost.com/profootball/playerstats/1657801" TargetMode="External"/><Relationship Id="rId83" Type="http://schemas.openxmlformats.org/officeDocument/2006/relationships/hyperlink" Target="https://www.poolhost.com/profootball/playerstats/1684491" TargetMode="External"/><Relationship Id="rId88" Type="http://schemas.openxmlformats.org/officeDocument/2006/relationships/hyperlink" Target="https://www.poolhost.com/profootball/playerstats/1673222" TargetMode="External"/><Relationship Id="rId111" Type="http://schemas.openxmlformats.org/officeDocument/2006/relationships/hyperlink" Target="https://www.poolhost.com/profootball/playerstats/1665979" TargetMode="External"/><Relationship Id="rId132" Type="http://schemas.openxmlformats.org/officeDocument/2006/relationships/hyperlink" Target="https://www.poolhost.com/profootball/playerstats/1725535" TargetMode="External"/><Relationship Id="rId153" Type="http://schemas.openxmlformats.org/officeDocument/2006/relationships/hyperlink" Target="https://www.poolhost.com/profootball/playerstats/1721401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oolhost.com/profootball/playerstats/1730676" TargetMode="External"/><Relationship Id="rId117" Type="http://schemas.openxmlformats.org/officeDocument/2006/relationships/hyperlink" Target="https://www.poolhost.com/profootball/playerstats/1657214" TargetMode="External"/><Relationship Id="rId21" Type="http://schemas.openxmlformats.org/officeDocument/2006/relationships/hyperlink" Target="https://www.poolhost.com/profootball/playerstats/1673248" TargetMode="External"/><Relationship Id="rId42" Type="http://schemas.openxmlformats.org/officeDocument/2006/relationships/hyperlink" Target="https://www.poolhost.com/profootball/playerstats/1666092" TargetMode="External"/><Relationship Id="rId47" Type="http://schemas.openxmlformats.org/officeDocument/2006/relationships/hyperlink" Target="https://www.poolhost.com/profootball/playerstats/1701354" TargetMode="External"/><Relationship Id="rId63" Type="http://schemas.openxmlformats.org/officeDocument/2006/relationships/hyperlink" Target="https://www.poolhost.com/profootball/playerstats/1657241" TargetMode="External"/><Relationship Id="rId68" Type="http://schemas.openxmlformats.org/officeDocument/2006/relationships/hyperlink" Target="https://www.poolhost.com/profootball/playerstats/1654500" TargetMode="External"/><Relationship Id="rId84" Type="http://schemas.openxmlformats.org/officeDocument/2006/relationships/hyperlink" Target="https://www.poolhost.com/profootball/playerstats/1656464" TargetMode="External"/><Relationship Id="rId89" Type="http://schemas.openxmlformats.org/officeDocument/2006/relationships/hyperlink" Target="https://www.poolhost.com/profootball/playerstats/1670226" TargetMode="External"/><Relationship Id="rId112" Type="http://schemas.openxmlformats.org/officeDocument/2006/relationships/hyperlink" Target="https://www.poolhost.com/profootball/playerstats/1649341" TargetMode="External"/><Relationship Id="rId133" Type="http://schemas.openxmlformats.org/officeDocument/2006/relationships/hyperlink" Target="https://www.poolhost.com/profootball/playerstats/1733415" TargetMode="External"/><Relationship Id="rId138" Type="http://schemas.openxmlformats.org/officeDocument/2006/relationships/hyperlink" Target="https://www.poolhost.com/profootball/playerstats/1670484" TargetMode="External"/><Relationship Id="rId154" Type="http://schemas.openxmlformats.org/officeDocument/2006/relationships/hyperlink" Target="https://www.poolhost.com/profootball/playerstats/1654634" TargetMode="External"/><Relationship Id="rId159" Type="http://schemas.openxmlformats.org/officeDocument/2006/relationships/hyperlink" Target="https://www.poolhost.com/profootball/playerstats/1728782" TargetMode="External"/><Relationship Id="rId16" Type="http://schemas.openxmlformats.org/officeDocument/2006/relationships/hyperlink" Target="https://www.poolhost.com/profootball/playerstats/1705049" TargetMode="External"/><Relationship Id="rId107" Type="http://schemas.openxmlformats.org/officeDocument/2006/relationships/hyperlink" Target="https://www.poolhost.com/profootball/playerstats/1679156" TargetMode="External"/><Relationship Id="rId11" Type="http://schemas.openxmlformats.org/officeDocument/2006/relationships/hyperlink" Target="https://www.poolhost.com/profootball/playerstats/1726326" TargetMode="External"/><Relationship Id="rId32" Type="http://schemas.openxmlformats.org/officeDocument/2006/relationships/hyperlink" Target="https://www.poolhost.com/profootball/playerstats/1691673" TargetMode="External"/><Relationship Id="rId37" Type="http://schemas.openxmlformats.org/officeDocument/2006/relationships/hyperlink" Target="https://www.poolhost.com/profootball/playerstats/1695492" TargetMode="External"/><Relationship Id="rId53" Type="http://schemas.openxmlformats.org/officeDocument/2006/relationships/hyperlink" Target="https://www.poolhost.com/profootball/playerstats/1695716" TargetMode="External"/><Relationship Id="rId58" Type="http://schemas.openxmlformats.org/officeDocument/2006/relationships/hyperlink" Target="https://www.poolhost.com/profootball/playerstats/1703401" TargetMode="External"/><Relationship Id="rId74" Type="http://schemas.openxmlformats.org/officeDocument/2006/relationships/hyperlink" Target="https://www.poolhost.com/profootball/playerstats/1668682" TargetMode="External"/><Relationship Id="rId79" Type="http://schemas.openxmlformats.org/officeDocument/2006/relationships/hyperlink" Target="https://www.poolhost.com/profootball/playerstats/1708805" TargetMode="External"/><Relationship Id="rId102" Type="http://schemas.openxmlformats.org/officeDocument/2006/relationships/hyperlink" Target="https://www.poolhost.com/profootball/playerstats/1666034" TargetMode="External"/><Relationship Id="rId123" Type="http://schemas.openxmlformats.org/officeDocument/2006/relationships/hyperlink" Target="https://www.poolhost.com/profootball/playerstats/1727170" TargetMode="External"/><Relationship Id="rId128" Type="http://schemas.openxmlformats.org/officeDocument/2006/relationships/hyperlink" Target="https://www.poolhost.com/profootball/playerstats/1722286" TargetMode="External"/><Relationship Id="rId144" Type="http://schemas.openxmlformats.org/officeDocument/2006/relationships/hyperlink" Target="https://www.poolhost.com/profootball/playerstats/1711169" TargetMode="External"/><Relationship Id="rId149" Type="http://schemas.openxmlformats.org/officeDocument/2006/relationships/hyperlink" Target="https://www.poolhost.com/profootball/playerstats/1662306" TargetMode="External"/><Relationship Id="rId5" Type="http://schemas.openxmlformats.org/officeDocument/2006/relationships/hyperlink" Target="https://www.poolhost.com/profootball/playerstats/1703435" TargetMode="External"/><Relationship Id="rId90" Type="http://schemas.openxmlformats.org/officeDocument/2006/relationships/hyperlink" Target="https://www.poolhost.com/profootball/playerstats/1654623" TargetMode="External"/><Relationship Id="rId95" Type="http://schemas.openxmlformats.org/officeDocument/2006/relationships/hyperlink" Target="https://www.poolhost.com/profootball/playerstats/1696717" TargetMode="External"/><Relationship Id="rId160" Type="http://schemas.openxmlformats.org/officeDocument/2006/relationships/hyperlink" Target="https://www.poolhost.com/profootball/playerstats/1699810" TargetMode="External"/><Relationship Id="rId22" Type="http://schemas.openxmlformats.org/officeDocument/2006/relationships/hyperlink" Target="https://www.poolhost.com/profootball/playerstats/1665614" TargetMode="External"/><Relationship Id="rId27" Type="http://schemas.openxmlformats.org/officeDocument/2006/relationships/hyperlink" Target="https://www.poolhost.com/profootball/playerstats/1726632" TargetMode="External"/><Relationship Id="rId43" Type="http://schemas.openxmlformats.org/officeDocument/2006/relationships/hyperlink" Target="https://www.poolhost.com/profootball/playerstats/1705272" TargetMode="External"/><Relationship Id="rId48" Type="http://schemas.openxmlformats.org/officeDocument/2006/relationships/hyperlink" Target="https://www.poolhost.com/profootball/playerstats/1699660" TargetMode="External"/><Relationship Id="rId64" Type="http://schemas.openxmlformats.org/officeDocument/2006/relationships/hyperlink" Target="https://www.poolhost.com/profootball/playerstats/1666027" TargetMode="External"/><Relationship Id="rId69" Type="http://schemas.openxmlformats.org/officeDocument/2006/relationships/hyperlink" Target="https://www.poolhost.com/profootball/playerstats/1655447" TargetMode="External"/><Relationship Id="rId113" Type="http://schemas.openxmlformats.org/officeDocument/2006/relationships/hyperlink" Target="https://www.poolhost.com/profootball/playerstats/1708448" TargetMode="External"/><Relationship Id="rId118" Type="http://schemas.openxmlformats.org/officeDocument/2006/relationships/hyperlink" Target="https://www.poolhost.com/profootball/playerstats/1677370" TargetMode="External"/><Relationship Id="rId134" Type="http://schemas.openxmlformats.org/officeDocument/2006/relationships/hyperlink" Target="https://www.poolhost.com/profootball/playerstats/1673761" TargetMode="External"/><Relationship Id="rId139" Type="http://schemas.openxmlformats.org/officeDocument/2006/relationships/hyperlink" Target="https://www.poolhost.com/profootball/playerstats/1663101" TargetMode="External"/><Relationship Id="rId80" Type="http://schemas.openxmlformats.org/officeDocument/2006/relationships/hyperlink" Target="https://www.poolhost.com/profootball/playerstats/1697912" TargetMode="External"/><Relationship Id="rId85" Type="http://schemas.openxmlformats.org/officeDocument/2006/relationships/hyperlink" Target="https://www.poolhost.com/profootball/playerstats/1660811" TargetMode="External"/><Relationship Id="rId150" Type="http://schemas.openxmlformats.org/officeDocument/2006/relationships/hyperlink" Target="https://www.poolhost.com/profootball/playerstats/1665979" TargetMode="External"/><Relationship Id="rId155" Type="http://schemas.openxmlformats.org/officeDocument/2006/relationships/hyperlink" Target="https://www.poolhost.com/profootball/playerstats/1654649" TargetMode="External"/><Relationship Id="rId12" Type="http://schemas.openxmlformats.org/officeDocument/2006/relationships/hyperlink" Target="https://www.poolhost.com/profootball/playerstats/1678632" TargetMode="External"/><Relationship Id="rId17" Type="http://schemas.openxmlformats.org/officeDocument/2006/relationships/hyperlink" Target="https://www.poolhost.com/profootball/playerstats/1694017" TargetMode="External"/><Relationship Id="rId33" Type="http://schemas.openxmlformats.org/officeDocument/2006/relationships/hyperlink" Target="https://www.poolhost.com/profootball/playerstats/1681946" TargetMode="External"/><Relationship Id="rId38" Type="http://schemas.openxmlformats.org/officeDocument/2006/relationships/hyperlink" Target="https://www.poolhost.com/profootball/playerstats/1657024" TargetMode="External"/><Relationship Id="rId59" Type="http://schemas.openxmlformats.org/officeDocument/2006/relationships/hyperlink" Target="https://www.poolhost.com/profootball/playerstats/1709781" TargetMode="External"/><Relationship Id="rId103" Type="http://schemas.openxmlformats.org/officeDocument/2006/relationships/hyperlink" Target="https://www.poolhost.com/profootball/playerstats/1661711" TargetMode="External"/><Relationship Id="rId108" Type="http://schemas.openxmlformats.org/officeDocument/2006/relationships/hyperlink" Target="https://www.poolhost.com/profootball/playerstats/1654791" TargetMode="External"/><Relationship Id="rId124" Type="http://schemas.openxmlformats.org/officeDocument/2006/relationships/hyperlink" Target="https://www.poolhost.com/profootball/playerstats/1665910" TargetMode="External"/><Relationship Id="rId129" Type="http://schemas.openxmlformats.org/officeDocument/2006/relationships/hyperlink" Target="https://www.poolhost.com/profootball/playerstats/1729617" TargetMode="External"/><Relationship Id="rId54" Type="http://schemas.openxmlformats.org/officeDocument/2006/relationships/hyperlink" Target="https://www.poolhost.com/profootball/playerstats/1735486" TargetMode="External"/><Relationship Id="rId70" Type="http://schemas.openxmlformats.org/officeDocument/2006/relationships/hyperlink" Target="https://www.poolhost.com/profootball/playerstats/1672167" TargetMode="External"/><Relationship Id="rId75" Type="http://schemas.openxmlformats.org/officeDocument/2006/relationships/hyperlink" Target="https://www.poolhost.com/profootball/playerstats/1668628" TargetMode="External"/><Relationship Id="rId91" Type="http://schemas.openxmlformats.org/officeDocument/2006/relationships/hyperlink" Target="https://www.poolhost.com/profootball/playerstats/1655488" TargetMode="External"/><Relationship Id="rId96" Type="http://schemas.openxmlformats.org/officeDocument/2006/relationships/hyperlink" Target="https://www.poolhost.com/profootball/playerstats/1654603" TargetMode="External"/><Relationship Id="rId140" Type="http://schemas.openxmlformats.org/officeDocument/2006/relationships/hyperlink" Target="https://www.poolhost.com/profootball/playerstats/1686915" TargetMode="External"/><Relationship Id="rId145" Type="http://schemas.openxmlformats.org/officeDocument/2006/relationships/hyperlink" Target="https://www.poolhost.com/profootball/playerstats/1731780" TargetMode="External"/><Relationship Id="rId161" Type="http://schemas.openxmlformats.org/officeDocument/2006/relationships/hyperlink" Target="https://www.poolhost.com/profootball/playerstats/1700157" TargetMode="External"/><Relationship Id="rId1" Type="http://schemas.openxmlformats.org/officeDocument/2006/relationships/hyperlink" Target="https://www.poolhost.com/profootball/playerstats/1731690" TargetMode="External"/><Relationship Id="rId6" Type="http://schemas.openxmlformats.org/officeDocument/2006/relationships/hyperlink" Target="https://www.poolhost.com/profootball/playerstats/1669212" TargetMode="External"/><Relationship Id="rId15" Type="http://schemas.openxmlformats.org/officeDocument/2006/relationships/hyperlink" Target="https://www.poolhost.com/profootball/playerstats/1671748" TargetMode="External"/><Relationship Id="rId23" Type="http://schemas.openxmlformats.org/officeDocument/2006/relationships/hyperlink" Target="https://www.poolhost.com/profootball/playerstats/1659875" TargetMode="External"/><Relationship Id="rId28" Type="http://schemas.openxmlformats.org/officeDocument/2006/relationships/hyperlink" Target="https://www.poolhost.com/profootball/playerstats/1673222" TargetMode="External"/><Relationship Id="rId36" Type="http://schemas.openxmlformats.org/officeDocument/2006/relationships/hyperlink" Target="https://www.poolhost.com/profootball/playerstats/1657103" TargetMode="External"/><Relationship Id="rId49" Type="http://schemas.openxmlformats.org/officeDocument/2006/relationships/hyperlink" Target="https://www.poolhost.com/profootball/playerstats/1723980" TargetMode="External"/><Relationship Id="rId57" Type="http://schemas.openxmlformats.org/officeDocument/2006/relationships/hyperlink" Target="https://www.poolhost.com/profootball/playerstats/1702449" TargetMode="External"/><Relationship Id="rId106" Type="http://schemas.openxmlformats.org/officeDocument/2006/relationships/hyperlink" Target="https://www.poolhost.com/profootball/playerstats/1724223" TargetMode="External"/><Relationship Id="rId114" Type="http://schemas.openxmlformats.org/officeDocument/2006/relationships/hyperlink" Target="https://www.poolhost.com/profootball/playerstats/1721401" TargetMode="External"/><Relationship Id="rId119" Type="http://schemas.openxmlformats.org/officeDocument/2006/relationships/hyperlink" Target="https://www.poolhost.com/profootball/playerstats/1732953" TargetMode="External"/><Relationship Id="rId127" Type="http://schemas.openxmlformats.org/officeDocument/2006/relationships/hyperlink" Target="https://www.poolhost.com/profootball/playerstats/1721307" TargetMode="External"/><Relationship Id="rId10" Type="http://schemas.openxmlformats.org/officeDocument/2006/relationships/hyperlink" Target="https://www.poolhost.com/profootball/playerstats/1732411" TargetMode="External"/><Relationship Id="rId31" Type="http://schemas.openxmlformats.org/officeDocument/2006/relationships/hyperlink" Target="https://www.poolhost.com/profootball/playerstats/1682884" TargetMode="External"/><Relationship Id="rId44" Type="http://schemas.openxmlformats.org/officeDocument/2006/relationships/hyperlink" Target="https://www.poolhost.com/profootball/playerstats/1727817" TargetMode="External"/><Relationship Id="rId52" Type="http://schemas.openxmlformats.org/officeDocument/2006/relationships/hyperlink" Target="https://www.poolhost.com/profootball/playerstats/1732851" TargetMode="External"/><Relationship Id="rId60" Type="http://schemas.openxmlformats.org/officeDocument/2006/relationships/hyperlink" Target="https://www.poolhost.com/profootball/playerstats/1729491" TargetMode="External"/><Relationship Id="rId65" Type="http://schemas.openxmlformats.org/officeDocument/2006/relationships/hyperlink" Target="https://www.poolhost.com/profootball/playerstats/1678377" TargetMode="External"/><Relationship Id="rId73" Type="http://schemas.openxmlformats.org/officeDocument/2006/relationships/hyperlink" Target="https://www.poolhost.com/profootball/playerstats/1677049" TargetMode="External"/><Relationship Id="rId78" Type="http://schemas.openxmlformats.org/officeDocument/2006/relationships/hyperlink" Target="https://www.poolhost.com/profootball/playerstats/1662606" TargetMode="External"/><Relationship Id="rId81" Type="http://schemas.openxmlformats.org/officeDocument/2006/relationships/hyperlink" Target="https://www.poolhost.com/profootball/playerstats/1684290" TargetMode="External"/><Relationship Id="rId86" Type="http://schemas.openxmlformats.org/officeDocument/2006/relationships/hyperlink" Target="https://www.poolhost.com/profootball/playerstats/1668687" TargetMode="External"/><Relationship Id="rId94" Type="http://schemas.openxmlformats.org/officeDocument/2006/relationships/hyperlink" Target="https://www.poolhost.com/profootball/playerstats/1658459" TargetMode="External"/><Relationship Id="rId99" Type="http://schemas.openxmlformats.org/officeDocument/2006/relationships/hyperlink" Target="https://www.poolhost.com/profootball/playerstats/1683531" TargetMode="External"/><Relationship Id="rId101" Type="http://schemas.openxmlformats.org/officeDocument/2006/relationships/hyperlink" Target="https://www.poolhost.com/profootball/playerstats/1666473" TargetMode="External"/><Relationship Id="rId122" Type="http://schemas.openxmlformats.org/officeDocument/2006/relationships/hyperlink" Target="https://www.poolhost.com/profootball/playerstats/1674086" TargetMode="External"/><Relationship Id="rId130" Type="http://schemas.openxmlformats.org/officeDocument/2006/relationships/hyperlink" Target="https://www.poolhost.com/profootball/playerstats/1700155" TargetMode="External"/><Relationship Id="rId135" Type="http://schemas.openxmlformats.org/officeDocument/2006/relationships/hyperlink" Target="https://www.poolhost.com/profootball/playerstats/1669305" TargetMode="External"/><Relationship Id="rId143" Type="http://schemas.openxmlformats.org/officeDocument/2006/relationships/hyperlink" Target="https://www.poolhost.com/profootball/playerstats/1667937" TargetMode="External"/><Relationship Id="rId148" Type="http://schemas.openxmlformats.org/officeDocument/2006/relationships/hyperlink" Target="https://www.poolhost.com/profootball/playerstats/1702170" TargetMode="External"/><Relationship Id="rId151" Type="http://schemas.openxmlformats.org/officeDocument/2006/relationships/hyperlink" Target="https://www.poolhost.com/profootball/playerstats/1686727" TargetMode="External"/><Relationship Id="rId156" Type="http://schemas.openxmlformats.org/officeDocument/2006/relationships/hyperlink" Target="https://www.poolhost.com/profootball/playerstats/1684266" TargetMode="External"/><Relationship Id="rId4" Type="http://schemas.openxmlformats.org/officeDocument/2006/relationships/hyperlink" Target="https://www.poolhost.com/profootball/playerstats/1649126" TargetMode="External"/><Relationship Id="rId9" Type="http://schemas.openxmlformats.org/officeDocument/2006/relationships/hyperlink" Target="https://www.poolhost.com/profootball/playerstats/1712780" TargetMode="External"/><Relationship Id="rId13" Type="http://schemas.openxmlformats.org/officeDocument/2006/relationships/hyperlink" Target="https://www.poolhost.com/profootball/playerstats/1685256" TargetMode="External"/><Relationship Id="rId18" Type="http://schemas.openxmlformats.org/officeDocument/2006/relationships/hyperlink" Target="https://www.poolhost.com/profootball/playerstats/1705029" TargetMode="External"/><Relationship Id="rId39" Type="http://schemas.openxmlformats.org/officeDocument/2006/relationships/hyperlink" Target="https://www.poolhost.com/profootball/playerstats/1669323" TargetMode="External"/><Relationship Id="rId109" Type="http://schemas.openxmlformats.org/officeDocument/2006/relationships/hyperlink" Target="https://www.poolhost.com/profootball/playerstats/1670025" TargetMode="External"/><Relationship Id="rId34" Type="http://schemas.openxmlformats.org/officeDocument/2006/relationships/hyperlink" Target="https://www.poolhost.com/profootball/playerstats/1709552" TargetMode="External"/><Relationship Id="rId50" Type="http://schemas.openxmlformats.org/officeDocument/2006/relationships/hyperlink" Target="https://www.poolhost.com/profootball/playerstats/1732254" TargetMode="External"/><Relationship Id="rId55" Type="http://schemas.openxmlformats.org/officeDocument/2006/relationships/hyperlink" Target="https://www.poolhost.com/profootball/playerstats/1699295" TargetMode="External"/><Relationship Id="rId76" Type="http://schemas.openxmlformats.org/officeDocument/2006/relationships/hyperlink" Target="https://www.poolhost.com/profootball/playerstats/1732290" TargetMode="External"/><Relationship Id="rId97" Type="http://schemas.openxmlformats.org/officeDocument/2006/relationships/hyperlink" Target="https://www.poolhost.com/profootball/playerstats/1673234" TargetMode="External"/><Relationship Id="rId104" Type="http://schemas.openxmlformats.org/officeDocument/2006/relationships/hyperlink" Target="https://www.poolhost.com/profootball/playerstats/1687892" TargetMode="External"/><Relationship Id="rId120" Type="http://schemas.openxmlformats.org/officeDocument/2006/relationships/hyperlink" Target="https://www.poolhost.com/profootball/playerstats/1683389" TargetMode="External"/><Relationship Id="rId125" Type="http://schemas.openxmlformats.org/officeDocument/2006/relationships/hyperlink" Target="https://www.poolhost.com/profootball/playerstats/1707988" TargetMode="External"/><Relationship Id="rId141" Type="http://schemas.openxmlformats.org/officeDocument/2006/relationships/hyperlink" Target="https://www.poolhost.com/profootball/playerstats/1679667" TargetMode="External"/><Relationship Id="rId146" Type="http://schemas.openxmlformats.org/officeDocument/2006/relationships/hyperlink" Target="https://www.poolhost.com/profootball/playerstats/1694354" TargetMode="External"/><Relationship Id="rId7" Type="http://schemas.openxmlformats.org/officeDocument/2006/relationships/hyperlink" Target="https://www.poolhost.com/profootball/playerstats/1671837" TargetMode="External"/><Relationship Id="rId71" Type="http://schemas.openxmlformats.org/officeDocument/2006/relationships/hyperlink" Target="https://www.poolhost.com/profootball/playerstats/1741250" TargetMode="External"/><Relationship Id="rId92" Type="http://schemas.openxmlformats.org/officeDocument/2006/relationships/hyperlink" Target="https://www.poolhost.com/profootball/playerstats/1659846" TargetMode="External"/><Relationship Id="rId162" Type="http://schemas.openxmlformats.org/officeDocument/2006/relationships/hyperlink" Target="https://www.poolhost.com/profootball/playerstats/1722233" TargetMode="External"/><Relationship Id="rId2" Type="http://schemas.openxmlformats.org/officeDocument/2006/relationships/hyperlink" Target="https://www.poolhost.com/profootball/playerstats/1681958" TargetMode="External"/><Relationship Id="rId29" Type="http://schemas.openxmlformats.org/officeDocument/2006/relationships/hyperlink" Target="https://www.poolhost.com/profootball/playerstats/1732788" TargetMode="External"/><Relationship Id="rId24" Type="http://schemas.openxmlformats.org/officeDocument/2006/relationships/hyperlink" Target="https://www.poolhost.com/profootball/playerstats/1708312" TargetMode="External"/><Relationship Id="rId40" Type="http://schemas.openxmlformats.org/officeDocument/2006/relationships/hyperlink" Target="https://www.poolhost.com/profootball/playerstats/1667866" TargetMode="External"/><Relationship Id="rId45" Type="http://schemas.openxmlformats.org/officeDocument/2006/relationships/hyperlink" Target="https://www.poolhost.com/profootball/playerstats/1666449" TargetMode="External"/><Relationship Id="rId66" Type="http://schemas.openxmlformats.org/officeDocument/2006/relationships/hyperlink" Target="https://www.poolhost.com/profootball/playerstats/1731755" TargetMode="External"/><Relationship Id="rId87" Type="http://schemas.openxmlformats.org/officeDocument/2006/relationships/hyperlink" Target="https://www.poolhost.com/profootball/playerstats/1654485" TargetMode="External"/><Relationship Id="rId110" Type="http://schemas.openxmlformats.org/officeDocument/2006/relationships/hyperlink" Target="https://www.poolhost.com/profootball/playerstats/1733218" TargetMode="External"/><Relationship Id="rId115" Type="http://schemas.openxmlformats.org/officeDocument/2006/relationships/hyperlink" Target="https://www.poolhost.com/profootball/playerstats/1734363" TargetMode="External"/><Relationship Id="rId131" Type="http://schemas.openxmlformats.org/officeDocument/2006/relationships/hyperlink" Target="https://www.poolhost.com/profootball/playerstats/1679009" TargetMode="External"/><Relationship Id="rId136" Type="http://schemas.openxmlformats.org/officeDocument/2006/relationships/hyperlink" Target="https://www.poolhost.com/profootball/playerstats/1705249" TargetMode="External"/><Relationship Id="rId157" Type="http://schemas.openxmlformats.org/officeDocument/2006/relationships/hyperlink" Target="https://www.poolhost.com/profootball/playerstats/1732996" TargetMode="External"/><Relationship Id="rId61" Type="http://schemas.openxmlformats.org/officeDocument/2006/relationships/hyperlink" Target="https://www.poolhost.com/profootball/playerstats/1705346" TargetMode="External"/><Relationship Id="rId82" Type="http://schemas.openxmlformats.org/officeDocument/2006/relationships/hyperlink" Target="https://www.poolhost.com/profootball/playerstats/1704026" TargetMode="External"/><Relationship Id="rId152" Type="http://schemas.openxmlformats.org/officeDocument/2006/relationships/hyperlink" Target="https://www.poolhost.com/profootball/playerstats/1661981" TargetMode="External"/><Relationship Id="rId19" Type="http://schemas.openxmlformats.org/officeDocument/2006/relationships/hyperlink" Target="https://www.poolhost.com/profootball/playerstats/1730347" TargetMode="External"/><Relationship Id="rId14" Type="http://schemas.openxmlformats.org/officeDocument/2006/relationships/hyperlink" Target="https://www.poolhost.com/profootball/playerstats/1663641" TargetMode="External"/><Relationship Id="rId30" Type="http://schemas.openxmlformats.org/officeDocument/2006/relationships/hyperlink" Target="https://www.poolhost.com/profootball/playerstats/1715552" TargetMode="External"/><Relationship Id="rId35" Type="http://schemas.openxmlformats.org/officeDocument/2006/relationships/hyperlink" Target="https://www.poolhost.com/profootball/playerstats/1729262" TargetMode="External"/><Relationship Id="rId56" Type="http://schemas.openxmlformats.org/officeDocument/2006/relationships/hyperlink" Target="https://www.poolhost.com/profootball/playerstats/1665631" TargetMode="External"/><Relationship Id="rId77" Type="http://schemas.openxmlformats.org/officeDocument/2006/relationships/hyperlink" Target="https://www.poolhost.com/profootball/playerstats/1681897" TargetMode="External"/><Relationship Id="rId100" Type="http://schemas.openxmlformats.org/officeDocument/2006/relationships/hyperlink" Target="https://www.poolhost.com/profootball/playerstats/1654484" TargetMode="External"/><Relationship Id="rId105" Type="http://schemas.openxmlformats.org/officeDocument/2006/relationships/hyperlink" Target="https://www.poolhost.com/profootball/playerstats/1676125" TargetMode="External"/><Relationship Id="rId126" Type="http://schemas.openxmlformats.org/officeDocument/2006/relationships/hyperlink" Target="https://www.poolhost.com/profootball/playerstats/1701053" TargetMode="External"/><Relationship Id="rId147" Type="http://schemas.openxmlformats.org/officeDocument/2006/relationships/hyperlink" Target="https://www.poolhost.com/profootball/playerstats/1678667" TargetMode="External"/><Relationship Id="rId8" Type="http://schemas.openxmlformats.org/officeDocument/2006/relationships/hyperlink" Target="https://www.poolhost.com/profootball/playerstats/1704294" TargetMode="External"/><Relationship Id="rId51" Type="http://schemas.openxmlformats.org/officeDocument/2006/relationships/hyperlink" Target="https://www.poolhost.com/profootball/playerstats/1672298" TargetMode="External"/><Relationship Id="rId72" Type="http://schemas.openxmlformats.org/officeDocument/2006/relationships/hyperlink" Target="https://www.poolhost.com/profootball/playerstats/1654448" TargetMode="External"/><Relationship Id="rId93" Type="http://schemas.openxmlformats.org/officeDocument/2006/relationships/hyperlink" Target="https://www.poolhost.com/profootball/playerstats/1728787" TargetMode="External"/><Relationship Id="rId98" Type="http://schemas.openxmlformats.org/officeDocument/2006/relationships/hyperlink" Target="https://www.poolhost.com/profootball/playerstats/1668461" TargetMode="External"/><Relationship Id="rId121" Type="http://schemas.openxmlformats.org/officeDocument/2006/relationships/hyperlink" Target="https://www.poolhost.com/profootball/playerstats/1657801" TargetMode="External"/><Relationship Id="rId142" Type="http://schemas.openxmlformats.org/officeDocument/2006/relationships/hyperlink" Target="https://www.poolhost.com/profootball/playerstats/1684491" TargetMode="External"/><Relationship Id="rId163" Type="http://schemas.openxmlformats.org/officeDocument/2006/relationships/hyperlink" Target="https://www.poolhost.com/profootball/playerstats/1734172" TargetMode="External"/><Relationship Id="rId3" Type="http://schemas.openxmlformats.org/officeDocument/2006/relationships/hyperlink" Target="https://www.poolhost.com/profootball/playerstats/1680041" TargetMode="External"/><Relationship Id="rId25" Type="http://schemas.openxmlformats.org/officeDocument/2006/relationships/hyperlink" Target="https://www.poolhost.com/profootball/playerstats/1708505" TargetMode="External"/><Relationship Id="rId46" Type="http://schemas.openxmlformats.org/officeDocument/2006/relationships/hyperlink" Target="https://www.poolhost.com/profootball/playerstats/1659558" TargetMode="External"/><Relationship Id="rId67" Type="http://schemas.openxmlformats.org/officeDocument/2006/relationships/hyperlink" Target="https://www.poolhost.com/profootball/playerstats/1667376" TargetMode="External"/><Relationship Id="rId116" Type="http://schemas.openxmlformats.org/officeDocument/2006/relationships/hyperlink" Target="https://www.poolhost.com/profootball/playerstats/1679300" TargetMode="External"/><Relationship Id="rId137" Type="http://schemas.openxmlformats.org/officeDocument/2006/relationships/hyperlink" Target="https://www.poolhost.com/profootball/playerstats/1674022" TargetMode="External"/><Relationship Id="rId158" Type="http://schemas.openxmlformats.org/officeDocument/2006/relationships/hyperlink" Target="https://www.poolhost.com/profootball/playerstats/1729314" TargetMode="External"/><Relationship Id="rId20" Type="http://schemas.openxmlformats.org/officeDocument/2006/relationships/hyperlink" Target="https://www.poolhost.com/profootball/playerstats/1682523" TargetMode="External"/><Relationship Id="rId41" Type="http://schemas.openxmlformats.org/officeDocument/2006/relationships/hyperlink" Target="https://www.poolhost.com/profootball/playerstats/1657583" TargetMode="External"/><Relationship Id="rId62" Type="http://schemas.openxmlformats.org/officeDocument/2006/relationships/hyperlink" Target="https://www.poolhost.com/profootball/playerstats/1685066" TargetMode="External"/><Relationship Id="rId83" Type="http://schemas.openxmlformats.org/officeDocument/2006/relationships/hyperlink" Target="https://www.poolhost.com/profootball/playerstats/1722206" TargetMode="External"/><Relationship Id="rId88" Type="http://schemas.openxmlformats.org/officeDocument/2006/relationships/hyperlink" Target="https://www.poolhost.com/profootball/playerstats/1676654" TargetMode="External"/><Relationship Id="rId111" Type="http://schemas.openxmlformats.org/officeDocument/2006/relationships/hyperlink" Target="https://www.poolhost.com/profootball/playerstats/1730270" TargetMode="External"/><Relationship Id="rId132" Type="http://schemas.openxmlformats.org/officeDocument/2006/relationships/hyperlink" Target="https://www.poolhost.com/profootball/playerstats/1665810" TargetMode="External"/><Relationship Id="rId153" Type="http://schemas.openxmlformats.org/officeDocument/2006/relationships/hyperlink" Target="https://www.poolhost.com/profootball/playerstats/1725535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poolhost.com/profootball/playerstats/1655447" TargetMode="External"/><Relationship Id="rId117" Type="http://schemas.openxmlformats.org/officeDocument/2006/relationships/hyperlink" Target="https://poolhost.com/profootball/playerstats/1731780" TargetMode="External"/><Relationship Id="rId21" Type="http://schemas.openxmlformats.org/officeDocument/2006/relationships/hyperlink" Target="https://poolhost.com/profootball/playerstats/1703401" TargetMode="External"/><Relationship Id="rId42" Type="http://schemas.openxmlformats.org/officeDocument/2006/relationships/hyperlink" Target="https://poolhost.com/profootball/playerstats/1659846" TargetMode="External"/><Relationship Id="rId47" Type="http://schemas.openxmlformats.org/officeDocument/2006/relationships/hyperlink" Target="https://poolhost.com/profootball/playerstats/1732953" TargetMode="External"/><Relationship Id="rId63" Type="http://schemas.openxmlformats.org/officeDocument/2006/relationships/hyperlink" Target="https://poolhost.com/profootball/playerstats/1662606" TargetMode="External"/><Relationship Id="rId68" Type="http://schemas.openxmlformats.org/officeDocument/2006/relationships/hyperlink" Target="https://poolhost.com/profootball/playerstats/1670226" TargetMode="External"/><Relationship Id="rId84" Type="http://schemas.openxmlformats.org/officeDocument/2006/relationships/hyperlink" Target="https://poolhost.com/profootball/playerstats/1666034" TargetMode="External"/><Relationship Id="rId89" Type="http://schemas.openxmlformats.org/officeDocument/2006/relationships/hyperlink" Target="https://poolhost.com/profootball/playerstats/1657024" TargetMode="External"/><Relationship Id="rId112" Type="http://schemas.openxmlformats.org/officeDocument/2006/relationships/hyperlink" Target="https://poolhost.com/profootball/playerstats/1704294" TargetMode="External"/><Relationship Id="rId133" Type="http://schemas.openxmlformats.org/officeDocument/2006/relationships/hyperlink" Target="https://poolhost.com/profootball/playerstats/1721307" TargetMode="External"/><Relationship Id="rId138" Type="http://schemas.openxmlformats.org/officeDocument/2006/relationships/hyperlink" Target="https://poolhost.com/profootball/playerstats/1649126" TargetMode="External"/><Relationship Id="rId154" Type="http://schemas.openxmlformats.org/officeDocument/2006/relationships/hyperlink" Target="https://poolhost.com/profootball/playerstats/1684266" TargetMode="External"/><Relationship Id="rId159" Type="http://schemas.openxmlformats.org/officeDocument/2006/relationships/hyperlink" Target="https://poolhost.com/profootball/playerstats/1728782" TargetMode="External"/><Relationship Id="rId16" Type="http://schemas.openxmlformats.org/officeDocument/2006/relationships/hyperlink" Target="https://poolhost.com/profootball/playerstats/1657801" TargetMode="External"/><Relationship Id="rId107" Type="http://schemas.openxmlformats.org/officeDocument/2006/relationships/hyperlink" Target="https://poolhost.com/profootball/playerstats/1694017" TargetMode="External"/><Relationship Id="rId11" Type="http://schemas.openxmlformats.org/officeDocument/2006/relationships/hyperlink" Target="https://poolhost.com/profootball/playerstats/1730676" TargetMode="External"/><Relationship Id="rId32" Type="http://schemas.openxmlformats.org/officeDocument/2006/relationships/hyperlink" Target="https://poolhost.com/profootball/playerstats/1657241" TargetMode="External"/><Relationship Id="rId37" Type="http://schemas.openxmlformats.org/officeDocument/2006/relationships/hyperlink" Target="https://poolhost.com/profootball/playerstats/1723980" TargetMode="External"/><Relationship Id="rId53" Type="http://schemas.openxmlformats.org/officeDocument/2006/relationships/hyperlink" Target="https://poolhost.com/profootball/playerstats/1665614" TargetMode="External"/><Relationship Id="rId58" Type="http://schemas.openxmlformats.org/officeDocument/2006/relationships/hyperlink" Target="https://poolhost.com/profootball/playerstats/1673222" TargetMode="External"/><Relationship Id="rId74" Type="http://schemas.openxmlformats.org/officeDocument/2006/relationships/hyperlink" Target="https://poolhost.com/profootball/playerstats/1682884" TargetMode="External"/><Relationship Id="rId79" Type="http://schemas.openxmlformats.org/officeDocument/2006/relationships/hyperlink" Target="https://poolhost.com/profootball/playerstats/1728787" TargetMode="External"/><Relationship Id="rId102" Type="http://schemas.openxmlformats.org/officeDocument/2006/relationships/hyperlink" Target="https://poolhost.com/profootball/playerstats/1708312" TargetMode="External"/><Relationship Id="rId123" Type="http://schemas.openxmlformats.org/officeDocument/2006/relationships/hyperlink" Target="https://poolhost.com/profootball/playerstats/1687892" TargetMode="External"/><Relationship Id="rId128" Type="http://schemas.openxmlformats.org/officeDocument/2006/relationships/hyperlink" Target="https://poolhost.com/profootball/playerstats/1676654" TargetMode="External"/><Relationship Id="rId144" Type="http://schemas.openxmlformats.org/officeDocument/2006/relationships/hyperlink" Target="https://poolhost.com/profootball/playerstats/1666027" TargetMode="External"/><Relationship Id="rId149" Type="http://schemas.openxmlformats.org/officeDocument/2006/relationships/hyperlink" Target="https://poolhost.com/profootball/playerstats/1724223" TargetMode="External"/><Relationship Id="rId5" Type="http://schemas.openxmlformats.org/officeDocument/2006/relationships/hyperlink" Target="https://poolhost.com/profootball/playerstats/1660811" TargetMode="External"/><Relationship Id="rId90" Type="http://schemas.openxmlformats.org/officeDocument/2006/relationships/hyperlink" Target="https://poolhost.com/profootball/playerstats/1705029" TargetMode="External"/><Relationship Id="rId95" Type="http://schemas.openxmlformats.org/officeDocument/2006/relationships/hyperlink" Target="https://poolhost.com/profootball/playerstats/1658459" TargetMode="External"/><Relationship Id="rId160" Type="http://schemas.openxmlformats.org/officeDocument/2006/relationships/hyperlink" Target="https://poolhost.com/profootball/playerstats/1704026" TargetMode="External"/><Relationship Id="rId22" Type="http://schemas.openxmlformats.org/officeDocument/2006/relationships/hyperlink" Target="https://poolhost.com/profootball/playerstats/1654485" TargetMode="External"/><Relationship Id="rId27" Type="http://schemas.openxmlformats.org/officeDocument/2006/relationships/hyperlink" Target="https://poolhost.com/profootball/playerstats/1729262" TargetMode="External"/><Relationship Id="rId43" Type="http://schemas.openxmlformats.org/officeDocument/2006/relationships/hyperlink" Target="https://poolhost.com/profootball/playerstats/1681946" TargetMode="External"/><Relationship Id="rId48" Type="http://schemas.openxmlformats.org/officeDocument/2006/relationships/hyperlink" Target="https://poolhost.com/profootball/playerstats/1729314" TargetMode="External"/><Relationship Id="rId64" Type="http://schemas.openxmlformats.org/officeDocument/2006/relationships/hyperlink" Target="https://poolhost.com/profootball/playerstats/1699660" TargetMode="External"/><Relationship Id="rId69" Type="http://schemas.openxmlformats.org/officeDocument/2006/relationships/hyperlink" Target="https://poolhost.com/profootball/playerstats/1668682" TargetMode="External"/><Relationship Id="rId113" Type="http://schemas.openxmlformats.org/officeDocument/2006/relationships/hyperlink" Target="https://poolhost.com/profootball/playerstats/1703435" TargetMode="External"/><Relationship Id="rId118" Type="http://schemas.openxmlformats.org/officeDocument/2006/relationships/hyperlink" Target="https://poolhost.com/profootball/playerstats/1673234" TargetMode="External"/><Relationship Id="rId134" Type="http://schemas.openxmlformats.org/officeDocument/2006/relationships/hyperlink" Target="https://poolhost.com/profootball/playerstats/1663101" TargetMode="External"/><Relationship Id="rId139" Type="http://schemas.openxmlformats.org/officeDocument/2006/relationships/hyperlink" Target="https://poolhost.com/profootball/playerstats/1735486" TargetMode="External"/><Relationship Id="rId80" Type="http://schemas.openxmlformats.org/officeDocument/2006/relationships/hyperlink" Target="https://poolhost.com/profootball/playerstats/1701354" TargetMode="External"/><Relationship Id="rId85" Type="http://schemas.openxmlformats.org/officeDocument/2006/relationships/hyperlink" Target="https://poolhost.com/profootball/playerstats/1654634" TargetMode="External"/><Relationship Id="rId150" Type="http://schemas.openxmlformats.org/officeDocument/2006/relationships/hyperlink" Target="https://poolhost.com/profootball/playerstats/1708805" TargetMode="External"/><Relationship Id="rId155" Type="http://schemas.openxmlformats.org/officeDocument/2006/relationships/hyperlink" Target="https://poolhost.com/profootball/playerstats/1684290" TargetMode="External"/><Relationship Id="rId12" Type="http://schemas.openxmlformats.org/officeDocument/2006/relationships/hyperlink" Target="https://poolhost.com/profootball/playerstats/1702170" TargetMode="External"/><Relationship Id="rId17" Type="http://schemas.openxmlformats.org/officeDocument/2006/relationships/hyperlink" Target="https://poolhost.com/profootball/playerstats/1679667" TargetMode="External"/><Relationship Id="rId33" Type="http://schemas.openxmlformats.org/officeDocument/2006/relationships/hyperlink" Target="https://poolhost.com/profootball/playerstats/1654448" TargetMode="External"/><Relationship Id="rId38" Type="http://schemas.openxmlformats.org/officeDocument/2006/relationships/hyperlink" Target="https://poolhost.com/profootball/playerstats/1701053" TargetMode="External"/><Relationship Id="rId59" Type="http://schemas.openxmlformats.org/officeDocument/2006/relationships/hyperlink" Target="https://poolhost.com/profootball/playerstats/1733415" TargetMode="External"/><Relationship Id="rId103" Type="http://schemas.openxmlformats.org/officeDocument/2006/relationships/hyperlink" Target="https://poolhost.com/profootball/playerstats/1669212" TargetMode="External"/><Relationship Id="rId108" Type="http://schemas.openxmlformats.org/officeDocument/2006/relationships/hyperlink" Target="https://poolhost.com/profootball/playerstats/1722286" TargetMode="External"/><Relationship Id="rId124" Type="http://schemas.openxmlformats.org/officeDocument/2006/relationships/hyperlink" Target="https://poolhost.com/profootball/playerstats/1708505" TargetMode="External"/><Relationship Id="rId129" Type="http://schemas.openxmlformats.org/officeDocument/2006/relationships/hyperlink" Target="https://poolhost.com/profootball/playerstats/1705272" TargetMode="External"/><Relationship Id="rId54" Type="http://schemas.openxmlformats.org/officeDocument/2006/relationships/hyperlink" Target="https://poolhost.com/profootball/playerstats/1731755" TargetMode="External"/><Relationship Id="rId70" Type="http://schemas.openxmlformats.org/officeDocument/2006/relationships/hyperlink" Target="https://poolhost.com/profootball/playerstats/1672298" TargetMode="External"/><Relationship Id="rId75" Type="http://schemas.openxmlformats.org/officeDocument/2006/relationships/hyperlink" Target="https://poolhost.com/profootball/playerstats/1669323" TargetMode="External"/><Relationship Id="rId91" Type="http://schemas.openxmlformats.org/officeDocument/2006/relationships/hyperlink" Target="https://poolhost.com/profootball/playerstats/1727817" TargetMode="External"/><Relationship Id="rId96" Type="http://schemas.openxmlformats.org/officeDocument/2006/relationships/hyperlink" Target="https://poolhost.com/profootball/playerstats/1732851" TargetMode="External"/><Relationship Id="rId140" Type="http://schemas.openxmlformats.org/officeDocument/2006/relationships/hyperlink" Target="https://poolhost.com/profootball/playerstats/1726632" TargetMode="External"/><Relationship Id="rId145" Type="http://schemas.openxmlformats.org/officeDocument/2006/relationships/hyperlink" Target="https://poolhost.com/profootball/playerstats/1700155" TargetMode="External"/><Relationship Id="rId161" Type="http://schemas.openxmlformats.org/officeDocument/2006/relationships/hyperlink" Target="https://poolhost.com/profootball/playerstats/1734172" TargetMode="External"/><Relationship Id="rId1" Type="http://schemas.openxmlformats.org/officeDocument/2006/relationships/hyperlink" Target="https://poolhost.com/profootball/playerstats/1731690" TargetMode="External"/><Relationship Id="rId6" Type="http://schemas.openxmlformats.org/officeDocument/2006/relationships/hyperlink" Target="https://poolhost.com/profootball/playerstats/1677370" TargetMode="External"/><Relationship Id="rId15" Type="http://schemas.openxmlformats.org/officeDocument/2006/relationships/hyperlink" Target="https://poolhost.com/profootball/playerstats/1733218" TargetMode="External"/><Relationship Id="rId23" Type="http://schemas.openxmlformats.org/officeDocument/2006/relationships/hyperlink" Target="https://poolhost.com/profootball/playerstats/1670484" TargetMode="External"/><Relationship Id="rId28" Type="http://schemas.openxmlformats.org/officeDocument/2006/relationships/hyperlink" Target="https://poolhost.com/profootball/playerstats/1665979" TargetMode="External"/><Relationship Id="rId36" Type="http://schemas.openxmlformats.org/officeDocument/2006/relationships/hyperlink" Target="https://poolhost.com/profootball/playerstats/1657103" TargetMode="External"/><Relationship Id="rId49" Type="http://schemas.openxmlformats.org/officeDocument/2006/relationships/hyperlink" Target="https://poolhost.com/profootball/playerstats/1732290" TargetMode="External"/><Relationship Id="rId57" Type="http://schemas.openxmlformats.org/officeDocument/2006/relationships/hyperlink" Target="https://poolhost.com/profootball/playerstats/1727170" TargetMode="External"/><Relationship Id="rId106" Type="http://schemas.openxmlformats.org/officeDocument/2006/relationships/hyperlink" Target="https://poolhost.com/profootball/playerstats/1679300" TargetMode="External"/><Relationship Id="rId114" Type="http://schemas.openxmlformats.org/officeDocument/2006/relationships/hyperlink" Target="https://poolhost.com/profootball/playerstats/1712780" TargetMode="External"/><Relationship Id="rId119" Type="http://schemas.openxmlformats.org/officeDocument/2006/relationships/hyperlink" Target="https://poolhost.com/profootball/playerstats/1722206" TargetMode="External"/><Relationship Id="rId127" Type="http://schemas.openxmlformats.org/officeDocument/2006/relationships/hyperlink" Target="https://poolhost.com/profootball/playerstats/1657214" TargetMode="External"/><Relationship Id="rId10" Type="http://schemas.openxmlformats.org/officeDocument/2006/relationships/hyperlink" Target="https://poolhost.com/profootball/playerstats/1666092" TargetMode="External"/><Relationship Id="rId31" Type="http://schemas.openxmlformats.org/officeDocument/2006/relationships/hyperlink" Target="https://poolhost.com/profootball/playerstats/1732254" TargetMode="External"/><Relationship Id="rId44" Type="http://schemas.openxmlformats.org/officeDocument/2006/relationships/hyperlink" Target="https://poolhost.com/profootball/playerstats/1732411" TargetMode="External"/><Relationship Id="rId52" Type="http://schemas.openxmlformats.org/officeDocument/2006/relationships/hyperlink" Target="https://poolhost.com/profootball/playerstats/1667866" TargetMode="External"/><Relationship Id="rId60" Type="http://schemas.openxmlformats.org/officeDocument/2006/relationships/hyperlink" Target="https://poolhost.com/profootball/playerstats/1705249" TargetMode="External"/><Relationship Id="rId65" Type="http://schemas.openxmlformats.org/officeDocument/2006/relationships/hyperlink" Target="https://poolhost.com/profootball/playerstats/1699295" TargetMode="External"/><Relationship Id="rId73" Type="http://schemas.openxmlformats.org/officeDocument/2006/relationships/hyperlink" Target="https://poolhost.com/profootball/playerstats/1722233" TargetMode="External"/><Relationship Id="rId78" Type="http://schemas.openxmlformats.org/officeDocument/2006/relationships/hyperlink" Target="https://poolhost.com/profootball/playerstats/1671837" TargetMode="External"/><Relationship Id="rId81" Type="http://schemas.openxmlformats.org/officeDocument/2006/relationships/hyperlink" Target="https://poolhost.com/profootball/playerstats/1679009" TargetMode="External"/><Relationship Id="rId86" Type="http://schemas.openxmlformats.org/officeDocument/2006/relationships/hyperlink" Target="https://poolhost.com/profootball/playerstats/1661711" TargetMode="External"/><Relationship Id="rId94" Type="http://schemas.openxmlformats.org/officeDocument/2006/relationships/hyperlink" Target="https://poolhost.com/profootball/playerstats/1680041" TargetMode="External"/><Relationship Id="rId99" Type="http://schemas.openxmlformats.org/officeDocument/2006/relationships/hyperlink" Target="https://poolhost.com/profootball/playerstats/1732996" TargetMode="External"/><Relationship Id="rId101" Type="http://schemas.openxmlformats.org/officeDocument/2006/relationships/hyperlink" Target="https://poolhost.com/profootball/playerstats/1695716" TargetMode="External"/><Relationship Id="rId122" Type="http://schemas.openxmlformats.org/officeDocument/2006/relationships/hyperlink" Target="https://poolhost.com/profootball/playerstats/1734363" TargetMode="External"/><Relationship Id="rId130" Type="http://schemas.openxmlformats.org/officeDocument/2006/relationships/hyperlink" Target="https://poolhost.com/profootball/playerstats/1666449" TargetMode="External"/><Relationship Id="rId135" Type="http://schemas.openxmlformats.org/officeDocument/2006/relationships/hyperlink" Target="https://poolhost.com/profootball/playerstats/1741250" TargetMode="External"/><Relationship Id="rId143" Type="http://schemas.openxmlformats.org/officeDocument/2006/relationships/hyperlink" Target="https://poolhost.com/profootball/playerstats/1649341" TargetMode="External"/><Relationship Id="rId148" Type="http://schemas.openxmlformats.org/officeDocument/2006/relationships/hyperlink" Target="https://poolhost.com/profootball/playerstats/1665810" TargetMode="External"/><Relationship Id="rId151" Type="http://schemas.openxmlformats.org/officeDocument/2006/relationships/hyperlink" Target="https://poolhost.com/profootball/playerstats/1654791" TargetMode="External"/><Relationship Id="rId156" Type="http://schemas.openxmlformats.org/officeDocument/2006/relationships/hyperlink" Target="https://poolhost.com/profootball/playerstats/1654649" TargetMode="External"/><Relationship Id="rId4" Type="http://schemas.openxmlformats.org/officeDocument/2006/relationships/hyperlink" Target="https://poolhost.com/profootball/playerstats/1662306" TargetMode="External"/><Relationship Id="rId9" Type="http://schemas.openxmlformats.org/officeDocument/2006/relationships/hyperlink" Target="https://poolhost.com/profootball/playerstats/1705346" TargetMode="External"/><Relationship Id="rId13" Type="http://schemas.openxmlformats.org/officeDocument/2006/relationships/hyperlink" Target="https://poolhost.com/profootball/playerstats/1665910" TargetMode="External"/><Relationship Id="rId18" Type="http://schemas.openxmlformats.org/officeDocument/2006/relationships/hyperlink" Target="https://poolhost.com/profootball/playerstats/1668628" TargetMode="External"/><Relationship Id="rId39" Type="http://schemas.openxmlformats.org/officeDocument/2006/relationships/hyperlink" Target="https://poolhost.com/profootball/playerstats/1655488" TargetMode="External"/><Relationship Id="rId109" Type="http://schemas.openxmlformats.org/officeDocument/2006/relationships/hyperlink" Target="https://poolhost.com/profootball/playerstats/1683389" TargetMode="External"/><Relationship Id="rId34" Type="http://schemas.openxmlformats.org/officeDocument/2006/relationships/hyperlink" Target="https://poolhost.com/profootball/playerstats/1654623" TargetMode="External"/><Relationship Id="rId50" Type="http://schemas.openxmlformats.org/officeDocument/2006/relationships/hyperlink" Target="https://poolhost.com/profootball/playerstats/1667376" TargetMode="External"/><Relationship Id="rId55" Type="http://schemas.openxmlformats.org/officeDocument/2006/relationships/hyperlink" Target="https://poolhost.com/profootball/playerstats/1676125" TargetMode="External"/><Relationship Id="rId76" Type="http://schemas.openxmlformats.org/officeDocument/2006/relationships/hyperlink" Target="https://poolhost.com/profootball/playerstats/1674022" TargetMode="External"/><Relationship Id="rId97" Type="http://schemas.openxmlformats.org/officeDocument/2006/relationships/hyperlink" Target="https://poolhost.com/profootball/playerstats/1654484" TargetMode="External"/><Relationship Id="rId104" Type="http://schemas.openxmlformats.org/officeDocument/2006/relationships/hyperlink" Target="https://poolhost.com/profootball/playerstats/1666473" TargetMode="External"/><Relationship Id="rId120" Type="http://schemas.openxmlformats.org/officeDocument/2006/relationships/hyperlink" Target="https://poolhost.com/profootball/playerstats/1665631" TargetMode="External"/><Relationship Id="rId125" Type="http://schemas.openxmlformats.org/officeDocument/2006/relationships/hyperlink" Target="https://poolhost.com/profootball/playerstats/1659558" TargetMode="External"/><Relationship Id="rId141" Type="http://schemas.openxmlformats.org/officeDocument/2006/relationships/hyperlink" Target="https://poolhost.com/profootball/playerstats/1691673" TargetMode="External"/><Relationship Id="rId146" Type="http://schemas.openxmlformats.org/officeDocument/2006/relationships/hyperlink" Target="https://poolhost.com/profootball/playerstats/1702449" TargetMode="External"/><Relationship Id="rId7" Type="http://schemas.openxmlformats.org/officeDocument/2006/relationships/hyperlink" Target="https://poolhost.com/profootball/playerstats/1678632" TargetMode="External"/><Relationship Id="rId71" Type="http://schemas.openxmlformats.org/officeDocument/2006/relationships/hyperlink" Target="https://poolhost.com/profootball/playerstats/1681958" TargetMode="External"/><Relationship Id="rId92" Type="http://schemas.openxmlformats.org/officeDocument/2006/relationships/hyperlink" Target="https://poolhost.com/profootball/playerstats/1683531" TargetMode="External"/><Relationship Id="rId162" Type="http://schemas.openxmlformats.org/officeDocument/2006/relationships/hyperlink" Target="https://poolhost.com/profootball/playerstats/1663641" TargetMode="External"/><Relationship Id="rId2" Type="http://schemas.openxmlformats.org/officeDocument/2006/relationships/hyperlink" Target="https://poolhost.com/profootball/playerstats/1670025" TargetMode="External"/><Relationship Id="rId29" Type="http://schemas.openxmlformats.org/officeDocument/2006/relationships/hyperlink" Target="https://poolhost.com/profootball/playerstats/1695492" TargetMode="External"/><Relationship Id="rId24" Type="http://schemas.openxmlformats.org/officeDocument/2006/relationships/hyperlink" Target="https://poolhost.com/profootball/playerstats/1708448" TargetMode="External"/><Relationship Id="rId40" Type="http://schemas.openxmlformats.org/officeDocument/2006/relationships/hyperlink" Target="https://poolhost.com/profootball/playerstats/1678667" TargetMode="External"/><Relationship Id="rId45" Type="http://schemas.openxmlformats.org/officeDocument/2006/relationships/hyperlink" Target="https://poolhost.com/profootball/playerstats/1674086" TargetMode="External"/><Relationship Id="rId66" Type="http://schemas.openxmlformats.org/officeDocument/2006/relationships/hyperlink" Target="https://poolhost.com/profootball/playerstats/1659875" TargetMode="External"/><Relationship Id="rId87" Type="http://schemas.openxmlformats.org/officeDocument/2006/relationships/hyperlink" Target="https://poolhost.com/profootball/playerstats/1730270" TargetMode="External"/><Relationship Id="rId110" Type="http://schemas.openxmlformats.org/officeDocument/2006/relationships/hyperlink" Target="https://poolhost.com/profootball/playerstats/1667937" TargetMode="External"/><Relationship Id="rId115" Type="http://schemas.openxmlformats.org/officeDocument/2006/relationships/hyperlink" Target="https://poolhost.com/profootball/playerstats/1654500" TargetMode="External"/><Relationship Id="rId131" Type="http://schemas.openxmlformats.org/officeDocument/2006/relationships/hyperlink" Target="https://poolhost.com/profootball/playerstats/1681897" TargetMode="External"/><Relationship Id="rId136" Type="http://schemas.openxmlformats.org/officeDocument/2006/relationships/hyperlink" Target="https://poolhost.com/profootball/playerstats/1711169" TargetMode="External"/><Relationship Id="rId157" Type="http://schemas.openxmlformats.org/officeDocument/2006/relationships/hyperlink" Target="https://poolhost.com/profootball/playerstats/1707988" TargetMode="External"/><Relationship Id="rId61" Type="http://schemas.openxmlformats.org/officeDocument/2006/relationships/hyperlink" Target="https://poolhost.com/profootball/playerstats/1673761" TargetMode="External"/><Relationship Id="rId82" Type="http://schemas.openxmlformats.org/officeDocument/2006/relationships/hyperlink" Target="https://poolhost.com/profootball/playerstats/1656464" TargetMode="External"/><Relationship Id="rId152" Type="http://schemas.openxmlformats.org/officeDocument/2006/relationships/hyperlink" Target="https://poolhost.com/profootball/playerstats/1732788" TargetMode="External"/><Relationship Id="rId19" Type="http://schemas.openxmlformats.org/officeDocument/2006/relationships/hyperlink" Target="https://poolhost.com/profootball/playerstats/1661981" TargetMode="External"/><Relationship Id="rId14" Type="http://schemas.openxmlformats.org/officeDocument/2006/relationships/hyperlink" Target="https://poolhost.com/profootball/playerstats/1685256" TargetMode="External"/><Relationship Id="rId30" Type="http://schemas.openxmlformats.org/officeDocument/2006/relationships/hyperlink" Target="https://poolhost.com/profootball/playerstats/1729617" TargetMode="External"/><Relationship Id="rId35" Type="http://schemas.openxmlformats.org/officeDocument/2006/relationships/hyperlink" Target="https://poolhost.com/profootball/playerstats/1715552" TargetMode="External"/><Relationship Id="rId56" Type="http://schemas.openxmlformats.org/officeDocument/2006/relationships/hyperlink" Target="https://poolhost.com/profootball/playerstats/1654603" TargetMode="External"/><Relationship Id="rId77" Type="http://schemas.openxmlformats.org/officeDocument/2006/relationships/hyperlink" Target="https://poolhost.com/profootball/playerstats/1677049" TargetMode="External"/><Relationship Id="rId100" Type="http://schemas.openxmlformats.org/officeDocument/2006/relationships/hyperlink" Target="https://poolhost.com/profootball/playerstats/1668687" TargetMode="External"/><Relationship Id="rId105" Type="http://schemas.openxmlformats.org/officeDocument/2006/relationships/hyperlink" Target="https://poolhost.com/profootball/playerstats/1694354" TargetMode="External"/><Relationship Id="rId126" Type="http://schemas.openxmlformats.org/officeDocument/2006/relationships/hyperlink" Target="https://poolhost.com/profootball/playerstats/1699810" TargetMode="External"/><Relationship Id="rId147" Type="http://schemas.openxmlformats.org/officeDocument/2006/relationships/hyperlink" Target="https://poolhost.com/profootball/playerstats/1679156" TargetMode="External"/><Relationship Id="rId8" Type="http://schemas.openxmlformats.org/officeDocument/2006/relationships/hyperlink" Target="https://poolhost.com/profootball/playerstats/1721401" TargetMode="External"/><Relationship Id="rId51" Type="http://schemas.openxmlformats.org/officeDocument/2006/relationships/hyperlink" Target="https://poolhost.com/profootball/playerstats/1725535" TargetMode="External"/><Relationship Id="rId72" Type="http://schemas.openxmlformats.org/officeDocument/2006/relationships/hyperlink" Target="https://poolhost.com/profootball/playerstats/1730347" TargetMode="External"/><Relationship Id="rId93" Type="http://schemas.openxmlformats.org/officeDocument/2006/relationships/hyperlink" Target="https://poolhost.com/profootball/playerstats/1685066" TargetMode="External"/><Relationship Id="rId98" Type="http://schemas.openxmlformats.org/officeDocument/2006/relationships/hyperlink" Target="https://poolhost.com/profootball/playerstats/1697912" TargetMode="External"/><Relationship Id="rId121" Type="http://schemas.openxmlformats.org/officeDocument/2006/relationships/hyperlink" Target="https://poolhost.com/profootball/playerstats/1668461" TargetMode="External"/><Relationship Id="rId142" Type="http://schemas.openxmlformats.org/officeDocument/2006/relationships/hyperlink" Target="https://poolhost.com/profootball/playerstats/1700157" TargetMode="External"/><Relationship Id="rId163" Type="http://schemas.openxmlformats.org/officeDocument/2006/relationships/hyperlink" Target="https://poolhost.com/profootball/playerstats/1672167" TargetMode="External"/><Relationship Id="rId3" Type="http://schemas.openxmlformats.org/officeDocument/2006/relationships/hyperlink" Target="https://poolhost.com/profootball/playerstats/1709552" TargetMode="External"/><Relationship Id="rId25" Type="http://schemas.openxmlformats.org/officeDocument/2006/relationships/hyperlink" Target="https://poolhost.com/profootball/playerstats/1657583" TargetMode="External"/><Relationship Id="rId46" Type="http://schemas.openxmlformats.org/officeDocument/2006/relationships/hyperlink" Target="https://poolhost.com/profootball/playerstats/1678377" TargetMode="External"/><Relationship Id="rId67" Type="http://schemas.openxmlformats.org/officeDocument/2006/relationships/hyperlink" Target="https://poolhost.com/profootball/playerstats/1726326" TargetMode="External"/><Relationship Id="rId116" Type="http://schemas.openxmlformats.org/officeDocument/2006/relationships/hyperlink" Target="https://poolhost.com/profootball/playerstats/1709781" TargetMode="External"/><Relationship Id="rId137" Type="http://schemas.openxmlformats.org/officeDocument/2006/relationships/hyperlink" Target="https://poolhost.com/profootball/playerstats/1684491" TargetMode="External"/><Relationship Id="rId158" Type="http://schemas.openxmlformats.org/officeDocument/2006/relationships/hyperlink" Target="https://poolhost.com/profootball/playerstats/1686915" TargetMode="External"/><Relationship Id="rId20" Type="http://schemas.openxmlformats.org/officeDocument/2006/relationships/hyperlink" Target="https://poolhost.com/profootball/playerstats/1696717" TargetMode="External"/><Relationship Id="rId41" Type="http://schemas.openxmlformats.org/officeDocument/2006/relationships/hyperlink" Target="https://poolhost.com/profootball/playerstats/1729491" TargetMode="External"/><Relationship Id="rId62" Type="http://schemas.openxmlformats.org/officeDocument/2006/relationships/hyperlink" Target="https://poolhost.com/profootball/playerstats/1671748" TargetMode="External"/><Relationship Id="rId83" Type="http://schemas.openxmlformats.org/officeDocument/2006/relationships/hyperlink" Target="https://poolhost.com/profootball/playerstats/1673248" TargetMode="External"/><Relationship Id="rId88" Type="http://schemas.openxmlformats.org/officeDocument/2006/relationships/hyperlink" Target="https://poolhost.com/profootball/playerstats/1686727" TargetMode="External"/><Relationship Id="rId111" Type="http://schemas.openxmlformats.org/officeDocument/2006/relationships/hyperlink" Target="https://poolhost.com/profootball/playerstats/1705049" TargetMode="External"/><Relationship Id="rId132" Type="http://schemas.openxmlformats.org/officeDocument/2006/relationships/hyperlink" Target="https://poolhost.com/profootball/playerstats/1669305" TargetMode="External"/><Relationship Id="rId153" Type="http://schemas.openxmlformats.org/officeDocument/2006/relationships/hyperlink" Target="https://poolhost.com/profootball/playerstats/1682523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https://poolhost.com/profootball/playerstats/1655447" TargetMode="External"/><Relationship Id="rId117" Type="http://schemas.openxmlformats.org/officeDocument/2006/relationships/hyperlink" Target="https://poolhost.com/profootball/playerstats/1731780" TargetMode="External"/><Relationship Id="rId21" Type="http://schemas.openxmlformats.org/officeDocument/2006/relationships/hyperlink" Target="https://poolhost.com/profootball/playerstats/1703401" TargetMode="External"/><Relationship Id="rId42" Type="http://schemas.openxmlformats.org/officeDocument/2006/relationships/hyperlink" Target="https://poolhost.com/profootball/playerstats/1659846" TargetMode="External"/><Relationship Id="rId47" Type="http://schemas.openxmlformats.org/officeDocument/2006/relationships/hyperlink" Target="https://poolhost.com/profootball/playerstats/1732953" TargetMode="External"/><Relationship Id="rId63" Type="http://schemas.openxmlformats.org/officeDocument/2006/relationships/hyperlink" Target="https://poolhost.com/profootball/playerstats/1662606" TargetMode="External"/><Relationship Id="rId68" Type="http://schemas.openxmlformats.org/officeDocument/2006/relationships/hyperlink" Target="https://poolhost.com/profootball/playerstats/1670226" TargetMode="External"/><Relationship Id="rId84" Type="http://schemas.openxmlformats.org/officeDocument/2006/relationships/hyperlink" Target="https://poolhost.com/profootball/playerstats/1666034" TargetMode="External"/><Relationship Id="rId89" Type="http://schemas.openxmlformats.org/officeDocument/2006/relationships/hyperlink" Target="https://poolhost.com/profootball/playerstats/1657024" TargetMode="External"/><Relationship Id="rId112" Type="http://schemas.openxmlformats.org/officeDocument/2006/relationships/hyperlink" Target="https://poolhost.com/profootball/playerstats/1704294" TargetMode="External"/><Relationship Id="rId133" Type="http://schemas.openxmlformats.org/officeDocument/2006/relationships/hyperlink" Target="https://poolhost.com/profootball/playerstats/1721307" TargetMode="External"/><Relationship Id="rId138" Type="http://schemas.openxmlformats.org/officeDocument/2006/relationships/hyperlink" Target="https://poolhost.com/profootball/playerstats/1649126" TargetMode="External"/><Relationship Id="rId154" Type="http://schemas.openxmlformats.org/officeDocument/2006/relationships/hyperlink" Target="https://poolhost.com/profootball/playerstats/1684266" TargetMode="External"/><Relationship Id="rId159" Type="http://schemas.openxmlformats.org/officeDocument/2006/relationships/hyperlink" Target="https://poolhost.com/profootball/playerstats/1728782" TargetMode="External"/><Relationship Id="rId16" Type="http://schemas.openxmlformats.org/officeDocument/2006/relationships/hyperlink" Target="https://poolhost.com/profootball/playerstats/1657801" TargetMode="External"/><Relationship Id="rId107" Type="http://schemas.openxmlformats.org/officeDocument/2006/relationships/hyperlink" Target="https://poolhost.com/profootball/playerstats/1694017" TargetMode="External"/><Relationship Id="rId11" Type="http://schemas.openxmlformats.org/officeDocument/2006/relationships/hyperlink" Target="https://poolhost.com/profootball/playerstats/1730676" TargetMode="External"/><Relationship Id="rId32" Type="http://schemas.openxmlformats.org/officeDocument/2006/relationships/hyperlink" Target="https://poolhost.com/profootball/playerstats/1657241" TargetMode="External"/><Relationship Id="rId37" Type="http://schemas.openxmlformats.org/officeDocument/2006/relationships/hyperlink" Target="https://poolhost.com/profootball/playerstats/1723980" TargetMode="External"/><Relationship Id="rId53" Type="http://schemas.openxmlformats.org/officeDocument/2006/relationships/hyperlink" Target="https://poolhost.com/profootball/playerstats/1665614" TargetMode="External"/><Relationship Id="rId58" Type="http://schemas.openxmlformats.org/officeDocument/2006/relationships/hyperlink" Target="https://poolhost.com/profootball/playerstats/1673222" TargetMode="External"/><Relationship Id="rId74" Type="http://schemas.openxmlformats.org/officeDocument/2006/relationships/hyperlink" Target="https://poolhost.com/profootball/playerstats/1682884" TargetMode="External"/><Relationship Id="rId79" Type="http://schemas.openxmlformats.org/officeDocument/2006/relationships/hyperlink" Target="https://poolhost.com/profootball/playerstats/1728787" TargetMode="External"/><Relationship Id="rId102" Type="http://schemas.openxmlformats.org/officeDocument/2006/relationships/hyperlink" Target="https://poolhost.com/profootball/playerstats/1708312" TargetMode="External"/><Relationship Id="rId123" Type="http://schemas.openxmlformats.org/officeDocument/2006/relationships/hyperlink" Target="https://poolhost.com/profootball/playerstats/1687892" TargetMode="External"/><Relationship Id="rId128" Type="http://schemas.openxmlformats.org/officeDocument/2006/relationships/hyperlink" Target="https://poolhost.com/profootball/playerstats/1676654" TargetMode="External"/><Relationship Id="rId144" Type="http://schemas.openxmlformats.org/officeDocument/2006/relationships/hyperlink" Target="https://poolhost.com/profootball/playerstats/1666027" TargetMode="External"/><Relationship Id="rId149" Type="http://schemas.openxmlformats.org/officeDocument/2006/relationships/hyperlink" Target="https://poolhost.com/profootball/playerstats/1724223" TargetMode="External"/><Relationship Id="rId5" Type="http://schemas.openxmlformats.org/officeDocument/2006/relationships/hyperlink" Target="https://poolhost.com/profootball/playerstats/1660811" TargetMode="External"/><Relationship Id="rId90" Type="http://schemas.openxmlformats.org/officeDocument/2006/relationships/hyperlink" Target="https://poolhost.com/profootball/playerstats/1705029" TargetMode="External"/><Relationship Id="rId95" Type="http://schemas.openxmlformats.org/officeDocument/2006/relationships/hyperlink" Target="https://poolhost.com/profootball/playerstats/1658459" TargetMode="External"/><Relationship Id="rId160" Type="http://schemas.openxmlformats.org/officeDocument/2006/relationships/hyperlink" Target="https://poolhost.com/profootball/playerstats/1704026" TargetMode="External"/><Relationship Id="rId22" Type="http://schemas.openxmlformats.org/officeDocument/2006/relationships/hyperlink" Target="https://poolhost.com/profootball/playerstats/1654485" TargetMode="External"/><Relationship Id="rId27" Type="http://schemas.openxmlformats.org/officeDocument/2006/relationships/hyperlink" Target="https://poolhost.com/profootball/playerstats/1729262" TargetMode="External"/><Relationship Id="rId43" Type="http://schemas.openxmlformats.org/officeDocument/2006/relationships/hyperlink" Target="https://poolhost.com/profootball/playerstats/1681946" TargetMode="External"/><Relationship Id="rId48" Type="http://schemas.openxmlformats.org/officeDocument/2006/relationships/hyperlink" Target="https://poolhost.com/profootball/playerstats/1729314" TargetMode="External"/><Relationship Id="rId64" Type="http://schemas.openxmlformats.org/officeDocument/2006/relationships/hyperlink" Target="https://poolhost.com/profootball/playerstats/1699660" TargetMode="External"/><Relationship Id="rId69" Type="http://schemas.openxmlformats.org/officeDocument/2006/relationships/hyperlink" Target="https://poolhost.com/profootball/playerstats/1668682" TargetMode="External"/><Relationship Id="rId113" Type="http://schemas.openxmlformats.org/officeDocument/2006/relationships/hyperlink" Target="https://poolhost.com/profootball/playerstats/1703435" TargetMode="External"/><Relationship Id="rId118" Type="http://schemas.openxmlformats.org/officeDocument/2006/relationships/hyperlink" Target="https://poolhost.com/profootball/playerstats/1673234" TargetMode="External"/><Relationship Id="rId134" Type="http://schemas.openxmlformats.org/officeDocument/2006/relationships/hyperlink" Target="https://poolhost.com/profootball/playerstats/1663101" TargetMode="External"/><Relationship Id="rId139" Type="http://schemas.openxmlformats.org/officeDocument/2006/relationships/hyperlink" Target="https://poolhost.com/profootball/playerstats/1735486" TargetMode="External"/><Relationship Id="rId80" Type="http://schemas.openxmlformats.org/officeDocument/2006/relationships/hyperlink" Target="https://poolhost.com/profootball/playerstats/1701354" TargetMode="External"/><Relationship Id="rId85" Type="http://schemas.openxmlformats.org/officeDocument/2006/relationships/hyperlink" Target="https://poolhost.com/profootball/playerstats/1654634" TargetMode="External"/><Relationship Id="rId150" Type="http://schemas.openxmlformats.org/officeDocument/2006/relationships/hyperlink" Target="https://poolhost.com/profootball/playerstats/1708805" TargetMode="External"/><Relationship Id="rId155" Type="http://schemas.openxmlformats.org/officeDocument/2006/relationships/hyperlink" Target="https://poolhost.com/profootball/playerstats/1684290" TargetMode="External"/><Relationship Id="rId12" Type="http://schemas.openxmlformats.org/officeDocument/2006/relationships/hyperlink" Target="https://poolhost.com/profootball/playerstats/1702170" TargetMode="External"/><Relationship Id="rId17" Type="http://schemas.openxmlformats.org/officeDocument/2006/relationships/hyperlink" Target="https://poolhost.com/profootball/playerstats/1679667" TargetMode="External"/><Relationship Id="rId33" Type="http://schemas.openxmlformats.org/officeDocument/2006/relationships/hyperlink" Target="https://poolhost.com/profootball/playerstats/1654448" TargetMode="External"/><Relationship Id="rId38" Type="http://schemas.openxmlformats.org/officeDocument/2006/relationships/hyperlink" Target="https://poolhost.com/profootball/playerstats/1701053" TargetMode="External"/><Relationship Id="rId59" Type="http://schemas.openxmlformats.org/officeDocument/2006/relationships/hyperlink" Target="https://poolhost.com/profootball/playerstats/1733415" TargetMode="External"/><Relationship Id="rId103" Type="http://schemas.openxmlformats.org/officeDocument/2006/relationships/hyperlink" Target="https://poolhost.com/profootball/playerstats/1669212" TargetMode="External"/><Relationship Id="rId108" Type="http://schemas.openxmlformats.org/officeDocument/2006/relationships/hyperlink" Target="https://poolhost.com/profootball/playerstats/1722286" TargetMode="External"/><Relationship Id="rId124" Type="http://schemas.openxmlformats.org/officeDocument/2006/relationships/hyperlink" Target="https://poolhost.com/profootball/playerstats/1708505" TargetMode="External"/><Relationship Id="rId129" Type="http://schemas.openxmlformats.org/officeDocument/2006/relationships/hyperlink" Target="https://poolhost.com/profootball/playerstats/1705272" TargetMode="External"/><Relationship Id="rId54" Type="http://schemas.openxmlformats.org/officeDocument/2006/relationships/hyperlink" Target="https://poolhost.com/profootball/playerstats/1731755" TargetMode="External"/><Relationship Id="rId70" Type="http://schemas.openxmlformats.org/officeDocument/2006/relationships/hyperlink" Target="https://poolhost.com/profootball/playerstats/1672298" TargetMode="External"/><Relationship Id="rId75" Type="http://schemas.openxmlformats.org/officeDocument/2006/relationships/hyperlink" Target="https://poolhost.com/profootball/playerstats/1669323" TargetMode="External"/><Relationship Id="rId91" Type="http://schemas.openxmlformats.org/officeDocument/2006/relationships/hyperlink" Target="https://poolhost.com/profootball/playerstats/1727817" TargetMode="External"/><Relationship Id="rId96" Type="http://schemas.openxmlformats.org/officeDocument/2006/relationships/hyperlink" Target="https://poolhost.com/profootball/playerstats/1732851" TargetMode="External"/><Relationship Id="rId140" Type="http://schemas.openxmlformats.org/officeDocument/2006/relationships/hyperlink" Target="https://poolhost.com/profootball/playerstats/1726632" TargetMode="External"/><Relationship Id="rId145" Type="http://schemas.openxmlformats.org/officeDocument/2006/relationships/hyperlink" Target="https://poolhost.com/profootball/playerstats/1700155" TargetMode="External"/><Relationship Id="rId161" Type="http://schemas.openxmlformats.org/officeDocument/2006/relationships/hyperlink" Target="https://poolhost.com/profootball/playerstats/1734172" TargetMode="External"/><Relationship Id="rId1" Type="http://schemas.openxmlformats.org/officeDocument/2006/relationships/hyperlink" Target="https://poolhost.com/profootball/playerstats/1731690" TargetMode="External"/><Relationship Id="rId6" Type="http://schemas.openxmlformats.org/officeDocument/2006/relationships/hyperlink" Target="https://poolhost.com/profootball/playerstats/1677370" TargetMode="External"/><Relationship Id="rId15" Type="http://schemas.openxmlformats.org/officeDocument/2006/relationships/hyperlink" Target="https://poolhost.com/profootball/playerstats/1733218" TargetMode="External"/><Relationship Id="rId23" Type="http://schemas.openxmlformats.org/officeDocument/2006/relationships/hyperlink" Target="https://poolhost.com/profootball/playerstats/1670484" TargetMode="External"/><Relationship Id="rId28" Type="http://schemas.openxmlformats.org/officeDocument/2006/relationships/hyperlink" Target="https://poolhost.com/profootball/playerstats/1665979" TargetMode="External"/><Relationship Id="rId36" Type="http://schemas.openxmlformats.org/officeDocument/2006/relationships/hyperlink" Target="https://poolhost.com/profootball/playerstats/1657103" TargetMode="External"/><Relationship Id="rId49" Type="http://schemas.openxmlformats.org/officeDocument/2006/relationships/hyperlink" Target="https://poolhost.com/profootball/playerstats/1732290" TargetMode="External"/><Relationship Id="rId57" Type="http://schemas.openxmlformats.org/officeDocument/2006/relationships/hyperlink" Target="https://poolhost.com/profootball/playerstats/1727170" TargetMode="External"/><Relationship Id="rId106" Type="http://schemas.openxmlformats.org/officeDocument/2006/relationships/hyperlink" Target="https://poolhost.com/profootball/playerstats/1679300" TargetMode="External"/><Relationship Id="rId114" Type="http://schemas.openxmlformats.org/officeDocument/2006/relationships/hyperlink" Target="https://poolhost.com/profootball/playerstats/1712780" TargetMode="External"/><Relationship Id="rId119" Type="http://schemas.openxmlformats.org/officeDocument/2006/relationships/hyperlink" Target="https://poolhost.com/profootball/playerstats/1722206" TargetMode="External"/><Relationship Id="rId127" Type="http://schemas.openxmlformats.org/officeDocument/2006/relationships/hyperlink" Target="https://poolhost.com/profootball/playerstats/1657214" TargetMode="External"/><Relationship Id="rId10" Type="http://schemas.openxmlformats.org/officeDocument/2006/relationships/hyperlink" Target="https://poolhost.com/profootball/playerstats/1666092" TargetMode="External"/><Relationship Id="rId31" Type="http://schemas.openxmlformats.org/officeDocument/2006/relationships/hyperlink" Target="https://poolhost.com/profootball/playerstats/1732254" TargetMode="External"/><Relationship Id="rId44" Type="http://schemas.openxmlformats.org/officeDocument/2006/relationships/hyperlink" Target="https://poolhost.com/profootball/playerstats/1732411" TargetMode="External"/><Relationship Id="rId52" Type="http://schemas.openxmlformats.org/officeDocument/2006/relationships/hyperlink" Target="https://poolhost.com/profootball/playerstats/1667866" TargetMode="External"/><Relationship Id="rId60" Type="http://schemas.openxmlformats.org/officeDocument/2006/relationships/hyperlink" Target="https://poolhost.com/profootball/playerstats/1705249" TargetMode="External"/><Relationship Id="rId65" Type="http://schemas.openxmlformats.org/officeDocument/2006/relationships/hyperlink" Target="https://poolhost.com/profootball/playerstats/1699295" TargetMode="External"/><Relationship Id="rId73" Type="http://schemas.openxmlformats.org/officeDocument/2006/relationships/hyperlink" Target="https://poolhost.com/profootball/playerstats/1722233" TargetMode="External"/><Relationship Id="rId78" Type="http://schemas.openxmlformats.org/officeDocument/2006/relationships/hyperlink" Target="https://poolhost.com/profootball/playerstats/1671837" TargetMode="External"/><Relationship Id="rId81" Type="http://schemas.openxmlformats.org/officeDocument/2006/relationships/hyperlink" Target="https://poolhost.com/profootball/playerstats/1679009" TargetMode="External"/><Relationship Id="rId86" Type="http://schemas.openxmlformats.org/officeDocument/2006/relationships/hyperlink" Target="https://poolhost.com/profootball/playerstats/1661711" TargetMode="External"/><Relationship Id="rId94" Type="http://schemas.openxmlformats.org/officeDocument/2006/relationships/hyperlink" Target="https://poolhost.com/profootball/playerstats/1680041" TargetMode="External"/><Relationship Id="rId99" Type="http://schemas.openxmlformats.org/officeDocument/2006/relationships/hyperlink" Target="https://poolhost.com/profootball/playerstats/1732996" TargetMode="External"/><Relationship Id="rId101" Type="http://schemas.openxmlformats.org/officeDocument/2006/relationships/hyperlink" Target="https://poolhost.com/profootball/playerstats/1695716" TargetMode="External"/><Relationship Id="rId122" Type="http://schemas.openxmlformats.org/officeDocument/2006/relationships/hyperlink" Target="https://poolhost.com/profootball/playerstats/1734363" TargetMode="External"/><Relationship Id="rId130" Type="http://schemas.openxmlformats.org/officeDocument/2006/relationships/hyperlink" Target="https://poolhost.com/profootball/playerstats/1666449" TargetMode="External"/><Relationship Id="rId135" Type="http://schemas.openxmlformats.org/officeDocument/2006/relationships/hyperlink" Target="https://poolhost.com/profootball/playerstats/1741250" TargetMode="External"/><Relationship Id="rId143" Type="http://schemas.openxmlformats.org/officeDocument/2006/relationships/hyperlink" Target="https://poolhost.com/profootball/playerstats/1649341" TargetMode="External"/><Relationship Id="rId148" Type="http://schemas.openxmlformats.org/officeDocument/2006/relationships/hyperlink" Target="https://poolhost.com/profootball/playerstats/1665810" TargetMode="External"/><Relationship Id="rId151" Type="http://schemas.openxmlformats.org/officeDocument/2006/relationships/hyperlink" Target="https://poolhost.com/profootball/playerstats/1654791" TargetMode="External"/><Relationship Id="rId156" Type="http://schemas.openxmlformats.org/officeDocument/2006/relationships/hyperlink" Target="https://poolhost.com/profootball/playerstats/1654649" TargetMode="External"/><Relationship Id="rId4" Type="http://schemas.openxmlformats.org/officeDocument/2006/relationships/hyperlink" Target="https://poolhost.com/profootball/playerstats/1662306" TargetMode="External"/><Relationship Id="rId9" Type="http://schemas.openxmlformats.org/officeDocument/2006/relationships/hyperlink" Target="https://poolhost.com/profootball/playerstats/1705346" TargetMode="External"/><Relationship Id="rId13" Type="http://schemas.openxmlformats.org/officeDocument/2006/relationships/hyperlink" Target="https://poolhost.com/profootball/playerstats/1665910" TargetMode="External"/><Relationship Id="rId18" Type="http://schemas.openxmlformats.org/officeDocument/2006/relationships/hyperlink" Target="https://poolhost.com/profootball/playerstats/1668628" TargetMode="External"/><Relationship Id="rId39" Type="http://schemas.openxmlformats.org/officeDocument/2006/relationships/hyperlink" Target="https://poolhost.com/profootball/playerstats/1655488" TargetMode="External"/><Relationship Id="rId109" Type="http://schemas.openxmlformats.org/officeDocument/2006/relationships/hyperlink" Target="https://poolhost.com/profootball/playerstats/1683389" TargetMode="External"/><Relationship Id="rId34" Type="http://schemas.openxmlformats.org/officeDocument/2006/relationships/hyperlink" Target="https://poolhost.com/profootball/playerstats/1654623" TargetMode="External"/><Relationship Id="rId50" Type="http://schemas.openxmlformats.org/officeDocument/2006/relationships/hyperlink" Target="https://poolhost.com/profootball/playerstats/1667376" TargetMode="External"/><Relationship Id="rId55" Type="http://schemas.openxmlformats.org/officeDocument/2006/relationships/hyperlink" Target="https://poolhost.com/profootball/playerstats/1676125" TargetMode="External"/><Relationship Id="rId76" Type="http://schemas.openxmlformats.org/officeDocument/2006/relationships/hyperlink" Target="https://poolhost.com/profootball/playerstats/1674022" TargetMode="External"/><Relationship Id="rId97" Type="http://schemas.openxmlformats.org/officeDocument/2006/relationships/hyperlink" Target="https://poolhost.com/profootball/playerstats/1654484" TargetMode="External"/><Relationship Id="rId104" Type="http://schemas.openxmlformats.org/officeDocument/2006/relationships/hyperlink" Target="https://poolhost.com/profootball/playerstats/1666473" TargetMode="External"/><Relationship Id="rId120" Type="http://schemas.openxmlformats.org/officeDocument/2006/relationships/hyperlink" Target="https://poolhost.com/profootball/playerstats/1665631" TargetMode="External"/><Relationship Id="rId125" Type="http://schemas.openxmlformats.org/officeDocument/2006/relationships/hyperlink" Target="https://poolhost.com/profootball/playerstats/1659558" TargetMode="External"/><Relationship Id="rId141" Type="http://schemas.openxmlformats.org/officeDocument/2006/relationships/hyperlink" Target="https://poolhost.com/profootball/playerstats/1691673" TargetMode="External"/><Relationship Id="rId146" Type="http://schemas.openxmlformats.org/officeDocument/2006/relationships/hyperlink" Target="https://poolhost.com/profootball/playerstats/1702449" TargetMode="External"/><Relationship Id="rId7" Type="http://schemas.openxmlformats.org/officeDocument/2006/relationships/hyperlink" Target="https://poolhost.com/profootball/playerstats/1678632" TargetMode="External"/><Relationship Id="rId71" Type="http://schemas.openxmlformats.org/officeDocument/2006/relationships/hyperlink" Target="https://poolhost.com/profootball/playerstats/1681958" TargetMode="External"/><Relationship Id="rId92" Type="http://schemas.openxmlformats.org/officeDocument/2006/relationships/hyperlink" Target="https://poolhost.com/profootball/playerstats/1683531" TargetMode="External"/><Relationship Id="rId162" Type="http://schemas.openxmlformats.org/officeDocument/2006/relationships/hyperlink" Target="https://poolhost.com/profootball/playerstats/1663641" TargetMode="External"/><Relationship Id="rId2" Type="http://schemas.openxmlformats.org/officeDocument/2006/relationships/hyperlink" Target="https://poolhost.com/profootball/playerstats/1670025" TargetMode="External"/><Relationship Id="rId29" Type="http://schemas.openxmlformats.org/officeDocument/2006/relationships/hyperlink" Target="https://poolhost.com/profootball/playerstats/1695492" TargetMode="External"/><Relationship Id="rId24" Type="http://schemas.openxmlformats.org/officeDocument/2006/relationships/hyperlink" Target="https://poolhost.com/profootball/playerstats/1708448" TargetMode="External"/><Relationship Id="rId40" Type="http://schemas.openxmlformats.org/officeDocument/2006/relationships/hyperlink" Target="https://poolhost.com/profootball/playerstats/1678667" TargetMode="External"/><Relationship Id="rId45" Type="http://schemas.openxmlformats.org/officeDocument/2006/relationships/hyperlink" Target="https://poolhost.com/profootball/playerstats/1674086" TargetMode="External"/><Relationship Id="rId66" Type="http://schemas.openxmlformats.org/officeDocument/2006/relationships/hyperlink" Target="https://poolhost.com/profootball/playerstats/1659875" TargetMode="External"/><Relationship Id="rId87" Type="http://schemas.openxmlformats.org/officeDocument/2006/relationships/hyperlink" Target="https://poolhost.com/profootball/playerstats/1730270" TargetMode="External"/><Relationship Id="rId110" Type="http://schemas.openxmlformats.org/officeDocument/2006/relationships/hyperlink" Target="https://poolhost.com/profootball/playerstats/1667937" TargetMode="External"/><Relationship Id="rId115" Type="http://schemas.openxmlformats.org/officeDocument/2006/relationships/hyperlink" Target="https://poolhost.com/profootball/playerstats/1654500" TargetMode="External"/><Relationship Id="rId131" Type="http://schemas.openxmlformats.org/officeDocument/2006/relationships/hyperlink" Target="https://poolhost.com/profootball/playerstats/1681897" TargetMode="External"/><Relationship Id="rId136" Type="http://schemas.openxmlformats.org/officeDocument/2006/relationships/hyperlink" Target="https://poolhost.com/profootball/playerstats/1711169" TargetMode="External"/><Relationship Id="rId157" Type="http://schemas.openxmlformats.org/officeDocument/2006/relationships/hyperlink" Target="https://poolhost.com/profootball/playerstats/1707988" TargetMode="External"/><Relationship Id="rId61" Type="http://schemas.openxmlformats.org/officeDocument/2006/relationships/hyperlink" Target="https://poolhost.com/profootball/playerstats/1673761" TargetMode="External"/><Relationship Id="rId82" Type="http://schemas.openxmlformats.org/officeDocument/2006/relationships/hyperlink" Target="https://poolhost.com/profootball/playerstats/1656464" TargetMode="External"/><Relationship Id="rId152" Type="http://schemas.openxmlformats.org/officeDocument/2006/relationships/hyperlink" Target="https://poolhost.com/profootball/playerstats/1732788" TargetMode="External"/><Relationship Id="rId19" Type="http://schemas.openxmlformats.org/officeDocument/2006/relationships/hyperlink" Target="https://poolhost.com/profootball/playerstats/1661981" TargetMode="External"/><Relationship Id="rId14" Type="http://schemas.openxmlformats.org/officeDocument/2006/relationships/hyperlink" Target="https://poolhost.com/profootball/playerstats/1685256" TargetMode="External"/><Relationship Id="rId30" Type="http://schemas.openxmlformats.org/officeDocument/2006/relationships/hyperlink" Target="https://poolhost.com/profootball/playerstats/1729617" TargetMode="External"/><Relationship Id="rId35" Type="http://schemas.openxmlformats.org/officeDocument/2006/relationships/hyperlink" Target="https://poolhost.com/profootball/playerstats/1715552" TargetMode="External"/><Relationship Id="rId56" Type="http://schemas.openxmlformats.org/officeDocument/2006/relationships/hyperlink" Target="https://poolhost.com/profootball/playerstats/1654603" TargetMode="External"/><Relationship Id="rId77" Type="http://schemas.openxmlformats.org/officeDocument/2006/relationships/hyperlink" Target="https://poolhost.com/profootball/playerstats/1677049" TargetMode="External"/><Relationship Id="rId100" Type="http://schemas.openxmlformats.org/officeDocument/2006/relationships/hyperlink" Target="https://poolhost.com/profootball/playerstats/1668687" TargetMode="External"/><Relationship Id="rId105" Type="http://schemas.openxmlformats.org/officeDocument/2006/relationships/hyperlink" Target="https://poolhost.com/profootball/playerstats/1694354" TargetMode="External"/><Relationship Id="rId126" Type="http://schemas.openxmlformats.org/officeDocument/2006/relationships/hyperlink" Target="https://poolhost.com/profootball/playerstats/1699810" TargetMode="External"/><Relationship Id="rId147" Type="http://schemas.openxmlformats.org/officeDocument/2006/relationships/hyperlink" Target="https://poolhost.com/profootball/playerstats/1679156" TargetMode="External"/><Relationship Id="rId8" Type="http://schemas.openxmlformats.org/officeDocument/2006/relationships/hyperlink" Target="https://poolhost.com/profootball/playerstats/1721401" TargetMode="External"/><Relationship Id="rId51" Type="http://schemas.openxmlformats.org/officeDocument/2006/relationships/hyperlink" Target="https://poolhost.com/profootball/playerstats/1725535" TargetMode="External"/><Relationship Id="rId72" Type="http://schemas.openxmlformats.org/officeDocument/2006/relationships/hyperlink" Target="https://poolhost.com/profootball/playerstats/1730347" TargetMode="External"/><Relationship Id="rId93" Type="http://schemas.openxmlformats.org/officeDocument/2006/relationships/hyperlink" Target="https://poolhost.com/profootball/playerstats/1685066" TargetMode="External"/><Relationship Id="rId98" Type="http://schemas.openxmlformats.org/officeDocument/2006/relationships/hyperlink" Target="https://poolhost.com/profootball/playerstats/1697912" TargetMode="External"/><Relationship Id="rId121" Type="http://schemas.openxmlformats.org/officeDocument/2006/relationships/hyperlink" Target="https://poolhost.com/profootball/playerstats/1668461" TargetMode="External"/><Relationship Id="rId142" Type="http://schemas.openxmlformats.org/officeDocument/2006/relationships/hyperlink" Target="https://poolhost.com/profootball/playerstats/1700157" TargetMode="External"/><Relationship Id="rId163" Type="http://schemas.openxmlformats.org/officeDocument/2006/relationships/hyperlink" Target="https://poolhost.com/profootball/playerstats/1672167" TargetMode="External"/><Relationship Id="rId3" Type="http://schemas.openxmlformats.org/officeDocument/2006/relationships/hyperlink" Target="https://poolhost.com/profootball/playerstats/1709552" TargetMode="External"/><Relationship Id="rId25" Type="http://schemas.openxmlformats.org/officeDocument/2006/relationships/hyperlink" Target="https://poolhost.com/profootball/playerstats/1657583" TargetMode="External"/><Relationship Id="rId46" Type="http://schemas.openxmlformats.org/officeDocument/2006/relationships/hyperlink" Target="https://poolhost.com/profootball/playerstats/1678377" TargetMode="External"/><Relationship Id="rId67" Type="http://schemas.openxmlformats.org/officeDocument/2006/relationships/hyperlink" Target="https://poolhost.com/profootball/playerstats/1726326" TargetMode="External"/><Relationship Id="rId116" Type="http://schemas.openxmlformats.org/officeDocument/2006/relationships/hyperlink" Target="https://poolhost.com/profootball/playerstats/1709781" TargetMode="External"/><Relationship Id="rId137" Type="http://schemas.openxmlformats.org/officeDocument/2006/relationships/hyperlink" Target="https://poolhost.com/profootball/playerstats/1684491" TargetMode="External"/><Relationship Id="rId158" Type="http://schemas.openxmlformats.org/officeDocument/2006/relationships/hyperlink" Target="https://poolhost.com/profootball/playerstats/1686915" TargetMode="External"/><Relationship Id="rId20" Type="http://schemas.openxmlformats.org/officeDocument/2006/relationships/hyperlink" Target="https://poolhost.com/profootball/playerstats/1696717" TargetMode="External"/><Relationship Id="rId41" Type="http://schemas.openxmlformats.org/officeDocument/2006/relationships/hyperlink" Target="https://poolhost.com/profootball/playerstats/1729491" TargetMode="External"/><Relationship Id="rId62" Type="http://schemas.openxmlformats.org/officeDocument/2006/relationships/hyperlink" Target="https://poolhost.com/profootball/playerstats/1671748" TargetMode="External"/><Relationship Id="rId83" Type="http://schemas.openxmlformats.org/officeDocument/2006/relationships/hyperlink" Target="https://poolhost.com/profootball/playerstats/1673248" TargetMode="External"/><Relationship Id="rId88" Type="http://schemas.openxmlformats.org/officeDocument/2006/relationships/hyperlink" Target="https://poolhost.com/profootball/playerstats/1686727" TargetMode="External"/><Relationship Id="rId111" Type="http://schemas.openxmlformats.org/officeDocument/2006/relationships/hyperlink" Target="https://poolhost.com/profootball/playerstats/1705049" TargetMode="External"/><Relationship Id="rId132" Type="http://schemas.openxmlformats.org/officeDocument/2006/relationships/hyperlink" Target="https://poolhost.com/profootball/playerstats/1669305" TargetMode="External"/><Relationship Id="rId153" Type="http://schemas.openxmlformats.org/officeDocument/2006/relationships/hyperlink" Target="https://poolhost.com/profootball/playerstats/1682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4"/>
  <sheetViews>
    <sheetView topLeftCell="H51" zoomScaleNormal="100" workbookViewId="0">
      <selection activeCell="AA1" sqref="AA1:AB1048576"/>
    </sheetView>
  </sheetViews>
  <sheetFormatPr defaultRowHeight="14.4" x14ac:dyDescent="0.3"/>
  <sheetData>
    <row r="1" spans="1:28" ht="15" thickBot="1" x14ac:dyDescent="0.35">
      <c r="A1" s="2" t="s">
        <v>0</v>
      </c>
      <c r="D1">
        <v>2</v>
      </c>
      <c r="E1">
        <f>D1+1</f>
        <v>3</v>
      </c>
      <c r="F1">
        <f t="shared" ref="F1:S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v>18</v>
      </c>
      <c r="U1">
        <v>19</v>
      </c>
      <c r="W1" s="16">
        <v>0</v>
      </c>
      <c r="X1" s="11">
        <f t="shared" ref="X1:X15" si="1">COUNTIF(T$16:T$199,W1)</f>
        <v>0</v>
      </c>
      <c r="Y1" s="20">
        <f>X1/SUM(X$1:X$14)</f>
        <v>0</v>
      </c>
      <c r="AA1" t="s">
        <v>227</v>
      </c>
    </row>
    <row r="2" spans="1:28" ht="15" thickBot="1" x14ac:dyDescent="0.35">
      <c r="A2" s="2" t="s">
        <v>1</v>
      </c>
      <c r="C2" t="s">
        <v>204</v>
      </c>
      <c r="E2" s="24" t="str">
        <f>IF(VLOOKUP($C2,$C$16:$AA$192,E$1,FALSE)=E$8,"Y","N")</f>
        <v>Y</v>
      </c>
      <c r="F2" s="25" t="str">
        <f t="shared" ref="F2:S3" si="2">IF(VLOOKUP($C2,$C$16:$AA$192,F$1,FALSE)=F$8,"Y","N")</f>
        <v>N</v>
      </c>
      <c r="G2" s="25" t="str">
        <f t="shared" si="2"/>
        <v>Y</v>
      </c>
      <c r="H2" s="25" t="str">
        <f t="shared" si="2"/>
        <v>Y</v>
      </c>
      <c r="I2" s="25" t="str">
        <f t="shared" si="2"/>
        <v>Y</v>
      </c>
      <c r="J2" s="39"/>
      <c r="K2" s="25" t="str">
        <f t="shared" si="2"/>
        <v>Y</v>
      </c>
      <c r="L2" s="25" t="str">
        <f t="shared" si="2"/>
        <v>Y</v>
      </c>
      <c r="M2" s="25" t="str">
        <f t="shared" si="2"/>
        <v>Y</v>
      </c>
      <c r="N2" s="25" t="str">
        <f t="shared" si="2"/>
        <v>Y</v>
      </c>
      <c r="O2" s="25" t="str">
        <f t="shared" si="2"/>
        <v>Y</v>
      </c>
      <c r="P2" s="25" t="str">
        <f t="shared" si="2"/>
        <v>Y</v>
      </c>
      <c r="Q2" s="25" t="str">
        <f t="shared" si="2"/>
        <v>N</v>
      </c>
      <c r="R2" s="25" t="str">
        <f t="shared" si="2"/>
        <v>N</v>
      </c>
      <c r="S2" s="26" t="str">
        <f t="shared" si="2"/>
        <v>Y</v>
      </c>
      <c r="T2" s="19">
        <f>VLOOKUP($C2,$C$16:$AA$192,T$1,FALSE)</f>
        <v>10</v>
      </c>
      <c r="U2" s="19">
        <f>VLOOKUP($C2,$C$16:$AA$192,U$1,FALSE)</f>
        <v>10</v>
      </c>
      <c r="W2" s="23">
        <v>1</v>
      </c>
      <c r="X2" s="12">
        <f t="shared" si="1"/>
        <v>1</v>
      </c>
      <c r="Y2" s="21">
        <f t="shared" ref="Y2:Y15" si="3">X2/SUM(X$1:X$14)</f>
        <v>6.1349693251533744E-3</v>
      </c>
      <c r="AA2">
        <v>0</v>
      </c>
      <c r="AB2">
        <f>COUNTIF(V$16:V$179,AA2)</f>
        <v>0</v>
      </c>
    </row>
    <row r="3" spans="1:28" ht="15" thickBot="1" x14ac:dyDescent="0.35">
      <c r="A3" s="2" t="s">
        <v>2</v>
      </c>
      <c r="C3" t="s">
        <v>162</v>
      </c>
      <c r="E3" s="13" t="str">
        <f t="shared" ref="E3" si="4">IF(VLOOKUP($C3,$C$16:$AA$192,E$1,FALSE)=E$8,"Y","N")</f>
        <v>Y</v>
      </c>
      <c r="F3" s="14" t="str">
        <f t="shared" si="2"/>
        <v>N</v>
      </c>
      <c r="G3" s="14" t="str">
        <f t="shared" si="2"/>
        <v>Y</v>
      </c>
      <c r="H3" s="14" t="str">
        <f t="shared" si="2"/>
        <v>Y</v>
      </c>
      <c r="I3" s="14" t="str">
        <f t="shared" si="2"/>
        <v>Y</v>
      </c>
      <c r="J3" s="40"/>
      <c r="K3" s="14" t="str">
        <f t="shared" si="2"/>
        <v>Y</v>
      </c>
      <c r="L3" s="14" t="str">
        <f t="shared" si="2"/>
        <v>N</v>
      </c>
      <c r="M3" s="14" t="str">
        <f t="shared" si="2"/>
        <v>N</v>
      </c>
      <c r="N3" s="14" t="str">
        <f t="shared" si="2"/>
        <v>Y</v>
      </c>
      <c r="O3" s="14" t="str">
        <f t="shared" si="2"/>
        <v>N</v>
      </c>
      <c r="P3" s="14" t="str">
        <f t="shared" si="2"/>
        <v>Y</v>
      </c>
      <c r="Q3" s="14" t="str">
        <f t="shared" si="2"/>
        <v>Y</v>
      </c>
      <c r="R3" s="14" t="str">
        <f t="shared" si="2"/>
        <v>Y</v>
      </c>
      <c r="S3" s="15" t="str">
        <f t="shared" si="2"/>
        <v>Y</v>
      </c>
      <c r="T3" s="18">
        <f>VLOOKUP($C3,$C$16:$AA$192,T$1,FALSE)</f>
        <v>9</v>
      </c>
      <c r="U3" s="18">
        <f>VLOOKUP($C3,$C$16:$AA$192,U$1,FALSE)</f>
        <v>9</v>
      </c>
      <c r="W3" s="23">
        <v>2</v>
      </c>
      <c r="X3" s="12">
        <f t="shared" si="1"/>
        <v>1</v>
      </c>
      <c r="Y3" s="21">
        <f t="shared" si="3"/>
        <v>6.1349693251533744E-3</v>
      </c>
      <c r="AA3">
        <v>1</v>
      </c>
      <c r="AB3">
        <f t="shared" ref="AB3:AB66" si="5">COUNTIF(V$16:V$179,AA3)</f>
        <v>0</v>
      </c>
    </row>
    <row r="4" spans="1:28" x14ac:dyDescent="0.3">
      <c r="A4" s="2" t="s">
        <v>3</v>
      </c>
      <c r="C4" t="s">
        <v>205</v>
      </c>
      <c r="E4" s="9"/>
      <c r="F4" s="9">
        <f t="shared" ref="F4:S4" si="6">F5/SUM(F5:F6)</f>
        <v>0.73006134969325154</v>
      </c>
      <c r="G4" s="9">
        <f t="shared" si="6"/>
        <v>0.6073619631901841</v>
      </c>
      <c r="H4" s="9">
        <f t="shared" si="6"/>
        <v>0.5214723926380368</v>
      </c>
      <c r="I4" s="9">
        <f t="shared" si="6"/>
        <v>0.61963190184049077</v>
      </c>
      <c r="J4" s="9">
        <f t="shared" si="6"/>
        <v>0.2822085889570552</v>
      </c>
      <c r="K4" s="9">
        <f t="shared" si="6"/>
        <v>0.754601226993865</v>
      </c>
      <c r="L4" s="9">
        <f t="shared" si="6"/>
        <v>0.63190184049079756</v>
      </c>
      <c r="M4" s="9">
        <f t="shared" si="6"/>
        <v>0.46012269938650308</v>
      </c>
      <c r="N4" s="9">
        <f t="shared" si="6"/>
        <v>0.56441717791411039</v>
      </c>
      <c r="O4" s="9">
        <f t="shared" si="6"/>
        <v>0.69325153374233128</v>
      </c>
      <c r="P4" s="9">
        <f t="shared" si="6"/>
        <v>0.41717791411042943</v>
      </c>
      <c r="Q4" s="9">
        <f t="shared" si="6"/>
        <v>0.6073619631901841</v>
      </c>
      <c r="R4" s="9">
        <f t="shared" si="6"/>
        <v>0.74846625766871167</v>
      </c>
      <c r="S4" s="9">
        <f t="shared" si="6"/>
        <v>0.60122699386503065</v>
      </c>
      <c r="T4" s="10" t="s">
        <v>217</v>
      </c>
      <c r="U4" s="10" t="s">
        <v>218</v>
      </c>
      <c r="W4" s="23">
        <v>3</v>
      </c>
      <c r="X4" s="12">
        <f t="shared" si="1"/>
        <v>3</v>
      </c>
      <c r="Y4" s="21">
        <f t="shared" si="3"/>
        <v>1.8404907975460124E-2</v>
      </c>
      <c r="AA4">
        <v>2</v>
      </c>
      <c r="AB4">
        <f t="shared" si="5"/>
        <v>0</v>
      </c>
    </row>
    <row r="5" spans="1:28" x14ac:dyDescent="0.3">
      <c r="A5" s="2" t="s">
        <v>0</v>
      </c>
      <c r="C5" t="s">
        <v>202</v>
      </c>
      <c r="D5">
        <f>COUNTIF(D$16:D$197,D10)</f>
        <v>0</v>
      </c>
      <c r="E5" s="10"/>
      <c r="F5" s="10">
        <f t="shared" ref="F5:Q5" si="7">COUNTIF(F$16:F$197,F10)</f>
        <v>119</v>
      </c>
      <c r="G5" s="10">
        <f t="shared" si="7"/>
        <v>99</v>
      </c>
      <c r="H5" s="10">
        <f t="shared" si="7"/>
        <v>85</v>
      </c>
      <c r="I5" s="10">
        <f t="shared" si="7"/>
        <v>101</v>
      </c>
      <c r="J5" s="10">
        <f t="shared" si="7"/>
        <v>46</v>
      </c>
      <c r="K5" s="10">
        <f t="shared" si="7"/>
        <v>123</v>
      </c>
      <c r="L5" s="10">
        <f t="shared" si="7"/>
        <v>103</v>
      </c>
      <c r="M5" s="10">
        <f t="shared" si="7"/>
        <v>75</v>
      </c>
      <c r="N5" s="10">
        <f t="shared" si="7"/>
        <v>92</v>
      </c>
      <c r="O5" s="10">
        <f t="shared" si="7"/>
        <v>113</v>
      </c>
      <c r="P5" s="10">
        <f t="shared" si="7"/>
        <v>68</v>
      </c>
      <c r="Q5" s="10">
        <f t="shared" si="7"/>
        <v>99</v>
      </c>
      <c r="R5" s="10">
        <f t="shared" ref="R5:S5" si="8">COUNTIF(R$16:R$197,R10)</f>
        <v>122</v>
      </c>
      <c r="S5" s="10">
        <f t="shared" si="8"/>
        <v>98</v>
      </c>
      <c r="W5" s="23">
        <v>4</v>
      </c>
      <c r="X5" s="12">
        <f t="shared" si="1"/>
        <v>14</v>
      </c>
      <c r="Y5" s="21">
        <f t="shared" si="3"/>
        <v>8.5889570552147243E-2</v>
      </c>
      <c r="AA5">
        <v>3</v>
      </c>
      <c r="AB5">
        <f t="shared" si="5"/>
        <v>0</v>
      </c>
    </row>
    <row r="6" spans="1:28" ht="15" thickBot="1" x14ac:dyDescent="0.35">
      <c r="A6" s="2" t="s">
        <v>4</v>
      </c>
      <c r="C6" t="s">
        <v>203</v>
      </c>
      <c r="D6">
        <f>COUNTIF(D$16:D$197,D12)</f>
        <v>0</v>
      </c>
      <c r="E6" s="10"/>
      <c r="F6" s="10">
        <f t="shared" ref="F6:Q6" si="9">COUNTIF(F$16:F$197,F12)</f>
        <v>44</v>
      </c>
      <c r="G6" s="10">
        <f t="shared" si="9"/>
        <v>64</v>
      </c>
      <c r="H6" s="10">
        <f t="shared" si="9"/>
        <v>78</v>
      </c>
      <c r="I6" s="10">
        <f t="shared" si="9"/>
        <v>62</v>
      </c>
      <c r="J6" s="10">
        <f t="shared" si="9"/>
        <v>117</v>
      </c>
      <c r="K6" s="10">
        <f t="shared" si="9"/>
        <v>40</v>
      </c>
      <c r="L6" s="10">
        <f t="shared" si="9"/>
        <v>60</v>
      </c>
      <c r="M6" s="10">
        <f t="shared" si="9"/>
        <v>88</v>
      </c>
      <c r="N6" s="10">
        <f t="shared" si="9"/>
        <v>71</v>
      </c>
      <c r="O6" s="10">
        <f t="shared" si="9"/>
        <v>50</v>
      </c>
      <c r="P6" s="10">
        <f t="shared" si="9"/>
        <v>95</v>
      </c>
      <c r="Q6" s="10">
        <f t="shared" si="9"/>
        <v>64</v>
      </c>
      <c r="R6" s="10">
        <f t="shared" ref="R6:S6" si="10">COUNTIF(R$16:R$197,R12)</f>
        <v>41</v>
      </c>
      <c r="S6" s="10">
        <f t="shared" si="10"/>
        <v>65</v>
      </c>
      <c r="W6" s="23">
        <v>5</v>
      </c>
      <c r="X6" s="12">
        <f t="shared" si="1"/>
        <v>22</v>
      </c>
      <c r="Y6" s="21">
        <f t="shared" si="3"/>
        <v>0.13496932515337423</v>
      </c>
      <c r="AA6">
        <f>AA5+1</f>
        <v>4</v>
      </c>
      <c r="AB6">
        <f t="shared" si="5"/>
        <v>0</v>
      </c>
    </row>
    <row r="7" spans="1:28" ht="15" thickBot="1" x14ac:dyDescent="0.35">
      <c r="A7" s="2"/>
      <c r="C7" t="s">
        <v>213</v>
      </c>
      <c r="E7" s="10"/>
      <c r="F7" s="28" t="str">
        <f t="shared" ref="F7" si="11">IF(AND(F10=F8,F4&gt;0.5),"Y",IF(AND(F10=F8,F4&lt;0.5),"N",IF(F4&gt;0.5,"Y","N")))</f>
        <v>Y</v>
      </c>
      <c r="G7" s="11" t="str">
        <f>IF(AND(G10=G8,G4&gt;0.5),"Y",IF(AND(G10=G8,G4&lt;0.5),"N",IF(G4&lt;0.5,"Y","N")))</f>
        <v>N</v>
      </c>
      <c r="H7" s="11" t="str">
        <f t="shared" ref="H7:S7" si="12">IF(AND(H10=H8,H4&gt;0.5),"Y",IF(AND(H10=H8,H4&lt;0.5),"N",IF(H4&lt;0.5,"Y","N")))</f>
        <v>Y</v>
      </c>
      <c r="I7" s="11" t="str">
        <f t="shared" si="12"/>
        <v>N</v>
      </c>
      <c r="J7" s="39"/>
      <c r="K7" s="11" t="str">
        <f t="shared" si="12"/>
        <v>N</v>
      </c>
      <c r="L7" s="11" t="str">
        <f t="shared" si="12"/>
        <v>Y</v>
      </c>
      <c r="M7" s="11" t="str">
        <f t="shared" si="12"/>
        <v>Y</v>
      </c>
      <c r="N7" s="11" t="str">
        <f t="shared" si="12"/>
        <v>Y</v>
      </c>
      <c r="O7" s="11" t="str">
        <f t="shared" si="12"/>
        <v>Y</v>
      </c>
      <c r="P7" s="11" t="str">
        <f t="shared" si="12"/>
        <v>Y</v>
      </c>
      <c r="Q7" s="11" t="str">
        <f t="shared" si="12"/>
        <v>Y</v>
      </c>
      <c r="R7" s="11" t="str">
        <f t="shared" si="12"/>
        <v>Y</v>
      </c>
      <c r="S7" s="29" t="str">
        <f t="shared" si="12"/>
        <v>Y</v>
      </c>
      <c r="T7" s="37" t="s">
        <v>220</v>
      </c>
      <c r="U7" s="38">
        <f>COUNTIF(E7:S7,"Y")</f>
        <v>10</v>
      </c>
      <c r="W7" s="23">
        <v>6</v>
      </c>
      <c r="X7" s="12">
        <f t="shared" si="1"/>
        <v>33</v>
      </c>
      <c r="Y7" s="21">
        <f t="shared" si="3"/>
        <v>0.20245398773006135</v>
      </c>
      <c r="AA7">
        <f t="shared" ref="AA7:AA70" si="13">AA6+1</f>
        <v>5</v>
      </c>
      <c r="AB7">
        <f t="shared" si="5"/>
        <v>0</v>
      </c>
    </row>
    <row r="8" spans="1:28" ht="15.6" customHeight="1" thickBot="1" x14ac:dyDescent="0.35">
      <c r="A8" s="2"/>
      <c r="C8" t="s">
        <v>212</v>
      </c>
      <c r="E8" s="5"/>
      <c r="F8" s="30" t="s">
        <v>67</v>
      </c>
      <c r="G8" s="31" t="s">
        <v>55</v>
      </c>
      <c r="H8" s="31" t="s">
        <v>50</v>
      </c>
      <c r="I8" s="31" t="s">
        <v>56</v>
      </c>
      <c r="J8" s="40"/>
      <c r="K8" s="31" t="s">
        <v>51</v>
      </c>
      <c r="L8" s="31" t="s">
        <v>58</v>
      </c>
      <c r="M8" s="31" t="s">
        <v>207</v>
      </c>
      <c r="N8" s="31" t="s">
        <v>65</v>
      </c>
      <c r="O8" s="31" t="s">
        <v>47</v>
      </c>
      <c r="P8" s="31" t="s">
        <v>70</v>
      </c>
      <c r="Q8" s="31" t="s">
        <v>59</v>
      </c>
      <c r="R8" s="31" t="s">
        <v>71</v>
      </c>
      <c r="S8" s="32" t="s">
        <v>48</v>
      </c>
      <c r="W8" s="34">
        <v>7</v>
      </c>
      <c r="X8" s="35">
        <f t="shared" si="1"/>
        <v>27</v>
      </c>
      <c r="Y8" s="36">
        <f t="shared" si="3"/>
        <v>0.16564417177914109</v>
      </c>
      <c r="AA8">
        <f t="shared" si="13"/>
        <v>6</v>
      </c>
      <c r="AB8">
        <f t="shared" si="5"/>
        <v>0</v>
      </c>
    </row>
    <row r="9" spans="1:28" x14ac:dyDescent="0.3">
      <c r="A9" s="47" t="s">
        <v>46</v>
      </c>
      <c r="B9" s="47"/>
      <c r="C9" s="2" t="s">
        <v>0</v>
      </c>
      <c r="D9" s="7">
        <v>27</v>
      </c>
      <c r="E9" s="7">
        <v>34</v>
      </c>
      <c r="F9" s="7">
        <v>10</v>
      </c>
      <c r="G9" s="7">
        <v>34</v>
      </c>
      <c r="H9" s="7">
        <v>24</v>
      </c>
      <c r="I9" s="7">
        <v>10</v>
      </c>
      <c r="J9" s="7">
        <v>27</v>
      </c>
      <c r="K9" s="7">
        <v>20</v>
      </c>
      <c r="L9" s="7">
        <v>47</v>
      </c>
      <c r="M9" s="7">
        <v>6</v>
      </c>
      <c r="N9" s="7">
        <v>22</v>
      </c>
      <c r="O9" s="7">
        <v>26</v>
      </c>
      <c r="P9" s="7">
        <v>17</v>
      </c>
      <c r="Q9" s="7">
        <v>37</v>
      </c>
      <c r="R9" s="7">
        <v>26</v>
      </c>
      <c r="S9" s="7">
        <v>32</v>
      </c>
      <c r="T9" s="47" t="s">
        <v>76</v>
      </c>
      <c r="U9" s="47" t="s">
        <v>77</v>
      </c>
      <c r="V9" s="8" t="s">
        <v>219</v>
      </c>
      <c r="W9" s="23">
        <v>8</v>
      </c>
      <c r="X9" s="12">
        <f t="shared" si="1"/>
        <v>29</v>
      </c>
      <c r="Y9" s="21">
        <f t="shared" si="3"/>
        <v>0.17791411042944785</v>
      </c>
      <c r="AA9">
        <f t="shared" si="13"/>
        <v>7</v>
      </c>
      <c r="AB9">
        <f t="shared" si="5"/>
        <v>0</v>
      </c>
    </row>
    <row r="10" spans="1:28" x14ac:dyDescent="0.3">
      <c r="A10" s="47"/>
      <c r="B10" s="47"/>
      <c r="C10" s="2" t="s">
        <v>1</v>
      </c>
      <c r="D10" s="7" t="s">
        <v>210</v>
      </c>
      <c r="E10" s="7" t="s">
        <v>60</v>
      </c>
      <c r="F10" s="7" t="s">
        <v>69</v>
      </c>
      <c r="G10" s="7" t="s">
        <v>75</v>
      </c>
      <c r="H10" s="7" t="s">
        <v>50</v>
      </c>
      <c r="I10" s="7" t="s">
        <v>73</v>
      </c>
      <c r="J10" s="7" t="s">
        <v>63</v>
      </c>
      <c r="K10" s="7" t="s">
        <v>208</v>
      </c>
      <c r="L10" s="7" t="s">
        <v>58</v>
      </c>
      <c r="M10" s="7" t="s">
        <v>72</v>
      </c>
      <c r="N10" s="7" t="s">
        <v>65</v>
      </c>
      <c r="O10" s="7" t="s">
        <v>47</v>
      </c>
      <c r="P10" s="7" t="s">
        <v>61</v>
      </c>
      <c r="Q10" s="7" t="s">
        <v>59</v>
      </c>
      <c r="R10" s="7" t="s">
        <v>71</v>
      </c>
      <c r="S10" s="7" t="s">
        <v>48</v>
      </c>
      <c r="T10" s="47"/>
      <c r="U10" s="47"/>
      <c r="V10" s="8" t="s">
        <v>77</v>
      </c>
      <c r="W10" s="23">
        <v>9</v>
      </c>
      <c r="X10" s="12">
        <f t="shared" si="1"/>
        <v>24</v>
      </c>
      <c r="Y10" s="21">
        <f t="shared" si="3"/>
        <v>0.14723926380368099</v>
      </c>
      <c r="AA10">
        <f t="shared" si="13"/>
        <v>8</v>
      </c>
      <c r="AB10">
        <f t="shared" si="5"/>
        <v>0</v>
      </c>
    </row>
    <row r="11" spans="1:28" x14ac:dyDescent="0.3">
      <c r="A11" s="47"/>
      <c r="B11" s="47"/>
      <c r="C11" s="2" t="s">
        <v>2</v>
      </c>
      <c r="D11" s="7">
        <v>-2.5</v>
      </c>
      <c r="E11" s="7">
        <v>-1.5</v>
      </c>
      <c r="F11" s="7">
        <v>-2.5</v>
      </c>
      <c r="G11" s="7">
        <v>-7</v>
      </c>
      <c r="H11" s="7">
        <v>-4.5</v>
      </c>
      <c r="I11" s="7">
        <v>-9</v>
      </c>
      <c r="J11" s="7">
        <v>2</v>
      </c>
      <c r="K11" s="7">
        <v>-3.5</v>
      </c>
      <c r="L11" s="7">
        <v>-5</v>
      </c>
      <c r="M11" s="7">
        <v>-1</v>
      </c>
      <c r="N11" s="7">
        <v>-3.5</v>
      </c>
      <c r="O11" s="7">
        <v>-5</v>
      </c>
      <c r="P11" s="7">
        <v>-1</v>
      </c>
      <c r="Q11" s="7">
        <v>-4</v>
      </c>
      <c r="R11" s="7">
        <v>-3.5</v>
      </c>
      <c r="S11" s="7">
        <v>-5.5</v>
      </c>
      <c r="T11" s="47"/>
      <c r="U11" s="47"/>
      <c r="V11" s="8">
        <v>-51</v>
      </c>
      <c r="W11" s="23">
        <v>10</v>
      </c>
      <c r="X11" s="12">
        <f t="shared" si="1"/>
        <v>7</v>
      </c>
      <c r="Y11" s="21">
        <f t="shared" si="3"/>
        <v>4.2944785276073622E-2</v>
      </c>
      <c r="AA11">
        <f t="shared" si="13"/>
        <v>9</v>
      </c>
      <c r="AB11">
        <f t="shared" si="5"/>
        <v>0</v>
      </c>
    </row>
    <row r="12" spans="1:28" x14ac:dyDescent="0.3">
      <c r="A12" s="47"/>
      <c r="B12" s="47"/>
      <c r="C12" s="2" t="s">
        <v>3</v>
      </c>
      <c r="D12" s="7" t="s">
        <v>52</v>
      </c>
      <c r="E12" s="7" t="s">
        <v>54</v>
      </c>
      <c r="F12" s="7" t="s">
        <v>67</v>
      </c>
      <c r="G12" s="7" t="s">
        <v>55</v>
      </c>
      <c r="H12" s="7" t="s">
        <v>62</v>
      </c>
      <c r="I12" s="7" t="s">
        <v>56</v>
      </c>
      <c r="J12" s="7" t="s">
        <v>57</v>
      </c>
      <c r="K12" s="7" t="s">
        <v>51</v>
      </c>
      <c r="L12" s="7" t="s">
        <v>68</v>
      </c>
      <c r="M12" s="7" t="s">
        <v>207</v>
      </c>
      <c r="N12" s="7" t="s">
        <v>66</v>
      </c>
      <c r="O12" s="7" t="s">
        <v>64</v>
      </c>
      <c r="P12" s="7" t="s">
        <v>70</v>
      </c>
      <c r="Q12" s="7" t="s">
        <v>53</v>
      </c>
      <c r="R12" s="7" t="s">
        <v>209</v>
      </c>
      <c r="S12" s="7" t="s">
        <v>74</v>
      </c>
      <c r="T12" s="47"/>
      <c r="U12" s="47"/>
      <c r="V12" s="8"/>
      <c r="W12" s="23">
        <v>11</v>
      </c>
      <c r="X12" s="12">
        <f t="shared" si="1"/>
        <v>2</v>
      </c>
      <c r="Y12" s="21">
        <f t="shared" si="3"/>
        <v>1.2269938650306749E-2</v>
      </c>
      <c r="AA12">
        <f t="shared" si="13"/>
        <v>10</v>
      </c>
      <c r="AB12">
        <f t="shared" si="5"/>
        <v>1</v>
      </c>
    </row>
    <row r="13" spans="1:28" x14ac:dyDescent="0.3">
      <c r="A13" s="47"/>
      <c r="B13" s="47"/>
      <c r="C13" s="2" t="s">
        <v>0</v>
      </c>
      <c r="D13" s="7">
        <v>20</v>
      </c>
      <c r="E13" s="7">
        <v>29</v>
      </c>
      <c r="F13" s="7">
        <v>18</v>
      </c>
      <c r="G13" s="7">
        <v>28</v>
      </c>
      <c r="H13" s="7">
        <v>17</v>
      </c>
      <c r="I13" s="7">
        <v>16</v>
      </c>
      <c r="J13" s="7">
        <v>29</v>
      </c>
      <c r="K13" s="7">
        <v>17</v>
      </c>
      <c r="L13" s="7">
        <v>10</v>
      </c>
      <c r="M13" s="7">
        <v>28</v>
      </c>
      <c r="N13" s="7">
        <v>10</v>
      </c>
      <c r="O13" s="7">
        <v>20</v>
      </c>
      <c r="P13" s="7">
        <v>33</v>
      </c>
      <c r="Q13" s="7">
        <v>20</v>
      </c>
      <c r="R13" s="7">
        <v>20</v>
      </c>
      <c r="S13" s="7">
        <v>19</v>
      </c>
      <c r="T13" s="47"/>
      <c r="U13" s="47"/>
      <c r="V13" s="8"/>
      <c r="W13" s="23">
        <v>12</v>
      </c>
      <c r="X13" s="12">
        <f t="shared" si="1"/>
        <v>0</v>
      </c>
      <c r="Y13" s="21">
        <f t="shared" si="3"/>
        <v>0</v>
      </c>
      <c r="AA13">
        <f t="shared" si="13"/>
        <v>11</v>
      </c>
      <c r="AB13">
        <f t="shared" si="5"/>
        <v>0</v>
      </c>
    </row>
    <row r="14" spans="1:28" x14ac:dyDescent="0.3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47"/>
      <c r="U14" s="47"/>
      <c r="V14" s="8"/>
      <c r="W14" s="23">
        <v>13</v>
      </c>
      <c r="X14" s="12">
        <f t="shared" si="1"/>
        <v>0</v>
      </c>
      <c r="Y14" s="21">
        <f t="shared" si="3"/>
        <v>0</v>
      </c>
      <c r="AA14">
        <f t="shared" si="13"/>
        <v>12</v>
      </c>
      <c r="AB14">
        <f t="shared" si="5"/>
        <v>0</v>
      </c>
    </row>
    <row r="15" spans="1:28" ht="29.4" thickBot="1" x14ac:dyDescent="0.35">
      <c r="A15" s="47"/>
      <c r="B15" s="47"/>
      <c r="C15" s="2" t="s">
        <v>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 t="s">
        <v>206</v>
      </c>
      <c r="S15" s="7"/>
      <c r="T15" s="47"/>
      <c r="U15" s="47"/>
      <c r="V15" s="8"/>
      <c r="W15" s="17">
        <v>14</v>
      </c>
      <c r="X15" s="14">
        <f t="shared" si="1"/>
        <v>0</v>
      </c>
      <c r="Y15" s="22">
        <f t="shared" si="3"/>
        <v>0</v>
      </c>
      <c r="AA15">
        <f t="shared" si="13"/>
        <v>13</v>
      </c>
      <c r="AB15">
        <f t="shared" si="5"/>
        <v>0</v>
      </c>
    </row>
    <row r="16" spans="1:28" ht="28.8" x14ac:dyDescent="0.3">
      <c r="A16" s="3">
        <v>1</v>
      </c>
      <c r="B16" s="4"/>
      <c r="C16" s="6" t="s">
        <v>114</v>
      </c>
      <c r="D16" s="5"/>
      <c r="E16" s="5"/>
      <c r="F16" s="5" t="s">
        <v>69</v>
      </c>
      <c r="G16" s="5" t="s">
        <v>55</v>
      </c>
      <c r="H16" s="5" t="s">
        <v>50</v>
      </c>
      <c r="I16" s="5" t="s">
        <v>56</v>
      </c>
      <c r="J16" s="5" t="s">
        <v>57</v>
      </c>
      <c r="K16" s="5" t="s">
        <v>51</v>
      </c>
      <c r="L16" s="5" t="s">
        <v>58</v>
      </c>
      <c r="M16" s="5" t="s">
        <v>207</v>
      </c>
      <c r="N16" s="5" t="s">
        <v>65</v>
      </c>
      <c r="O16" s="5" t="s">
        <v>64</v>
      </c>
      <c r="P16" s="5" t="s">
        <v>70</v>
      </c>
      <c r="Q16" s="5" t="s">
        <v>59</v>
      </c>
      <c r="R16" s="5" t="s">
        <v>71</v>
      </c>
      <c r="S16" s="5" t="s">
        <v>48</v>
      </c>
      <c r="T16" s="1">
        <v>11</v>
      </c>
      <c r="U16" s="1">
        <v>11</v>
      </c>
      <c r="V16" s="1">
        <v>51</v>
      </c>
      <c r="AA16">
        <f t="shared" si="13"/>
        <v>14</v>
      </c>
      <c r="AB16">
        <f t="shared" si="5"/>
        <v>0</v>
      </c>
    </row>
    <row r="17" spans="1:28" x14ac:dyDescent="0.3">
      <c r="A17" s="3">
        <v>2</v>
      </c>
      <c r="B17" s="4"/>
      <c r="C17" s="6" t="s">
        <v>94</v>
      </c>
      <c r="D17" s="5"/>
      <c r="E17" s="5"/>
      <c r="F17" s="5" t="s">
        <v>67</v>
      </c>
      <c r="G17" s="5" t="s">
        <v>55</v>
      </c>
      <c r="H17" s="5" t="s">
        <v>50</v>
      </c>
      <c r="I17" s="5" t="s">
        <v>56</v>
      </c>
      <c r="J17" s="5" t="s">
        <v>57</v>
      </c>
      <c r="K17" s="5" t="s">
        <v>208</v>
      </c>
      <c r="L17" s="5" t="s">
        <v>58</v>
      </c>
      <c r="M17" s="5" t="s">
        <v>207</v>
      </c>
      <c r="N17" s="5" t="s">
        <v>65</v>
      </c>
      <c r="O17" s="5" t="s">
        <v>47</v>
      </c>
      <c r="P17" s="5" t="s">
        <v>70</v>
      </c>
      <c r="Q17" s="5" t="s">
        <v>53</v>
      </c>
      <c r="R17" s="5" t="s">
        <v>71</v>
      </c>
      <c r="S17" s="5" t="s">
        <v>48</v>
      </c>
      <c r="T17" s="1">
        <v>11</v>
      </c>
      <c r="U17" s="1">
        <v>11</v>
      </c>
      <c r="V17" s="1">
        <v>40</v>
      </c>
      <c r="AA17">
        <f t="shared" si="13"/>
        <v>15</v>
      </c>
      <c r="AB17">
        <f t="shared" si="5"/>
        <v>0</v>
      </c>
    </row>
    <row r="18" spans="1:28" x14ac:dyDescent="0.3">
      <c r="A18" s="3">
        <v>3</v>
      </c>
      <c r="B18" s="4"/>
      <c r="C18" s="6" t="s">
        <v>98</v>
      </c>
      <c r="D18" s="5"/>
      <c r="E18" s="5"/>
      <c r="F18" s="5" t="s">
        <v>69</v>
      </c>
      <c r="G18" s="5" t="s">
        <v>55</v>
      </c>
      <c r="H18" s="5" t="s">
        <v>50</v>
      </c>
      <c r="I18" s="5" t="s">
        <v>56</v>
      </c>
      <c r="J18" s="5" t="s">
        <v>57</v>
      </c>
      <c r="K18" s="5" t="s">
        <v>208</v>
      </c>
      <c r="L18" s="5" t="s">
        <v>58</v>
      </c>
      <c r="M18" s="5" t="s">
        <v>207</v>
      </c>
      <c r="N18" s="5" t="s">
        <v>65</v>
      </c>
      <c r="O18" s="5" t="s">
        <v>64</v>
      </c>
      <c r="P18" s="5" t="s">
        <v>70</v>
      </c>
      <c r="Q18" s="5" t="s">
        <v>59</v>
      </c>
      <c r="R18" s="5" t="s">
        <v>71</v>
      </c>
      <c r="S18" s="5" t="s">
        <v>48</v>
      </c>
      <c r="T18" s="1">
        <v>10</v>
      </c>
      <c r="U18" s="1">
        <v>10</v>
      </c>
      <c r="V18" s="1">
        <v>51</v>
      </c>
      <c r="AA18">
        <f t="shared" si="13"/>
        <v>16</v>
      </c>
      <c r="AB18">
        <f t="shared" si="5"/>
        <v>0</v>
      </c>
    </row>
    <row r="19" spans="1:28" x14ac:dyDescent="0.3">
      <c r="A19" s="3">
        <v>4</v>
      </c>
      <c r="B19" s="4"/>
      <c r="C19" s="6" t="s">
        <v>119</v>
      </c>
      <c r="D19" s="5"/>
      <c r="E19" s="5"/>
      <c r="F19" s="5" t="s">
        <v>69</v>
      </c>
      <c r="G19" s="5" t="s">
        <v>55</v>
      </c>
      <c r="H19" s="5" t="s">
        <v>50</v>
      </c>
      <c r="I19" s="5" t="s">
        <v>73</v>
      </c>
      <c r="J19" s="5" t="s">
        <v>57</v>
      </c>
      <c r="K19" s="5" t="s">
        <v>51</v>
      </c>
      <c r="L19" s="5" t="s">
        <v>68</v>
      </c>
      <c r="M19" s="5" t="s">
        <v>207</v>
      </c>
      <c r="N19" s="5" t="s">
        <v>65</v>
      </c>
      <c r="O19" s="5" t="s">
        <v>47</v>
      </c>
      <c r="P19" s="5" t="s">
        <v>70</v>
      </c>
      <c r="Q19" s="5" t="s">
        <v>59</v>
      </c>
      <c r="R19" s="5" t="s">
        <v>71</v>
      </c>
      <c r="S19" s="5" t="s">
        <v>48</v>
      </c>
      <c r="T19" s="1">
        <v>10</v>
      </c>
      <c r="U19" s="1">
        <v>10</v>
      </c>
      <c r="V19" s="1">
        <v>51</v>
      </c>
      <c r="AA19">
        <f t="shared" si="13"/>
        <v>17</v>
      </c>
      <c r="AB19">
        <f t="shared" si="5"/>
        <v>0</v>
      </c>
    </row>
    <row r="20" spans="1:28" ht="28.8" x14ac:dyDescent="0.3">
      <c r="A20" s="3">
        <v>5</v>
      </c>
      <c r="B20" s="4"/>
      <c r="C20" s="6" t="s">
        <v>135</v>
      </c>
      <c r="D20" s="5"/>
      <c r="E20" s="5"/>
      <c r="F20" s="5" t="s">
        <v>67</v>
      </c>
      <c r="G20" s="5" t="s">
        <v>75</v>
      </c>
      <c r="H20" s="5" t="s">
        <v>50</v>
      </c>
      <c r="I20" s="5" t="s">
        <v>73</v>
      </c>
      <c r="J20" s="5" t="s">
        <v>57</v>
      </c>
      <c r="K20" s="5" t="s">
        <v>51</v>
      </c>
      <c r="L20" s="5" t="s">
        <v>58</v>
      </c>
      <c r="M20" s="5" t="s">
        <v>207</v>
      </c>
      <c r="N20" s="5" t="s">
        <v>65</v>
      </c>
      <c r="O20" s="5" t="s">
        <v>64</v>
      </c>
      <c r="P20" s="5" t="s">
        <v>70</v>
      </c>
      <c r="Q20" s="5" t="s">
        <v>59</v>
      </c>
      <c r="R20" s="5" t="s">
        <v>71</v>
      </c>
      <c r="S20" s="5" t="s">
        <v>48</v>
      </c>
      <c r="T20" s="1">
        <v>10</v>
      </c>
      <c r="U20" s="1">
        <v>10</v>
      </c>
      <c r="V20" s="1">
        <v>52</v>
      </c>
      <c r="AA20">
        <f t="shared" si="13"/>
        <v>18</v>
      </c>
      <c r="AB20">
        <f t="shared" si="5"/>
        <v>0</v>
      </c>
    </row>
    <row r="21" spans="1:28" ht="28.8" x14ac:dyDescent="0.3">
      <c r="A21" s="3">
        <v>6</v>
      </c>
      <c r="B21" s="4"/>
      <c r="C21" s="6" t="s">
        <v>117</v>
      </c>
      <c r="D21" s="5"/>
      <c r="E21" s="5"/>
      <c r="F21" s="5" t="s">
        <v>69</v>
      </c>
      <c r="G21" s="5" t="s">
        <v>55</v>
      </c>
      <c r="H21" s="5" t="s">
        <v>50</v>
      </c>
      <c r="I21" s="5" t="s">
        <v>56</v>
      </c>
      <c r="J21" s="5" t="s">
        <v>63</v>
      </c>
      <c r="K21" s="5" t="s">
        <v>51</v>
      </c>
      <c r="L21" s="5" t="s">
        <v>58</v>
      </c>
      <c r="M21" s="5" t="s">
        <v>207</v>
      </c>
      <c r="N21" s="5" t="s">
        <v>65</v>
      </c>
      <c r="O21" s="5" t="s">
        <v>47</v>
      </c>
      <c r="P21" s="5" t="s">
        <v>70</v>
      </c>
      <c r="Q21" s="5" t="s">
        <v>53</v>
      </c>
      <c r="R21" s="5" t="s">
        <v>209</v>
      </c>
      <c r="S21" s="5" t="s">
        <v>48</v>
      </c>
      <c r="T21" s="1">
        <v>10</v>
      </c>
      <c r="U21" s="1">
        <v>10</v>
      </c>
      <c r="V21" s="1">
        <v>45</v>
      </c>
      <c r="AA21">
        <f t="shared" si="13"/>
        <v>19</v>
      </c>
      <c r="AB21">
        <f t="shared" si="5"/>
        <v>0</v>
      </c>
    </row>
    <row r="22" spans="1:28" x14ac:dyDescent="0.3">
      <c r="A22" s="3">
        <v>7</v>
      </c>
      <c r="B22" s="4"/>
      <c r="C22" s="6" t="s">
        <v>168</v>
      </c>
      <c r="D22" s="5"/>
      <c r="E22" s="5"/>
      <c r="F22" s="5" t="s">
        <v>67</v>
      </c>
      <c r="G22" s="5" t="s">
        <v>75</v>
      </c>
      <c r="H22" s="5" t="s">
        <v>50</v>
      </c>
      <c r="I22" s="5" t="s">
        <v>56</v>
      </c>
      <c r="J22" s="5" t="s">
        <v>57</v>
      </c>
      <c r="K22" s="5" t="s">
        <v>51</v>
      </c>
      <c r="L22" s="5" t="s">
        <v>58</v>
      </c>
      <c r="M22" s="5" t="s">
        <v>207</v>
      </c>
      <c r="N22" s="5" t="s">
        <v>66</v>
      </c>
      <c r="O22" s="5" t="s">
        <v>47</v>
      </c>
      <c r="P22" s="5" t="s">
        <v>70</v>
      </c>
      <c r="Q22" s="5" t="s">
        <v>53</v>
      </c>
      <c r="R22" s="5" t="s">
        <v>71</v>
      </c>
      <c r="S22" s="5" t="s">
        <v>48</v>
      </c>
      <c r="T22" s="1">
        <v>10</v>
      </c>
      <c r="U22" s="1">
        <v>10</v>
      </c>
      <c r="V22" s="1">
        <v>42</v>
      </c>
      <c r="AA22">
        <f t="shared" si="13"/>
        <v>20</v>
      </c>
      <c r="AB22">
        <f t="shared" si="5"/>
        <v>0</v>
      </c>
    </row>
    <row r="23" spans="1:28" ht="28.8" x14ac:dyDescent="0.3">
      <c r="A23" s="3">
        <v>8</v>
      </c>
      <c r="B23" s="4"/>
      <c r="C23" s="6" t="s">
        <v>176</v>
      </c>
      <c r="D23" s="5"/>
      <c r="E23" s="5"/>
      <c r="F23" s="5" t="s">
        <v>69</v>
      </c>
      <c r="G23" s="5" t="s">
        <v>55</v>
      </c>
      <c r="H23" s="5" t="s">
        <v>50</v>
      </c>
      <c r="I23" s="5" t="s">
        <v>73</v>
      </c>
      <c r="J23" s="5" t="s">
        <v>57</v>
      </c>
      <c r="K23" s="5" t="s">
        <v>51</v>
      </c>
      <c r="L23" s="5" t="s">
        <v>58</v>
      </c>
      <c r="M23" s="5" t="s">
        <v>207</v>
      </c>
      <c r="N23" s="5" t="s">
        <v>66</v>
      </c>
      <c r="O23" s="5" t="s">
        <v>47</v>
      </c>
      <c r="P23" s="5" t="s">
        <v>70</v>
      </c>
      <c r="Q23" s="5" t="s">
        <v>59</v>
      </c>
      <c r="R23" s="5" t="s">
        <v>71</v>
      </c>
      <c r="S23" s="5" t="s">
        <v>48</v>
      </c>
      <c r="T23" s="1">
        <v>10</v>
      </c>
      <c r="U23" s="1">
        <v>10</v>
      </c>
      <c r="V23" s="1">
        <v>41</v>
      </c>
      <c r="AA23">
        <f t="shared" si="13"/>
        <v>21</v>
      </c>
      <c r="AB23">
        <f t="shared" si="5"/>
        <v>0</v>
      </c>
    </row>
    <row r="24" spans="1:28" x14ac:dyDescent="0.3">
      <c r="A24" s="3">
        <v>9</v>
      </c>
      <c r="B24" s="4"/>
      <c r="C24" s="6" t="s">
        <v>44</v>
      </c>
      <c r="D24" s="5"/>
      <c r="E24" s="5"/>
      <c r="F24" s="5" t="s">
        <v>69</v>
      </c>
      <c r="G24" s="5" t="s">
        <v>55</v>
      </c>
      <c r="H24" s="5" t="s">
        <v>50</v>
      </c>
      <c r="I24" s="5" t="s">
        <v>56</v>
      </c>
      <c r="J24" s="5" t="s">
        <v>57</v>
      </c>
      <c r="K24" s="5" t="s">
        <v>208</v>
      </c>
      <c r="L24" s="5" t="s">
        <v>58</v>
      </c>
      <c r="M24" s="5" t="s">
        <v>207</v>
      </c>
      <c r="N24" s="5" t="s">
        <v>65</v>
      </c>
      <c r="O24" s="5" t="s">
        <v>47</v>
      </c>
      <c r="P24" s="5" t="s">
        <v>70</v>
      </c>
      <c r="Q24" s="5" t="s">
        <v>53</v>
      </c>
      <c r="R24" s="5" t="s">
        <v>71</v>
      </c>
      <c r="S24" s="5" t="s">
        <v>48</v>
      </c>
      <c r="T24" s="1">
        <v>10</v>
      </c>
      <c r="U24" s="1">
        <v>10</v>
      </c>
      <c r="V24" s="1">
        <v>41</v>
      </c>
      <c r="AA24">
        <f t="shared" si="13"/>
        <v>22</v>
      </c>
      <c r="AB24">
        <f t="shared" si="5"/>
        <v>1</v>
      </c>
    </row>
    <row r="25" spans="1:28" x14ac:dyDescent="0.3">
      <c r="A25" s="3">
        <v>10</v>
      </c>
      <c r="B25" s="4"/>
      <c r="C25" s="6" t="s">
        <v>155</v>
      </c>
      <c r="D25" s="5"/>
      <c r="E25" s="5"/>
      <c r="F25" s="5" t="s">
        <v>69</v>
      </c>
      <c r="G25" s="5" t="s">
        <v>75</v>
      </c>
      <c r="H25" s="5" t="s">
        <v>50</v>
      </c>
      <c r="I25" s="5" t="s">
        <v>56</v>
      </c>
      <c r="J25" s="5" t="s">
        <v>57</v>
      </c>
      <c r="K25" s="5" t="s">
        <v>51</v>
      </c>
      <c r="L25" s="5" t="s">
        <v>58</v>
      </c>
      <c r="M25" s="5" t="s">
        <v>72</v>
      </c>
      <c r="N25" s="5" t="s">
        <v>66</v>
      </c>
      <c r="O25" s="5" t="s">
        <v>47</v>
      </c>
      <c r="P25" s="5" t="s">
        <v>70</v>
      </c>
      <c r="Q25" s="5" t="s">
        <v>59</v>
      </c>
      <c r="R25" s="5" t="s">
        <v>71</v>
      </c>
      <c r="S25" s="5" t="s">
        <v>48</v>
      </c>
      <c r="T25" s="1">
        <v>9</v>
      </c>
      <c r="U25" s="1">
        <v>9</v>
      </c>
      <c r="V25" s="1">
        <v>52</v>
      </c>
      <c r="AA25">
        <f t="shared" si="13"/>
        <v>23</v>
      </c>
      <c r="AB25">
        <f t="shared" si="5"/>
        <v>0</v>
      </c>
    </row>
    <row r="26" spans="1:28" ht="28.8" x14ac:dyDescent="0.3">
      <c r="A26" s="3">
        <v>11</v>
      </c>
      <c r="B26" s="4"/>
      <c r="C26" s="6" t="s">
        <v>89</v>
      </c>
      <c r="D26" s="5"/>
      <c r="E26" s="5"/>
      <c r="F26" s="5" t="s">
        <v>67</v>
      </c>
      <c r="G26" s="5" t="s">
        <v>75</v>
      </c>
      <c r="H26" s="5" t="s">
        <v>50</v>
      </c>
      <c r="I26" s="5" t="s">
        <v>56</v>
      </c>
      <c r="J26" s="5" t="s">
        <v>57</v>
      </c>
      <c r="K26" s="5" t="s">
        <v>208</v>
      </c>
      <c r="L26" s="5" t="s">
        <v>58</v>
      </c>
      <c r="M26" s="5" t="s">
        <v>207</v>
      </c>
      <c r="N26" s="5" t="s">
        <v>66</v>
      </c>
      <c r="O26" s="5" t="s">
        <v>64</v>
      </c>
      <c r="P26" s="5" t="s">
        <v>70</v>
      </c>
      <c r="Q26" s="5" t="s">
        <v>59</v>
      </c>
      <c r="R26" s="5" t="s">
        <v>71</v>
      </c>
      <c r="S26" s="5" t="s">
        <v>48</v>
      </c>
      <c r="T26" s="1">
        <v>9</v>
      </c>
      <c r="U26" s="1">
        <v>9</v>
      </c>
      <c r="V26" s="1">
        <v>48</v>
      </c>
      <c r="AA26">
        <f t="shared" si="13"/>
        <v>24</v>
      </c>
      <c r="AB26">
        <f t="shared" si="5"/>
        <v>0</v>
      </c>
    </row>
    <row r="27" spans="1:28" x14ac:dyDescent="0.3">
      <c r="A27" s="3">
        <v>12</v>
      </c>
      <c r="B27" s="4"/>
      <c r="C27" s="6" t="s">
        <v>14</v>
      </c>
      <c r="D27" s="5"/>
      <c r="E27" s="5"/>
      <c r="F27" s="5" t="s">
        <v>69</v>
      </c>
      <c r="G27" s="5" t="s">
        <v>55</v>
      </c>
      <c r="H27" s="5" t="s">
        <v>50</v>
      </c>
      <c r="I27" s="5" t="s">
        <v>73</v>
      </c>
      <c r="J27" s="5" t="s">
        <v>63</v>
      </c>
      <c r="K27" s="5" t="s">
        <v>208</v>
      </c>
      <c r="L27" s="5" t="s">
        <v>58</v>
      </c>
      <c r="M27" s="5" t="s">
        <v>207</v>
      </c>
      <c r="N27" s="5" t="s">
        <v>66</v>
      </c>
      <c r="O27" s="5" t="s">
        <v>47</v>
      </c>
      <c r="P27" s="5" t="s">
        <v>70</v>
      </c>
      <c r="Q27" s="5" t="s">
        <v>59</v>
      </c>
      <c r="R27" s="5" t="s">
        <v>71</v>
      </c>
      <c r="S27" s="5" t="s">
        <v>48</v>
      </c>
      <c r="T27" s="1">
        <v>9</v>
      </c>
      <c r="U27" s="1">
        <v>9</v>
      </c>
      <c r="V27" s="1">
        <v>54</v>
      </c>
      <c r="AA27">
        <f t="shared" si="13"/>
        <v>25</v>
      </c>
      <c r="AB27">
        <f t="shared" si="5"/>
        <v>0</v>
      </c>
    </row>
    <row r="28" spans="1:28" x14ac:dyDescent="0.3">
      <c r="A28" s="3">
        <v>13</v>
      </c>
      <c r="B28" s="4"/>
      <c r="C28" s="6" t="s">
        <v>195</v>
      </c>
      <c r="D28" s="5"/>
      <c r="E28" s="5"/>
      <c r="F28" s="5" t="s">
        <v>67</v>
      </c>
      <c r="G28" s="5" t="s">
        <v>75</v>
      </c>
      <c r="H28" s="5" t="s">
        <v>50</v>
      </c>
      <c r="I28" s="5" t="s">
        <v>73</v>
      </c>
      <c r="J28" s="5" t="s">
        <v>57</v>
      </c>
      <c r="K28" s="5" t="s">
        <v>208</v>
      </c>
      <c r="L28" s="5" t="s">
        <v>58</v>
      </c>
      <c r="M28" s="5" t="s">
        <v>207</v>
      </c>
      <c r="N28" s="5" t="s">
        <v>65</v>
      </c>
      <c r="O28" s="5" t="s">
        <v>47</v>
      </c>
      <c r="P28" s="5" t="s">
        <v>70</v>
      </c>
      <c r="Q28" s="5" t="s">
        <v>53</v>
      </c>
      <c r="R28" s="5" t="s">
        <v>71</v>
      </c>
      <c r="S28" s="5" t="s">
        <v>48</v>
      </c>
      <c r="T28" s="1">
        <v>9</v>
      </c>
      <c r="U28" s="1">
        <v>9</v>
      </c>
      <c r="V28" s="1">
        <v>55</v>
      </c>
      <c r="AA28">
        <f t="shared" si="13"/>
        <v>26</v>
      </c>
      <c r="AB28">
        <f t="shared" si="5"/>
        <v>0</v>
      </c>
    </row>
    <row r="29" spans="1:28" x14ac:dyDescent="0.3">
      <c r="A29" s="3">
        <v>14</v>
      </c>
      <c r="B29" s="4"/>
      <c r="C29" s="6" t="s">
        <v>190</v>
      </c>
      <c r="D29" s="5"/>
      <c r="E29" s="5"/>
      <c r="F29" s="5" t="s">
        <v>67</v>
      </c>
      <c r="G29" s="5" t="s">
        <v>75</v>
      </c>
      <c r="H29" s="5" t="s">
        <v>62</v>
      </c>
      <c r="I29" s="5" t="s">
        <v>73</v>
      </c>
      <c r="J29" s="5" t="s">
        <v>63</v>
      </c>
      <c r="K29" s="5" t="s">
        <v>51</v>
      </c>
      <c r="L29" s="5" t="s">
        <v>58</v>
      </c>
      <c r="M29" s="5" t="s">
        <v>207</v>
      </c>
      <c r="N29" s="5" t="s">
        <v>65</v>
      </c>
      <c r="O29" s="5" t="s">
        <v>47</v>
      </c>
      <c r="P29" s="5" t="s">
        <v>70</v>
      </c>
      <c r="Q29" s="5" t="s">
        <v>59</v>
      </c>
      <c r="R29" s="5" t="s">
        <v>209</v>
      </c>
      <c r="S29" s="5" t="s">
        <v>48</v>
      </c>
      <c r="T29" s="1">
        <v>9</v>
      </c>
      <c r="U29" s="1">
        <v>9</v>
      </c>
      <c r="V29" s="1">
        <v>47</v>
      </c>
      <c r="AA29">
        <f t="shared" si="13"/>
        <v>27</v>
      </c>
      <c r="AB29">
        <f t="shared" si="5"/>
        <v>0</v>
      </c>
    </row>
    <row r="30" spans="1:28" ht="28.8" x14ac:dyDescent="0.3">
      <c r="A30" s="3">
        <v>15</v>
      </c>
      <c r="B30" s="4"/>
      <c r="C30" s="6" t="s">
        <v>108</v>
      </c>
      <c r="D30" s="5"/>
      <c r="E30" s="5"/>
      <c r="F30" s="5" t="s">
        <v>69</v>
      </c>
      <c r="G30" s="5" t="s">
        <v>75</v>
      </c>
      <c r="H30" s="5" t="s">
        <v>50</v>
      </c>
      <c r="I30" s="5" t="s">
        <v>73</v>
      </c>
      <c r="J30" s="5" t="s">
        <v>57</v>
      </c>
      <c r="K30" s="5" t="s">
        <v>208</v>
      </c>
      <c r="L30" s="5" t="s">
        <v>58</v>
      </c>
      <c r="M30" s="5" t="s">
        <v>207</v>
      </c>
      <c r="N30" s="5" t="s">
        <v>65</v>
      </c>
      <c r="O30" s="5" t="s">
        <v>47</v>
      </c>
      <c r="P30" s="5" t="s">
        <v>70</v>
      </c>
      <c r="Q30" s="5" t="s">
        <v>59</v>
      </c>
      <c r="R30" s="5" t="s">
        <v>71</v>
      </c>
      <c r="S30" s="5" t="s">
        <v>48</v>
      </c>
      <c r="T30" s="1">
        <v>9</v>
      </c>
      <c r="U30" s="1">
        <v>9</v>
      </c>
      <c r="V30" s="1">
        <v>55</v>
      </c>
      <c r="AA30">
        <f t="shared" si="13"/>
        <v>28</v>
      </c>
      <c r="AB30">
        <f t="shared" si="5"/>
        <v>1</v>
      </c>
    </row>
    <row r="31" spans="1:28" x14ac:dyDescent="0.3">
      <c r="A31" s="3">
        <v>16</v>
      </c>
      <c r="B31" s="4"/>
      <c r="C31" s="6" t="s">
        <v>183</v>
      </c>
      <c r="D31" s="5"/>
      <c r="E31" s="5"/>
      <c r="F31" s="5" t="s">
        <v>69</v>
      </c>
      <c r="G31" s="5" t="s">
        <v>55</v>
      </c>
      <c r="H31" s="5" t="s">
        <v>50</v>
      </c>
      <c r="I31" s="5" t="s">
        <v>56</v>
      </c>
      <c r="J31" s="5" t="s">
        <v>63</v>
      </c>
      <c r="K31" s="5" t="s">
        <v>51</v>
      </c>
      <c r="L31" s="5" t="s">
        <v>58</v>
      </c>
      <c r="M31" s="5" t="s">
        <v>72</v>
      </c>
      <c r="N31" s="5" t="s">
        <v>65</v>
      </c>
      <c r="O31" s="5" t="s">
        <v>47</v>
      </c>
      <c r="P31" s="5" t="s">
        <v>70</v>
      </c>
      <c r="Q31" s="5" t="s">
        <v>53</v>
      </c>
      <c r="R31" s="5" t="s">
        <v>71</v>
      </c>
      <c r="S31" s="5" t="s">
        <v>74</v>
      </c>
      <c r="T31" s="1">
        <v>9</v>
      </c>
      <c r="U31" s="1">
        <v>9</v>
      </c>
      <c r="V31" s="1">
        <v>47</v>
      </c>
      <c r="AA31">
        <f t="shared" si="13"/>
        <v>29</v>
      </c>
      <c r="AB31">
        <f t="shared" si="5"/>
        <v>0</v>
      </c>
    </row>
    <row r="32" spans="1:28" x14ac:dyDescent="0.3">
      <c r="A32" s="3">
        <v>17</v>
      </c>
      <c r="B32" s="4"/>
      <c r="C32" s="6" t="s">
        <v>82</v>
      </c>
      <c r="D32" s="5"/>
      <c r="E32" s="5"/>
      <c r="F32" s="5" t="s">
        <v>69</v>
      </c>
      <c r="G32" s="5" t="s">
        <v>75</v>
      </c>
      <c r="H32" s="5" t="s">
        <v>50</v>
      </c>
      <c r="I32" s="5" t="s">
        <v>56</v>
      </c>
      <c r="J32" s="5" t="s">
        <v>57</v>
      </c>
      <c r="K32" s="5" t="s">
        <v>208</v>
      </c>
      <c r="L32" s="5" t="s">
        <v>58</v>
      </c>
      <c r="M32" s="5" t="s">
        <v>207</v>
      </c>
      <c r="N32" s="5" t="s">
        <v>65</v>
      </c>
      <c r="O32" s="5" t="s">
        <v>64</v>
      </c>
      <c r="P32" s="5" t="s">
        <v>70</v>
      </c>
      <c r="Q32" s="5" t="s">
        <v>59</v>
      </c>
      <c r="R32" s="5" t="s">
        <v>71</v>
      </c>
      <c r="S32" s="5" t="s">
        <v>48</v>
      </c>
      <c r="T32" s="1">
        <v>9</v>
      </c>
      <c r="U32" s="1">
        <v>9</v>
      </c>
      <c r="V32" s="1">
        <v>55</v>
      </c>
      <c r="AA32">
        <f t="shared" si="13"/>
        <v>30</v>
      </c>
      <c r="AB32">
        <f t="shared" si="5"/>
        <v>1</v>
      </c>
    </row>
    <row r="33" spans="1:28" x14ac:dyDescent="0.3">
      <c r="A33" s="3">
        <v>18</v>
      </c>
      <c r="B33" s="4"/>
      <c r="C33" s="6" t="s">
        <v>95</v>
      </c>
      <c r="D33" s="5"/>
      <c r="E33" s="5"/>
      <c r="F33" s="5" t="s">
        <v>69</v>
      </c>
      <c r="G33" s="5" t="s">
        <v>75</v>
      </c>
      <c r="H33" s="5" t="s">
        <v>50</v>
      </c>
      <c r="I33" s="5" t="s">
        <v>73</v>
      </c>
      <c r="J33" s="5" t="s">
        <v>63</v>
      </c>
      <c r="K33" s="5" t="s">
        <v>208</v>
      </c>
      <c r="L33" s="5" t="s">
        <v>58</v>
      </c>
      <c r="M33" s="5" t="s">
        <v>207</v>
      </c>
      <c r="N33" s="5" t="s">
        <v>65</v>
      </c>
      <c r="O33" s="5" t="s">
        <v>47</v>
      </c>
      <c r="P33" s="5" t="s">
        <v>70</v>
      </c>
      <c r="Q33" s="5" t="s">
        <v>59</v>
      </c>
      <c r="R33" s="5" t="s">
        <v>71</v>
      </c>
      <c r="S33" s="5" t="s">
        <v>48</v>
      </c>
      <c r="T33" s="1">
        <v>9</v>
      </c>
      <c r="U33" s="1">
        <v>9</v>
      </c>
      <c r="V33" s="1">
        <v>47</v>
      </c>
      <c r="AA33">
        <f t="shared" si="13"/>
        <v>31</v>
      </c>
      <c r="AB33">
        <f t="shared" si="5"/>
        <v>2</v>
      </c>
    </row>
    <row r="34" spans="1:28" x14ac:dyDescent="0.3">
      <c r="A34" s="3">
        <v>19</v>
      </c>
      <c r="B34" s="4"/>
      <c r="C34" s="6" t="s">
        <v>126</v>
      </c>
      <c r="D34" s="5"/>
      <c r="E34" s="5"/>
      <c r="F34" s="5" t="s">
        <v>69</v>
      </c>
      <c r="G34" s="5" t="s">
        <v>75</v>
      </c>
      <c r="H34" s="5" t="s">
        <v>62</v>
      </c>
      <c r="I34" s="5" t="s">
        <v>56</v>
      </c>
      <c r="J34" s="5" t="s">
        <v>57</v>
      </c>
      <c r="K34" s="5" t="s">
        <v>208</v>
      </c>
      <c r="L34" s="5" t="s">
        <v>58</v>
      </c>
      <c r="M34" s="5" t="s">
        <v>207</v>
      </c>
      <c r="N34" s="5" t="s">
        <v>65</v>
      </c>
      <c r="O34" s="5" t="s">
        <v>47</v>
      </c>
      <c r="P34" s="5" t="s">
        <v>70</v>
      </c>
      <c r="Q34" s="5" t="s">
        <v>59</v>
      </c>
      <c r="R34" s="5" t="s">
        <v>71</v>
      </c>
      <c r="S34" s="5" t="s">
        <v>48</v>
      </c>
      <c r="T34" s="1">
        <v>9</v>
      </c>
      <c r="U34" s="1">
        <v>9</v>
      </c>
      <c r="V34" s="1">
        <v>47</v>
      </c>
      <c r="AA34">
        <f t="shared" si="13"/>
        <v>32</v>
      </c>
      <c r="AB34">
        <f t="shared" si="5"/>
        <v>0</v>
      </c>
    </row>
    <row r="35" spans="1:28" x14ac:dyDescent="0.3">
      <c r="A35" s="3">
        <v>20</v>
      </c>
      <c r="B35" s="4"/>
      <c r="C35" s="6" t="s">
        <v>16</v>
      </c>
      <c r="D35" s="5"/>
      <c r="E35" s="5"/>
      <c r="F35" s="5" t="s">
        <v>67</v>
      </c>
      <c r="G35" s="5" t="s">
        <v>75</v>
      </c>
      <c r="H35" s="5" t="s">
        <v>50</v>
      </c>
      <c r="I35" s="5" t="s">
        <v>73</v>
      </c>
      <c r="J35" s="5" t="s">
        <v>57</v>
      </c>
      <c r="K35" s="5" t="s">
        <v>51</v>
      </c>
      <c r="L35" s="5" t="s">
        <v>58</v>
      </c>
      <c r="M35" s="5" t="s">
        <v>72</v>
      </c>
      <c r="N35" s="5" t="s">
        <v>65</v>
      </c>
      <c r="O35" s="5" t="s">
        <v>47</v>
      </c>
      <c r="P35" s="5" t="s">
        <v>61</v>
      </c>
      <c r="Q35" s="5" t="s">
        <v>59</v>
      </c>
      <c r="R35" s="5" t="s">
        <v>71</v>
      </c>
      <c r="S35" s="5" t="s">
        <v>48</v>
      </c>
      <c r="T35" s="1">
        <v>9</v>
      </c>
      <c r="U35" s="1">
        <v>9</v>
      </c>
      <c r="V35" s="1">
        <v>45</v>
      </c>
      <c r="AA35">
        <f t="shared" si="13"/>
        <v>33</v>
      </c>
      <c r="AB35">
        <f t="shared" si="5"/>
        <v>0</v>
      </c>
    </row>
    <row r="36" spans="1:28" ht="28.8" x14ac:dyDescent="0.3">
      <c r="A36" s="3">
        <v>21</v>
      </c>
      <c r="B36" s="4"/>
      <c r="C36" s="6" t="s">
        <v>99</v>
      </c>
      <c r="D36" s="5"/>
      <c r="E36" s="5"/>
      <c r="F36" s="5" t="s">
        <v>67</v>
      </c>
      <c r="G36" s="5" t="s">
        <v>75</v>
      </c>
      <c r="H36" s="5" t="s">
        <v>50</v>
      </c>
      <c r="I36" s="5" t="s">
        <v>73</v>
      </c>
      <c r="J36" s="5" t="s">
        <v>57</v>
      </c>
      <c r="K36" s="5" t="s">
        <v>208</v>
      </c>
      <c r="L36" s="5" t="s">
        <v>58</v>
      </c>
      <c r="M36" s="5" t="s">
        <v>207</v>
      </c>
      <c r="N36" s="5" t="s">
        <v>65</v>
      </c>
      <c r="O36" s="5" t="s">
        <v>64</v>
      </c>
      <c r="P36" s="5" t="s">
        <v>70</v>
      </c>
      <c r="Q36" s="5" t="s">
        <v>59</v>
      </c>
      <c r="R36" s="5" t="s">
        <v>71</v>
      </c>
      <c r="S36" s="5" t="s">
        <v>48</v>
      </c>
      <c r="T36" s="1">
        <v>9</v>
      </c>
      <c r="U36" s="1">
        <v>9</v>
      </c>
      <c r="V36" s="1">
        <v>45</v>
      </c>
      <c r="AA36">
        <f t="shared" si="13"/>
        <v>34</v>
      </c>
      <c r="AB36">
        <f t="shared" si="5"/>
        <v>2</v>
      </c>
    </row>
    <row r="37" spans="1:28" x14ac:dyDescent="0.3">
      <c r="A37" s="3">
        <v>22</v>
      </c>
      <c r="B37" s="4"/>
      <c r="C37" s="6" t="s">
        <v>129</v>
      </c>
      <c r="D37" s="5"/>
      <c r="E37" s="5"/>
      <c r="F37" s="5" t="s">
        <v>69</v>
      </c>
      <c r="G37" s="5" t="s">
        <v>55</v>
      </c>
      <c r="H37" s="5" t="s">
        <v>50</v>
      </c>
      <c r="I37" s="5" t="s">
        <v>73</v>
      </c>
      <c r="J37" s="5" t="s">
        <v>57</v>
      </c>
      <c r="K37" s="5" t="s">
        <v>208</v>
      </c>
      <c r="L37" s="5" t="s">
        <v>58</v>
      </c>
      <c r="M37" s="5" t="s">
        <v>207</v>
      </c>
      <c r="N37" s="5" t="s">
        <v>65</v>
      </c>
      <c r="O37" s="5" t="s">
        <v>64</v>
      </c>
      <c r="P37" s="5" t="s">
        <v>70</v>
      </c>
      <c r="Q37" s="5" t="s">
        <v>59</v>
      </c>
      <c r="R37" s="5" t="s">
        <v>71</v>
      </c>
      <c r="S37" s="5" t="s">
        <v>48</v>
      </c>
      <c r="T37" s="1">
        <v>9</v>
      </c>
      <c r="U37" s="1">
        <v>9</v>
      </c>
      <c r="V37" s="1">
        <v>45</v>
      </c>
      <c r="AA37">
        <f t="shared" si="13"/>
        <v>35</v>
      </c>
      <c r="AB37">
        <f t="shared" si="5"/>
        <v>4</v>
      </c>
    </row>
    <row r="38" spans="1:28" ht="28.8" x14ac:dyDescent="0.3">
      <c r="A38" s="3">
        <v>23</v>
      </c>
      <c r="B38" s="4"/>
      <c r="C38" s="6" t="s">
        <v>81</v>
      </c>
      <c r="D38" s="5"/>
      <c r="E38" s="5"/>
      <c r="F38" s="5" t="s">
        <v>69</v>
      </c>
      <c r="G38" s="5" t="s">
        <v>75</v>
      </c>
      <c r="H38" s="5" t="s">
        <v>50</v>
      </c>
      <c r="I38" s="5" t="s">
        <v>56</v>
      </c>
      <c r="J38" s="5" t="s">
        <v>57</v>
      </c>
      <c r="K38" s="5" t="s">
        <v>208</v>
      </c>
      <c r="L38" s="5" t="s">
        <v>58</v>
      </c>
      <c r="M38" s="5" t="s">
        <v>207</v>
      </c>
      <c r="N38" s="5" t="s">
        <v>66</v>
      </c>
      <c r="O38" s="5" t="s">
        <v>47</v>
      </c>
      <c r="P38" s="5" t="s">
        <v>70</v>
      </c>
      <c r="Q38" s="5" t="s">
        <v>59</v>
      </c>
      <c r="R38" s="5" t="s">
        <v>71</v>
      </c>
      <c r="S38" s="5" t="s">
        <v>48</v>
      </c>
      <c r="T38" s="1">
        <v>9</v>
      </c>
      <c r="U38" s="1">
        <v>9</v>
      </c>
      <c r="V38" s="1">
        <v>45</v>
      </c>
      <c r="AA38">
        <f t="shared" si="13"/>
        <v>36</v>
      </c>
      <c r="AB38">
        <f t="shared" si="5"/>
        <v>0</v>
      </c>
    </row>
    <row r="39" spans="1:28" ht="28.8" x14ac:dyDescent="0.3">
      <c r="A39" s="3">
        <v>24</v>
      </c>
      <c r="B39" s="4"/>
      <c r="C39" s="6" t="s">
        <v>148</v>
      </c>
      <c r="D39" s="5"/>
      <c r="E39" s="5"/>
      <c r="F39" s="5" t="s">
        <v>67</v>
      </c>
      <c r="G39" s="5" t="s">
        <v>75</v>
      </c>
      <c r="H39" s="5" t="s">
        <v>62</v>
      </c>
      <c r="I39" s="5" t="s">
        <v>73</v>
      </c>
      <c r="J39" s="5" t="s">
        <v>57</v>
      </c>
      <c r="K39" s="5" t="s">
        <v>208</v>
      </c>
      <c r="L39" s="5" t="s">
        <v>58</v>
      </c>
      <c r="M39" s="5" t="s">
        <v>207</v>
      </c>
      <c r="N39" s="5" t="s">
        <v>65</v>
      </c>
      <c r="O39" s="5" t="s">
        <v>47</v>
      </c>
      <c r="P39" s="5" t="s">
        <v>70</v>
      </c>
      <c r="Q39" s="5" t="s">
        <v>59</v>
      </c>
      <c r="R39" s="5" t="s">
        <v>71</v>
      </c>
      <c r="S39" s="5" t="s">
        <v>48</v>
      </c>
      <c r="T39" s="1">
        <v>9</v>
      </c>
      <c r="U39" s="1">
        <v>9</v>
      </c>
      <c r="V39" s="1">
        <v>44</v>
      </c>
      <c r="AA39">
        <f t="shared" si="13"/>
        <v>37</v>
      </c>
      <c r="AB39">
        <f t="shared" si="5"/>
        <v>4</v>
      </c>
    </row>
    <row r="40" spans="1:28" ht="28.8" x14ac:dyDescent="0.3">
      <c r="A40" s="3">
        <v>25</v>
      </c>
      <c r="B40" s="4"/>
      <c r="C40" s="6" t="s">
        <v>17</v>
      </c>
      <c r="D40" s="5"/>
      <c r="E40" s="5"/>
      <c r="F40" s="5" t="s">
        <v>67</v>
      </c>
      <c r="G40" s="5" t="s">
        <v>75</v>
      </c>
      <c r="H40" s="5" t="s">
        <v>50</v>
      </c>
      <c r="I40" s="5" t="s">
        <v>56</v>
      </c>
      <c r="J40" s="5" t="s">
        <v>57</v>
      </c>
      <c r="K40" s="5" t="s">
        <v>208</v>
      </c>
      <c r="L40" s="5" t="s">
        <v>58</v>
      </c>
      <c r="M40" s="5" t="s">
        <v>207</v>
      </c>
      <c r="N40" s="5" t="s">
        <v>65</v>
      </c>
      <c r="O40" s="5" t="s">
        <v>64</v>
      </c>
      <c r="P40" s="5" t="s">
        <v>61</v>
      </c>
      <c r="Q40" s="5" t="s">
        <v>59</v>
      </c>
      <c r="R40" s="5" t="s">
        <v>71</v>
      </c>
      <c r="S40" s="5" t="s">
        <v>48</v>
      </c>
      <c r="T40" s="1">
        <v>9</v>
      </c>
      <c r="U40" s="1">
        <v>9</v>
      </c>
      <c r="V40" s="1">
        <v>44</v>
      </c>
      <c r="AA40">
        <f t="shared" si="13"/>
        <v>38</v>
      </c>
      <c r="AB40">
        <f t="shared" si="5"/>
        <v>4</v>
      </c>
    </row>
    <row r="41" spans="1:28" ht="28.8" x14ac:dyDescent="0.3">
      <c r="A41" s="3">
        <v>26</v>
      </c>
      <c r="B41" s="4"/>
      <c r="C41" s="6" t="s">
        <v>162</v>
      </c>
      <c r="D41" s="5"/>
      <c r="E41" s="5"/>
      <c r="F41" s="5" t="s">
        <v>69</v>
      </c>
      <c r="G41" s="5" t="s">
        <v>55</v>
      </c>
      <c r="H41" s="5" t="s">
        <v>50</v>
      </c>
      <c r="I41" s="5" t="s">
        <v>56</v>
      </c>
      <c r="J41" s="5" t="s">
        <v>63</v>
      </c>
      <c r="K41" s="5" t="s">
        <v>51</v>
      </c>
      <c r="L41" s="5" t="s">
        <v>68</v>
      </c>
      <c r="M41" s="5" t="s">
        <v>72</v>
      </c>
      <c r="N41" s="5" t="s">
        <v>65</v>
      </c>
      <c r="O41" s="5" t="s">
        <v>64</v>
      </c>
      <c r="P41" s="5" t="s">
        <v>70</v>
      </c>
      <c r="Q41" s="5" t="s">
        <v>59</v>
      </c>
      <c r="R41" s="5" t="s">
        <v>71</v>
      </c>
      <c r="S41" s="5" t="s">
        <v>48</v>
      </c>
      <c r="T41" s="1">
        <v>9</v>
      </c>
      <c r="U41" s="1">
        <v>9</v>
      </c>
      <c r="V41" s="1">
        <v>44</v>
      </c>
      <c r="AA41">
        <f t="shared" si="13"/>
        <v>39</v>
      </c>
      <c r="AB41">
        <f t="shared" si="5"/>
        <v>5</v>
      </c>
    </row>
    <row r="42" spans="1:28" ht="28.8" x14ac:dyDescent="0.3">
      <c r="A42" s="3">
        <v>27</v>
      </c>
      <c r="B42" s="4"/>
      <c r="C42" s="6" t="s">
        <v>9</v>
      </c>
      <c r="D42" s="5"/>
      <c r="E42" s="5"/>
      <c r="F42" s="5" t="s">
        <v>69</v>
      </c>
      <c r="G42" s="5" t="s">
        <v>55</v>
      </c>
      <c r="H42" s="5" t="s">
        <v>50</v>
      </c>
      <c r="I42" s="5" t="s">
        <v>73</v>
      </c>
      <c r="J42" s="5" t="s">
        <v>57</v>
      </c>
      <c r="K42" s="5" t="s">
        <v>208</v>
      </c>
      <c r="L42" s="5" t="s">
        <v>58</v>
      </c>
      <c r="M42" s="5" t="s">
        <v>207</v>
      </c>
      <c r="N42" s="5" t="s">
        <v>65</v>
      </c>
      <c r="O42" s="5" t="s">
        <v>47</v>
      </c>
      <c r="P42" s="5" t="s">
        <v>61</v>
      </c>
      <c r="Q42" s="5" t="s">
        <v>59</v>
      </c>
      <c r="R42" s="5" t="s">
        <v>71</v>
      </c>
      <c r="S42" s="5" t="s">
        <v>48</v>
      </c>
      <c r="T42" s="1">
        <v>9</v>
      </c>
      <c r="U42" s="1">
        <v>9</v>
      </c>
      <c r="V42" s="1">
        <v>43</v>
      </c>
      <c r="AA42">
        <f t="shared" si="13"/>
        <v>40</v>
      </c>
      <c r="AB42">
        <f t="shared" si="5"/>
        <v>5</v>
      </c>
    </row>
    <row r="43" spans="1:28" x14ac:dyDescent="0.3">
      <c r="A43" s="3">
        <v>28</v>
      </c>
      <c r="B43" s="4"/>
      <c r="C43" s="6" t="s">
        <v>121</v>
      </c>
      <c r="D43" s="5"/>
      <c r="E43" s="5"/>
      <c r="F43" s="5" t="s">
        <v>67</v>
      </c>
      <c r="G43" s="5" t="s">
        <v>55</v>
      </c>
      <c r="H43" s="5" t="s">
        <v>50</v>
      </c>
      <c r="I43" s="5" t="s">
        <v>73</v>
      </c>
      <c r="J43" s="5" t="s">
        <v>57</v>
      </c>
      <c r="K43" s="5" t="s">
        <v>51</v>
      </c>
      <c r="L43" s="5" t="s">
        <v>68</v>
      </c>
      <c r="M43" s="5" t="s">
        <v>72</v>
      </c>
      <c r="N43" s="5" t="s">
        <v>65</v>
      </c>
      <c r="O43" s="5" t="s">
        <v>47</v>
      </c>
      <c r="P43" s="5" t="s">
        <v>70</v>
      </c>
      <c r="Q43" s="5" t="s">
        <v>59</v>
      </c>
      <c r="R43" s="5" t="s">
        <v>209</v>
      </c>
      <c r="S43" s="5" t="s">
        <v>48</v>
      </c>
      <c r="T43" s="1">
        <v>9</v>
      </c>
      <c r="U43" s="1">
        <v>9</v>
      </c>
      <c r="V43" s="1">
        <v>42</v>
      </c>
      <c r="AA43">
        <f t="shared" si="13"/>
        <v>41</v>
      </c>
      <c r="AB43">
        <f t="shared" si="5"/>
        <v>11</v>
      </c>
    </row>
    <row r="44" spans="1:28" x14ac:dyDescent="0.3">
      <c r="A44" s="3">
        <v>29</v>
      </c>
      <c r="B44" s="4"/>
      <c r="C44" s="6" t="s">
        <v>45</v>
      </c>
      <c r="D44" s="5"/>
      <c r="E44" s="5"/>
      <c r="F44" s="5" t="s">
        <v>69</v>
      </c>
      <c r="G44" s="5" t="s">
        <v>55</v>
      </c>
      <c r="H44" s="5" t="s">
        <v>50</v>
      </c>
      <c r="I44" s="5" t="s">
        <v>73</v>
      </c>
      <c r="J44" s="5" t="s">
        <v>57</v>
      </c>
      <c r="K44" s="5" t="s">
        <v>208</v>
      </c>
      <c r="L44" s="5" t="s">
        <v>58</v>
      </c>
      <c r="M44" s="5" t="s">
        <v>72</v>
      </c>
      <c r="N44" s="5" t="s">
        <v>65</v>
      </c>
      <c r="O44" s="5" t="s">
        <v>47</v>
      </c>
      <c r="P44" s="5" t="s">
        <v>70</v>
      </c>
      <c r="Q44" s="5" t="s">
        <v>59</v>
      </c>
      <c r="R44" s="5" t="s">
        <v>71</v>
      </c>
      <c r="S44" s="5" t="s">
        <v>48</v>
      </c>
      <c r="T44" s="1">
        <v>9</v>
      </c>
      <c r="U44" s="1">
        <v>9</v>
      </c>
      <c r="V44" s="1">
        <v>42</v>
      </c>
      <c r="AA44">
        <f t="shared" si="13"/>
        <v>42</v>
      </c>
      <c r="AB44">
        <f t="shared" si="5"/>
        <v>16</v>
      </c>
    </row>
    <row r="45" spans="1:28" x14ac:dyDescent="0.3">
      <c r="A45" s="3">
        <v>30</v>
      </c>
      <c r="B45" s="4"/>
      <c r="C45" s="6" t="s">
        <v>178</v>
      </c>
      <c r="D45" s="5"/>
      <c r="E45" s="5"/>
      <c r="F45" s="5" t="s">
        <v>69</v>
      </c>
      <c r="G45" s="5" t="s">
        <v>55</v>
      </c>
      <c r="H45" s="5" t="s">
        <v>50</v>
      </c>
      <c r="I45" s="5" t="s">
        <v>56</v>
      </c>
      <c r="J45" s="5" t="s">
        <v>63</v>
      </c>
      <c r="K45" s="5" t="s">
        <v>208</v>
      </c>
      <c r="L45" s="5" t="s">
        <v>58</v>
      </c>
      <c r="M45" s="5" t="s">
        <v>207</v>
      </c>
      <c r="N45" s="5" t="s">
        <v>66</v>
      </c>
      <c r="O45" s="5" t="s">
        <v>47</v>
      </c>
      <c r="P45" s="5" t="s">
        <v>61</v>
      </c>
      <c r="Q45" s="5" t="s">
        <v>59</v>
      </c>
      <c r="R45" s="5" t="s">
        <v>71</v>
      </c>
      <c r="S45" s="5" t="s">
        <v>48</v>
      </c>
      <c r="T45" s="1">
        <v>9</v>
      </c>
      <c r="U45" s="1">
        <v>9</v>
      </c>
      <c r="V45" s="1">
        <v>42</v>
      </c>
      <c r="AA45">
        <f t="shared" si="13"/>
        <v>43</v>
      </c>
      <c r="AB45">
        <f t="shared" si="5"/>
        <v>15</v>
      </c>
    </row>
    <row r="46" spans="1:28" ht="28.8" x14ac:dyDescent="0.3">
      <c r="A46" s="3">
        <v>31</v>
      </c>
      <c r="B46" s="4"/>
      <c r="C46" s="6" t="s">
        <v>198</v>
      </c>
      <c r="D46" s="5"/>
      <c r="E46" s="5"/>
      <c r="F46" s="5" t="s">
        <v>67</v>
      </c>
      <c r="G46" s="5" t="s">
        <v>75</v>
      </c>
      <c r="H46" s="5" t="s">
        <v>50</v>
      </c>
      <c r="I46" s="5" t="s">
        <v>73</v>
      </c>
      <c r="J46" s="5" t="s">
        <v>57</v>
      </c>
      <c r="K46" s="5" t="s">
        <v>208</v>
      </c>
      <c r="L46" s="5" t="s">
        <v>58</v>
      </c>
      <c r="M46" s="5" t="s">
        <v>207</v>
      </c>
      <c r="N46" s="5" t="s">
        <v>65</v>
      </c>
      <c r="O46" s="5" t="s">
        <v>47</v>
      </c>
      <c r="P46" s="5" t="s">
        <v>70</v>
      </c>
      <c r="Q46" s="5" t="s">
        <v>53</v>
      </c>
      <c r="R46" s="5" t="s">
        <v>71</v>
      </c>
      <c r="S46" s="5" t="s">
        <v>48</v>
      </c>
      <c r="T46" s="1">
        <v>9</v>
      </c>
      <c r="U46" s="1">
        <v>9</v>
      </c>
      <c r="V46" s="1">
        <v>42</v>
      </c>
      <c r="AA46">
        <f t="shared" si="13"/>
        <v>44</v>
      </c>
      <c r="AB46">
        <f t="shared" si="5"/>
        <v>18</v>
      </c>
    </row>
    <row r="47" spans="1:28" x14ac:dyDescent="0.3">
      <c r="A47" s="3">
        <v>32</v>
      </c>
      <c r="B47" s="4"/>
      <c r="C47" s="6" t="s">
        <v>33</v>
      </c>
      <c r="D47" s="5"/>
      <c r="E47" s="5"/>
      <c r="F47" s="5" t="s">
        <v>69</v>
      </c>
      <c r="G47" s="5" t="s">
        <v>75</v>
      </c>
      <c r="H47" s="5" t="s">
        <v>50</v>
      </c>
      <c r="I47" s="5" t="s">
        <v>73</v>
      </c>
      <c r="J47" s="5" t="s">
        <v>57</v>
      </c>
      <c r="K47" s="5" t="s">
        <v>208</v>
      </c>
      <c r="L47" s="5" t="s">
        <v>58</v>
      </c>
      <c r="M47" s="5" t="s">
        <v>207</v>
      </c>
      <c r="N47" s="5" t="s">
        <v>65</v>
      </c>
      <c r="O47" s="5" t="s">
        <v>47</v>
      </c>
      <c r="P47" s="5" t="s">
        <v>70</v>
      </c>
      <c r="Q47" s="5" t="s">
        <v>59</v>
      </c>
      <c r="R47" s="5" t="s">
        <v>71</v>
      </c>
      <c r="S47" s="5" t="s">
        <v>48</v>
      </c>
      <c r="T47" s="1">
        <v>9</v>
      </c>
      <c r="U47" s="1">
        <v>9</v>
      </c>
      <c r="V47" s="1">
        <v>41</v>
      </c>
      <c r="AA47">
        <f t="shared" si="13"/>
        <v>45</v>
      </c>
      <c r="AB47">
        <f t="shared" si="5"/>
        <v>21</v>
      </c>
    </row>
    <row r="48" spans="1:28" ht="28.8" x14ac:dyDescent="0.3">
      <c r="A48" s="3">
        <v>33</v>
      </c>
      <c r="B48" s="4"/>
      <c r="C48" s="6" t="s">
        <v>8</v>
      </c>
      <c r="D48" s="5"/>
      <c r="E48" s="5"/>
      <c r="F48" s="5" t="s">
        <v>67</v>
      </c>
      <c r="G48" s="5" t="s">
        <v>75</v>
      </c>
      <c r="H48" s="5" t="s">
        <v>50</v>
      </c>
      <c r="I48" s="5" t="s">
        <v>56</v>
      </c>
      <c r="J48" s="5" t="s">
        <v>57</v>
      </c>
      <c r="K48" s="5" t="s">
        <v>208</v>
      </c>
      <c r="L48" s="5" t="s">
        <v>68</v>
      </c>
      <c r="M48" s="5" t="s">
        <v>72</v>
      </c>
      <c r="N48" s="5" t="s">
        <v>65</v>
      </c>
      <c r="O48" s="5" t="s">
        <v>47</v>
      </c>
      <c r="P48" s="5" t="s">
        <v>70</v>
      </c>
      <c r="Q48" s="5" t="s">
        <v>59</v>
      </c>
      <c r="R48" s="5" t="s">
        <v>71</v>
      </c>
      <c r="S48" s="5" t="s">
        <v>48</v>
      </c>
      <c r="T48" s="1">
        <v>9</v>
      </c>
      <c r="U48" s="1">
        <v>9</v>
      </c>
      <c r="V48" s="1">
        <v>28</v>
      </c>
      <c r="AA48">
        <f t="shared" si="13"/>
        <v>46</v>
      </c>
      <c r="AB48">
        <f t="shared" si="5"/>
        <v>3</v>
      </c>
    </row>
    <row r="49" spans="1:28" x14ac:dyDescent="0.3">
      <c r="A49" s="3">
        <v>34</v>
      </c>
      <c r="B49" s="4"/>
      <c r="C49" s="6" t="s">
        <v>96</v>
      </c>
      <c r="D49" s="5"/>
      <c r="E49" s="5"/>
      <c r="F49" s="5" t="s">
        <v>67</v>
      </c>
      <c r="G49" s="5" t="s">
        <v>55</v>
      </c>
      <c r="H49" s="5" t="s">
        <v>62</v>
      </c>
      <c r="I49" s="5" t="s">
        <v>56</v>
      </c>
      <c r="J49" s="5" t="s">
        <v>57</v>
      </c>
      <c r="K49" s="5" t="s">
        <v>51</v>
      </c>
      <c r="L49" s="5" t="s">
        <v>58</v>
      </c>
      <c r="M49" s="5" t="s">
        <v>207</v>
      </c>
      <c r="N49" s="5" t="s">
        <v>66</v>
      </c>
      <c r="O49" s="5" t="s">
        <v>47</v>
      </c>
      <c r="P49" s="5" t="s">
        <v>61</v>
      </c>
      <c r="Q49" s="5" t="s">
        <v>53</v>
      </c>
      <c r="R49" s="5" t="s">
        <v>209</v>
      </c>
      <c r="S49" s="5" t="s">
        <v>48</v>
      </c>
      <c r="T49" s="1">
        <v>8</v>
      </c>
      <c r="U49" s="1">
        <v>8</v>
      </c>
      <c r="V49" s="1">
        <v>51</v>
      </c>
      <c r="AA49">
        <f t="shared" si="13"/>
        <v>47</v>
      </c>
      <c r="AB49">
        <f t="shared" si="5"/>
        <v>13</v>
      </c>
    </row>
    <row r="50" spans="1:28" x14ac:dyDescent="0.3">
      <c r="A50" s="3">
        <v>35</v>
      </c>
      <c r="B50" s="4"/>
      <c r="C50" s="6" t="s">
        <v>11</v>
      </c>
      <c r="D50" s="5"/>
      <c r="E50" s="5"/>
      <c r="F50" s="5" t="s">
        <v>69</v>
      </c>
      <c r="G50" s="5" t="s">
        <v>55</v>
      </c>
      <c r="H50" s="5" t="s">
        <v>50</v>
      </c>
      <c r="I50" s="5" t="s">
        <v>73</v>
      </c>
      <c r="J50" s="5" t="s">
        <v>57</v>
      </c>
      <c r="K50" s="5" t="s">
        <v>208</v>
      </c>
      <c r="L50" s="5" t="s">
        <v>68</v>
      </c>
      <c r="M50" s="5" t="s">
        <v>72</v>
      </c>
      <c r="N50" s="5" t="s">
        <v>65</v>
      </c>
      <c r="O50" s="5" t="s">
        <v>47</v>
      </c>
      <c r="P50" s="5" t="s">
        <v>70</v>
      </c>
      <c r="Q50" s="5" t="s">
        <v>59</v>
      </c>
      <c r="R50" s="5" t="s">
        <v>71</v>
      </c>
      <c r="S50" s="5" t="s">
        <v>48</v>
      </c>
      <c r="T50" s="1">
        <v>8</v>
      </c>
      <c r="U50" s="1">
        <v>8</v>
      </c>
      <c r="V50" s="1">
        <v>52</v>
      </c>
      <c r="AA50">
        <f t="shared" si="13"/>
        <v>48</v>
      </c>
      <c r="AB50">
        <f t="shared" si="5"/>
        <v>10</v>
      </c>
    </row>
    <row r="51" spans="1:28" x14ac:dyDescent="0.3">
      <c r="A51" s="3">
        <v>36</v>
      </c>
      <c r="B51" s="4"/>
      <c r="C51" s="6" t="s">
        <v>88</v>
      </c>
      <c r="D51" s="5"/>
      <c r="E51" s="5"/>
      <c r="F51" s="5" t="s">
        <v>69</v>
      </c>
      <c r="G51" s="5" t="s">
        <v>75</v>
      </c>
      <c r="H51" s="5" t="s">
        <v>50</v>
      </c>
      <c r="I51" s="5" t="s">
        <v>73</v>
      </c>
      <c r="J51" s="5" t="s">
        <v>57</v>
      </c>
      <c r="K51" s="5" t="s">
        <v>208</v>
      </c>
      <c r="L51" s="5" t="s">
        <v>58</v>
      </c>
      <c r="M51" s="5" t="s">
        <v>207</v>
      </c>
      <c r="N51" s="5" t="s">
        <v>66</v>
      </c>
      <c r="O51" s="5" t="s">
        <v>47</v>
      </c>
      <c r="P51" s="5" t="s">
        <v>70</v>
      </c>
      <c r="Q51" s="5" t="s">
        <v>59</v>
      </c>
      <c r="R51" s="5" t="s">
        <v>71</v>
      </c>
      <c r="S51" s="5" t="s">
        <v>48</v>
      </c>
      <c r="T51" s="1">
        <v>8</v>
      </c>
      <c r="U51" s="1">
        <v>8</v>
      </c>
      <c r="V51" s="1">
        <v>48</v>
      </c>
      <c r="AA51">
        <f t="shared" si="13"/>
        <v>49</v>
      </c>
      <c r="AB51">
        <f t="shared" si="5"/>
        <v>1</v>
      </c>
    </row>
    <row r="52" spans="1:28" ht="28.8" x14ac:dyDescent="0.3">
      <c r="A52" s="3">
        <v>37</v>
      </c>
      <c r="B52" s="4"/>
      <c r="C52" s="6" t="s">
        <v>113</v>
      </c>
      <c r="D52" s="5"/>
      <c r="E52" s="5"/>
      <c r="F52" s="5" t="s">
        <v>67</v>
      </c>
      <c r="G52" s="5" t="s">
        <v>75</v>
      </c>
      <c r="H52" s="5" t="s">
        <v>62</v>
      </c>
      <c r="I52" s="5" t="s">
        <v>73</v>
      </c>
      <c r="J52" s="5" t="s">
        <v>57</v>
      </c>
      <c r="K52" s="5" t="s">
        <v>208</v>
      </c>
      <c r="L52" s="5" t="s">
        <v>58</v>
      </c>
      <c r="M52" s="5" t="s">
        <v>207</v>
      </c>
      <c r="N52" s="5" t="s">
        <v>66</v>
      </c>
      <c r="O52" s="5" t="s">
        <v>47</v>
      </c>
      <c r="P52" s="5" t="s">
        <v>70</v>
      </c>
      <c r="Q52" s="5" t="s">
        <v>59</v>
      </c>
      <c r="R52" s="5" t="s">
        <v>71</v>
      </c>
      <c r="S52" s="5" t="s">
        <v>48</v>
      </c>
      <c r="T52" s="1">
        <v>8</v>
      </c>
      <c r="U52" s="1">
        <v>8</v>
      </c>
      <c r="V52" s="1">
        <v>48</v>
      </c>
      <c r="AA52">
        <f t="shared" si="13"/>
        <v>50</v>
      </c>
      <c r="AB52">
        <f t="shared" si="5"/>
        <v>0</v>
      </c>
    </row>
    <row r="53" spans="1:28" x14ac:dyDescent="0.3">
      <c r="A53" s="3">
        <v>38</v>
      </c>
      <c r="B53" s="4"/>
      <c r="C53" s="6" t="s">
        <v>100</v>
      </c>
      <c r="D53" s="5"/>
      <c r="E53" s="5"/>
      <c r="F53" s="5" t="s">
        <v>69</v>
      </c>
      <c r="G53" s="5" t="s">
        <v>55</v>
      </c>
      <c r="H53" s="5" t="s">
        <v>62</v>
      </c>
      <c r="I53" s="5" t="s">
        <v>56</v>
      </c>
      <c r="J53" s="5" t="s">
        <v>63</v>
      </c>
      <c r="K53" s="5" t="s">
        <v>208</v>
      </c>
      <c r="L53" s="5" t="s">
        <v>58</v>
      </c>
      <c r="M53" s="5" t="s">
        <v>207</v>
      </c>
      <c r="N53" s="5" t="s">
        <v>65</v>
      </c>
      <c r="O53" s="5" t="s">
        <v>47</v>
      </c>
      <c r="P53" s="5" t="s">
        <v>70</v>
      </c>
      <c r="Q53" s="5" t="s">
        <v>53</v>
      </c>
      <c r="R53" s="5" t="s">
        <v>209</v>
      </c>
      <c r="S53" s="5" t="s">
        <v>48</v>
      </c>
      <c r="T53" s="1">
        <v>8</v>
      </c>
      <c r="U53" s="1">
        <v>8</v>
      </c>
      <c r="V53" s="1">
        <v>47</v>
      </c>
      <c r="AA53">
        <f t="shared" si="13"/>
        <v>51</v>
      </c>
      <c r="AB53">
        <f t="shared" si="5"/>
        <v>8</v>
      </c>
    </row>
    <row r="54" spans="1:28" x14ac:dyDescent="0.3">
      <c r="A54" s="3">
        <v>39</v>
      </c>
      <c r="B54" s="4"/>
      <c r="C54" s="6" t="s">
        <v>97</v>
      </c>
      <c r="D54" s="5"/>
      <c r="E54" s="5"/>
      <c r="F54" s="5" t="s">
        <v>67</v>
      </c>
      <c r="G54" s="5" t="s">
        <v>55</v>
      </c>
      <c r="H54" s="5" t="s">
        <v>62</v>
      </c>
      <c r="I54" s="5" t="s">
        <v>73</v>
      </c>
      <c r="J54" s="5" t="s">
        <v>57</v>
      </c>
      <c r="K54" s="5" t="s">
        <v>208</v>
      </c>
      <c r="L54" s="5" t="s">
        <v>58</v>
      </c>
      <c r="M54" s="5" t="s">
        <v>72</v>
      </c>
      <c r="N54" s="5" t="s">
        <v>65</v>
      </c>
      <c r="O54" s="5" t="s">
        <v>64</v>
      </c>
      <c r="P54" s="5" t="s">
        <v>70</v>
      </c>
      <c r="Q54" s="5" t="s">
        <v>59</v>
      </c>
      <c r="R54" s="5" t="s">
        <v>71</v>
      </c>
      <c r="S54" s="5" t="s">
        <v>48</v>
      </c>
      <c r="T54" s="1">
        <v>8</v>
      </c>
      <c r="U54" s="1">
        <v>8</v>
      </c>
      <c r="V54" s="1">
        <v>47</v>
      </c>
      <c r="AA54">
        <f t="shared" si="13"/>
        <v>52</v>
      </c>
      <c r="AB54">
        <f t="shared" si="5"/>
        <v>5</v>
      </c>
    </row>
    <row r="55" spans="1:28" x14ac:dyDescent="0.3">
      <c r="A55" s="3">
        <v>40</v>
      </c>
      <c r="B55" s="4"/>
      <c r="C55" s="6" t="s">
        <v>152</v>
      </c>
      <c r="D55" s="5"/>
      <c r="E55" s="5"/>
      <c r="F55" s="5" t="s">
        <v>67</v>
      </c>
      <c r="G55" s="5" t="s">
        <v>75</v>
      </c>
      <c r="H55" s="5" t="s">
        <v>62</v>
      </c>
      <c r="I55" s="5" t="s">
        <v>56</v>
      </c>
      <c r="J55" s="5" t="s">
        <v>57</v>
      </c>
      <c r="K55" s="5" t="s">
        <v>208</v>
      </c>
      <c r="L55" s="5" t="s">
        <v>58</v>
      </c>
      <c r="M55" s="5" t="s">
        <v>207</v>
      </c>
      <c r="N55" s="5" t="s">
        <v>65</v>
      </c>
      <c r="O55" s="5" t="s">
        <v>47</v>
      </c>
      <c r="P55" s="5" t="s">
        <v>70</v>
      </c>
      <c r="Q55" s="5" t="s">
        <v>53</v>
      </c>
      <c r="R55" s="5" t="s">
        <v>71</v>
      </c>
      <c r="S55" s="5" t="s">
        <v>74</v>
      </c>
      <c r="T55" s="1">
        <v>8</v>
      </c>
      <c r="U55" s="1">
        <v>8</v>
      </c>
      <c r="V55" s="1">
        <v>47</v>
      </c>
      <c r="AA55">
        <f t="shared" si="13"/>
        <v>53</v>
      </c>
      <c r="AB55">
        <f t="shared" si="5"/>
        <v>1</v>
      </c>
    </row>
    <row r="56" spans="1:28" x14ac:dyDescent="0.3">
      <c r="A56" s="3">
        <v>41</v>
      </c>
      <c r="B56" s="4"/>
      <c r="C56" s="6" t="s">
        <v>156</v>
      </c>
      <c r="D56" s="5"/>
      <c r="E56" s="5"/>
      <c r="F56" s="5" t="s">
        <v>69</v>
      </c>
      <c r="G56" s="5" t="s">
        <v>55</v>
      </c>
      <c r="H56" s="5" t="s">
        <v>50</v>
      </c>
      <c r="I56" s="5" t="s">
        <v>56</v>
      </c>
      <c r="J56" s="5" t="s">
        <v>57</v>
      </c>
      <c r="K56" s="5" t="s">
        <v>208</v>
      </c>
      <c r="L56" s="5" t="s">
        <v>68</v>
      </c>
      <c r="M56" s="5" t="s">
        <v>207</v>
      </c>
      <c r="N56" s="5" t="s">
        <v>65</v>
      </c>
      <c r="O56" s="5" t="s">
        <v>47</v>
      </c>
      <c r="P56" s="5" t="s">
        <v>70</v>
      </c>
      <c r="Q56" s="5" t="s">
        <v>53</v>
      </c>
      <c r="R56" s="5" t="s">
        <v>209</v>
      </c>
      <c r="S56" s="5" t="s">
        <v>48</v>
      </c>
      <c r="T56" s="1">
        <v>8</v>
      </c>
      <c r="U56" s="1">
        <v>8</v>
      </c>
      <c r="V56" s="1">
        <v>47</v>
      </c>
      <c r="AA56">
        <f t="shared" si="13"/>
        <v>54</v>
      </c>
      <c r="AB56">
        <f t="shared" si="5"/>
        <v>1</v>
      </c>
    </row>
    <row r="57" spans="1:28" x14ac:dyDescent="0.3">
      <c r="A57" s="3">
        <v>42</v>
      </c>
      <c r="B57" s="4"/>
      <c r="C57" s="6" t="s">
        <v>93</v>
      </c>
      <c r="D57" s="5"/>
      <c r="E57" s="5"/>
      <c r="F57" s="5" t="s">
        <v>69</v>
      </c>
      <c r="G57" s="5" t="s">
        <v>75</v>
      </c>
      <c r="H57" s="5" t="s">
        <v>50</v>
      </c>
      <c r="I57" s="5" t="s">
        <v>73</v>
      </c>
      <c r="J57" s="5" t="s">
        <v>57</v>
      </c>
      <c r="K57" s="5" t="s">
        <v>208</v>
      </c>
      <c r="L57" s="5" t="s">
        <v>58</v>
      </c>
      <c r="M57" s="5" t="s">
        <v>72</v>
      </c>
      <c r="N57" s="5" t="s">
        <v>65</v>
      </c>
      <c r="O57" s="5" t="s">
        <v>47</v>
      </c>
      <c r="P57" s="5" t="s">
        <v>70</v>
      </c>
      <c r="Q57" s="5" t="s">
        <v>59</v>
      </c>
      <c r="R57" s="5" t="s">
        <v>71</v>
      </c>
      <c r="S57" s="5" t="s">
        <v>48</v>
      </c>
      <c r="T57" s="1">
        <v>8</v>
      </c>
      <c r="U57" s="1">
        <v>8</v>
      </c>
      <c r="V57" s="1">
        <v>56</v>
      </c>
      <c r="AA57">
        <f t="shared" si="13"/>
        <v>55</v>
      </c>
      <c r="AB57">
        <f t="shared" si="5"/>
        <v>4</v>
      </c>
    </row>
    <row r="58" spans="1:28" ht="28.8" x14ac:dyDescent="0.3">
      <c r="A58" s="3">
        <v>43</v>
      </c>
      <c r="B58" s="4"/>
      <c r="C58" s="6" t="s">
        <v>122</v>
      </c>
      <c r="D58" s="5"/>
      <c r="E58" s="5"/>
      <c r="F58" s="5" t="s">
        <v>69</v>
      </c>
      <c r="G58" s="5" t="s">
        <v>55</v>
      </c>
      <c r="H58" s="5" t="s">
        <v>50</v>
      </c>
      <c r="I58" s="5" t="s">
        <v>73</v>
      </c>
      <c r="J58" s="5" t="s">
        <v>57</v>
      </c>
      <c r="K58" s="5" t="s">
        <v>51</v>
      </c>
      <c r="L58" s="5" t="s">
        <v>58</v>
      </c>
      <c r="M58" s="5" t="s">
        <v>72</v>
      </c>
      <c r="N58" s="5" t="s">
        <v>65</v>
      </c>
      <c r="O58" s="5" t="s">
        <v>47</v>
      </c>
      <c r="P58" s="5" t="s">
        <v>61</v>
      </c>
      <c r="Q58" s="5" t="s">
        <v>59</v>
      </c>
      <c r="R58" s="5" t="s">
        <v>71</v>
      </c>
      <c r="S58" s="5" t="s">
        <v>74</v>
      </c>
      <c r="T58" s="1">
        <v>8</v>
      </c>
      <c r="U58" s="1">
        <v>8</v>
      </c>
      <c r="V58" s="1">
        <v>56</v>
      </c>
      <c r="AA58">
        <f t="shared" si="13"/>
        <v>56</v>
      </c>
      <c r="AB58">
        <f t="shared" si="5"/>
        <v>3</v>
      </c>
    </row>
    <row r="59" spans="1:28" x14ac:dyDescent="0.3">
      <c r="A59" s="3">
        <v>44</v>
      </c>
      <c r="B59" s="4"/>
      <c r="C59" s="6" t="s">
        <v>186</v>
      </c>
      <c r="D59" s="5"/>
      <c r="E59" s="5"/>
      <c r="F59" s="5" t="s">
        <v>69</v>
      </c>
      <c r="G59" s="5" t="s">
        <v>75</v>
      </c>
      <c r="H59" s="5" t="s">
        <v>50</v>
      </c>
      <c r="I59" s="5" t="s">
        <v>73</v>
      </c>
      <c r="J59" s="5" t="s">
        <v>57</v>
      </c>
      <c r="K59" s="5" t="s">
        <v>208</v>
      </c>
      <c r="L59" s="5" t="s">
        <v>58</v>
      </c>
      <c r="M59" s="5" t="s">
        <v>207</v>
      </c>
      <c r="N59" s="5" t="s">
        <v>65</v>
      </c>
      <c r="O59" s="5" t="s">
        <v>47</v>
      </c>
      <c r="P59" s="5" t="s">
        <v>70</v>
      </c>
      <c r="Q59" s="5" t="s">
        <v>53</v>
      </c>
      <c r="R59" s="5" t="s">
        <v>71</v>
      </c>
      <c r="S59" s="5" t="s">
        <v>48</v>
      </c>
      <c r="T59" s="1">
        <v>8</v>
      </c>
      <c r="U59" s="1">
        <v>8</v>
      </c>
      <c r="V59" s="1">
        <v>56</v>
      </c>
      <c r="AA59">
        <f t="shared" si="13"/>
        <v>57</v>
      </c>
      <c r="AB59">
        <f t="shared" si="5"/>
        <v>1</v>
      </c>
    </row>
    <row r="60" spans="1:28" ht="28.8" x14ac:dyDescent="0.3">
      <c r="A60" s="3">
        <v>45</v>
      </c>
      <c r="B60" s="4"/>
      <c r="C60" s="6" t="s">
        <v>174</v>
      </c>
      <c r="D60" s="5"/>
      <c r="E60" s="5"/>
      <c r="F60" s="5" t="s">
        <v>67</v>
      </c>
      <c r="G60" s="5" t="s">
        <v>75</v>
      </c>
      <c r="H60" s="5" t="s">
        <v>62</v>
      </c>
      <c r="I60" s="5" t="s">
        <v>73</v>
      </c>
      <c r="J60" s="5" t="s">
        <v>57</v>
      </c>
      <c r="K60" s="5" t="s">
        <v>208</v>
      </c>
      <c r="L60" s="5" t="s">
        <v>58</v>
      </c>
      <c r="M60" s="5" t="s">
        <v>207</v>
      </c>
      <c r="N60" s="5" t="s">
        <v>65</v>
      </c>
      <c r="O60" s="5" t="s">
        <v>47</v>
      </c>
      <c r="P60" s="5" t="s">
        <v>61</v>
      </c>
      <c r="Q60" s="5" t="s">
        <v>59</v>
      </c>
      <c r="R60" s="5" t="s">
        <v>71</v>
      </c>
      <c r="S60" s="5" t="s">
        <v>48</v>
      </c>
      <c r="T60" s="1">
        <v>8</v>
      </c>
      <c r="U60" s="1">
        <v>8</v>
      </c>
      <c r="V60" s="1">
        <v>45</v>
      </c>
      <c r="AA60">
        <f t="shared" si="13"/>
        <v>58</v>
      </c>
      <c r="AB60">
        <f t="shared" si="5"/>
        <v>0</v>
      </c>
    </row>
    <row r="61" spans="1:28" x14ac:dyDescent="0.3">
      <c r="A61" s="3">
        <v>46</v>
      </c>
      <c r="B61" s="4"/>
      <c r="C61" s="6" t="s">
        <v>180</v>
      </c>
      <c r="D61" s="5"/>
      <c r="E61" s="5"/>
      <c r="F61" s="5" t="s">
        <v>69</v>
      </c>
      <c r="G61" s="5" t="s">
        <v>75</v>
      </c>
      <c r="H61" s="5" t="s">
        <v>50</v>
      </c>
      <c r="I61" s="5" t="s">
        <v>73</v>
      </c>
      <c r="J61" s="5" t="s">
        <v>57</v>
      </c>
      <c r="K61" s="5" t="s">
        <v>208</v>
      </c>
      <c r="L61" s="5" t="s">
        <v>58</v>
      </c>
      <c r="M61" s="5" t="s">
        <v>72</v>
      </c>
      <c r="N61" s="5" t="s">
        <v>65</v>
      </c>
      <c r="O61" s="5" t="s">
        <v>47</v>
      </c>
      <c r="P61" s="5" t="s">
        <v>70</v>
      </c>
      <c r="Q61" s="5" t="s">
        <v>59</v>
      </c>
      <c r="R61" s="5" t="s">
        <v>71</v>
      </c>
      <c r="S61" s="5" t="s">
        <v>48</v>
      </c>
      <c r="T61" s="1">
        <v>8</v>
      </c>
      <c r="U61" s="1">
        <v>8</v>
      </c>
      <c r="V61" s="1">
        <v>45</v>
      </c>
      <c r="AA61">
        <f t="shared" si="13"/>
        <v>59</v>
      </c>
      <c r="AB61">
        <f t="shared" si="5"/>
        <v>0</v>
      </c>
    </row>
    <row r="62" spans="1:28" x14ac:dyDescent="0.3">
      <c r="A62" s="3">
        <v>47</v>
      </c>
      <c r="B62" s="4"/>
      <c r="C62" s="6" t="s">
        <v>42</v>
      </c>
      <c r="D62" s="5"/>
      <c r="E62" s="5"/>
      <c r="F62" s="5" t="s">
        <v>69</v>
      </c>
      <c r="G62" s="5" t="s">
        <v>75</v>
      </c>
      <c r="H62" s="5" t="s">
        <v>50</v>
      </c>
      <c r="I62" s="5" t="s">
        <v>73</v>
      </c>
      <c r="J62" s="5" t="s">
        <v>57</v>
      </c>
      <c r="K62" s="5" t="s">
        <v>208</v>
      </c>
      <c r="L62" s="5" t="s">
        <v>58</v>
      </c>
      <c r="M62" s="5" t="s">
        <v>72</v>
      </c>
      <c r="N62" s="5" t="s">
        <v>65</v>
      </c>
      <c r="O62" s="5" t="s">
        <v>47</v>
      </c>
      <c r="P62" s="5" t="s">
        <v>70</v>
      </c>
      <c r="Q62" s="5" t="s">
        <v>59</v>
      </c>
      <c r="R62" s="5" t="s">
        <v>71</v>
      </c>
      <c r="S62" s="5" t="s">
        <v>48</v>
      </c>
      <c r="T62" s="1">
        <v>8</v>
      </c>
      <c r="U62" s="1">
        <v>8</v>
      </c>
      <c r="V62" s="1">
        <v>57</v>
      </c>
      <c r="AA62">
        <f t="shared" si="13"/>
        <v>60</v>
      </c>
      <c r="AB62">
        <f t="shared" si="5"/>
        <v>0</v>
      </c>
    </row>
    <row r="63" spans="1:28" ht="43.2" x14ac:dyDescent="0.3">
      <c r="A63" s="3">
        <v>48</v>
      </c>
      <c r="B63" s="4"/>
      <c r="C63" s="6" t="s">
        <v>188</v>
      </c>
      <c r="D63" s="5"/>
      <c r="E63" s="5"/>
      <c r="F63" s="5" t="s">
        <v>67</v>
      </c>
      <c r="G63" s="5" t="s">
        <v>75</v>
      </c>
      <c r="H63" s="5" t="s">
        <v>50</v>
      </c>
      <c r="I63" s="5" t="s">
        <v>73</v>
      </c>
      <c r="J63" s="5" t="s">
        <v>57</v>
      </c>
      <c r="K63" s="5" t="s">
        <v>208</v>
      </c>
      <c r="L63" s="5" t="s">
        <v>58</v>
      </c>
      <c r="M63" s="5" t="s">
        <v>72</v>
      </c>
      <c r="N63" s="5" t="s">
        <v>65</v>
      </c>
      <c r="O63" s="5" t="s">
        <v>47</v>
      </c>
      <c r="P63" s="5" t="s">
        <v>70</v>
      </c>
      <c r="Q63" s="5" t="s">
        <v>53</v>
      </c>
      <c r="R63" s="5" t="s">
        <v>71</v>
      </c>
      <c r="S63" s="5" t="s">
        <v>48</v>
      </c>
      <c r="T63" s="1">
        <v>8</v>
      </c>
      <c r="U63" s="1">
        <v>8</v>
      </c>
      <c r="V63" s="1">
        <v>45</v>
      </c>
      <c r="AA63">
        <f t="shared" si="13"/>
        <v>61</v>
      </c>
      <c r="AB63">
        <f t="shared" si="5"/>
        <v>1</v>
      </c>
    </row>
    <row r="64" spans="1:28" x14ac:dyDescent="0.3">
      <c r="A64" s="3">
        <v>49</v>
      </c>
      <c r="B64" s="4"/>
      <c r="C64" s="6" t="s">
        <v>91</v>
      </c>
      <c r="D64" s="5"/>
      <c r="E64" s="5"/>
      <c r="F64" s="5" t="s">
        <v>69</v>
      </c>
      <c r="G64" s="5" t="s">
        <v>75</v>
      </c>
      <c r="H64" s="5" t="s">
        <v>50</v>
      </c>
      <c r="I64" s="5" t="s">
        <v>56</v>
      </c>
      <c r="J64" s="5" t="s">
        <v>63</v>
      </c>
      <c r="K64" s="5" t="s">
        <v>208</v>
      </c>
      <c r="L64" s="5" t="s">
        <v>58</v>
      </c>
      <c r="M64" s="5" t="s">
        <v>72</v>
      </c>
      <c r="N64" s="5" t="s">
        <v>65</v>
      </c>
      <c r="O64" s="5" t="s">
        <v>47</v>
      </c>
      <c r="P64" s="5" t="s">
        <v>61</v>
      </c>
      <c r="Q64" s="5" t="s">
        <v>59</v>
      </c>
      <c r="R64" s="5" t="s">
        <v>71</v>
      </c>
      <c r="S64" s="5" t="s">
        <v>48</v>
      </c>
      <c r="T64" s="1">
        <v>8</v>
      </c>
      <c r="U64" s="1">
        <v>8</v>
      </c>
      <c r="V64" s="1">
        <v>45</v>
      </c>
      <c r="AA64">
        <f t="shared" si="13"/>
        <v>62</v>
      </c>
      <c r="AB64">
        <f t="shared" si="5"/>
        <v>0</v>
      </c>
    </row>
    <row r="65" spans="1:28" ht="28.8" x14ac:dyDescent="0.3">
      <c r="A65" s="3">
        <v>50</v>
      </c>
      <c r="B65" s="4"/>
      <c r="C65" s="6" t="s">
        <v>147</v>
      </c>
      <c r="D65" s="5"/>
      <c r="E65" s="5"/>
      <c r="F65" s="5" t="s">
        <v>69</v>
      </c>
      <c r="G65" s="5" t="s">
        <v>55</v>
      </c>
      <c r="H65" s="5" t="s">
        <v>50</v>
      </c>
      <c r="I65" s="5" t="s">
        <v>56</v>
      </c>
      <c r="J65" s="5" t="s">
        <v>63</v>
      </c>
      <c r="K65" s="5" t="s">
        <v>51</v>
      </c>
      <c r="L65" s="5" t="s">
        <v>68</v>
      </c>
      <c r="M65" s="5" t="s">
        <v>207</v>
      </c>
      <c r="N65" s="5" t="s">
        <v>65</v>
      </c>
      <c r="O65" s="5" t="s">
        <v>47</v>
      </c>
      <c r="P65" s="5" t="s">
        <v>61</v>
      </c>
      <c r="Q65" s="5" t="s">
        <v>53</v>
      </c>
      <c r="R65" s="5" t="s">
        <v>71</v>
      </c>
      <c r="S65" s="5" t="s">
        <v>74</v>
      </c>
      <c r="T65" s="1">
        <v>8</v>
      </c>
      <c r="U65" s="1">
        <v>8</v>
      </c>
      <c r="V65" s="1">
        <v>44</v>
      </c>
      <c r="AA65">
        <f t="shared" si="13"/>
        <v>63</v>
      </c>
      <c r="AB65">
        <f t="shared" si="5"/>
        <v>0</v>
      </c>
    </row>
    <row r="66" spans="1:28" ht="28.8" x14ac:dyDescent="0.3">
      <c r="A66" s="3">
        <v>51</v>
      </c>
      <c r="B66" s="4"/>
      <c r="C66" s="6" t="s">
        <v>154</v>
      </c>
      <c r="D66" s="5"/>
      <c r="E66" s="5"/>
      <c r="F66" s="5" t="s">
        <v>69</v>
      </c>
      <c r="G66" s="5" t="s">
        <v>55</v>
      </c>
      <c r="H66" s="5" t="s">
        <v>50</v>
      </c>
      <c r="I66" s="5" t="s">
        <v>56</v>
      </c>
      <c r="J66" s="5" t="s">
        <v>57</v>
      </c>
      <c r="K66" s="5" t="s">
        <v>208</v>
      </c>
      <c r="L66" s="5" t="s">
        <v>68</v>
      </c>
      <c r="M66" s="5" t="s">
        <v>207</v>
      </c>
      <c r="N66" s="5" t="s">
        <v>66</v>
      </c>
      <c r="O66" s="5" t="s">
        <v>47</v>
      </c>
      <c r="P66" s="5" t="s">
        <v>70</v>
      </c>
      <c r="Q66" s="5" t="s">
        <v>59</v>
      </c>
      <c r="R66" s="5" t="s">
        <v>71</v>
      </c>
      <c r="S66" s="5" t="s">
        <v>74</v>
      </c>
      <c r="T66" s="1">
        <v>8</v>
      </c>
      <c r="U66" s="1">
        <v>8</v>
      </c>
      <c r="V66" s="1">
        <v>44</v>
      </c>
      <c r="AA66">
        <f t="shared" si="13"/>
        <v>64</v>
      </c>
      <c r="AB66">
        <f t="shared" si="5"/>
        <v>0</v>
      </c>
    </row>
    <row r="67" spans="1:28" x14ac:dyDescent="0.3">
      <c r="A67" s="3">
        <v>52</v>
      </c>
      <c r="B67" s="4"/>
      <c r="C67" s="6" t="s">
        <v>35</v>
      </c>
      <c r="D67" s="5"/>
      <c r="E67" s="5"/>
      <c r="F67" s="5" t="s">
        <v>69</v>
      </c>
      <c r="G67" s="5" t="s">
        <v>75</v>
      </c>
      <c r="H67" s="5" t="s">
        <v>50</v>
      </c>
      <c r="I67" s="5" t="s">
        <v>73</v>
      </c>
      <c r="J67" s="5" t="s">
        <v>57</v>
      </c>
      <c r="K67" s="5" t="s">
        <v>208</v>
      </c>
      <c r="L67" s="5" t="s">
        <v>58</v>
      </c>
      <c r="M67" s="5" t="s">
        <v>207</v>
      </c>
      <c r="N67" s="5" t="s">
        <v>66</v>
      </c>
      <c r="O67" s="5" t="s">
        <v>47</v>
      </c>
      <c r="P67" s="5" t="s">
        <v>70</v>
      </c>
      <c r="Q67" s="5" t="s">
        <v>59</v>
      </c>
      <c r="R67" s="5" t="s">
        <v>71</v>
      </c>
      <c r="S67" s="5" t="s">
        <v>48</v>
      </c>
      <c r="T67" s="1">
        <v>8</v>
      </c>
      <c r="U67" s="1">
        <v>8</v>
      </c>
      <c r="V67" s="1">
        <v>44</v>
      </c>
      <c r="AA67">
        <f t="shared" si="13"/>
        <v>65</v>
      </c>
      <c r="AB67">
        <f t="shared" ref="AB67:AB120" si="14">COUNTIF(V$16:V$179,AA67)</f>
        <v>0</v>
      </c>
    </row>
    <row r="68" spans="1:28" ht="28.8" x14ac:dyDescent="0.3">
      <c r="A68" s="3">
        <v>53</v>
      </c>
      <c r="B68" s="4"/>
      <c r="C68" s="6" t="s">
        <v>24</v>
      </c>
      <c r="D68" s="5"/>
      <c r="E68" s="5"/>
      <c r="F68" s="5" t="s">
        <v>67</v>
      </c>
      <c r="G68" s="5" t="s">
        <v>55</v>
      </c>
      <c r="H68" s="5" t="s">
        <v>50</v>
      </c>
      <c r="I68" s="5" t="s">
        <v>56</v>
      </c>
      <c r="J68" s="5" t="s">
        <v>63</v>
      </c>
      <c r="K68" s="5" t="s">
        <v>51</v>
      </c>
      <c r="L68" s="5" t="s">
        <v>68</v>
      </c>
      <c r="M68" s="5" t="s">
        <v>72</v>
      </c>
      <c r="N68" s="5" t="s">
        <v>66</v>
      </c>
      <c r="O68" s="5" t="s">
        <v>64</v>
      </c>
      <c r="P68" s="5" t="s">
        <v>70</v>
      </c>
      <c r="Q68" s="5" t="s">
        <v>53</v>
      </c>
      <c r="R68" s="5" t="s">
        <v>71</v>
      </c>
      <c r="S68" s="5" t="s">
        <v>48</v>
      </c>
      <c r="T68" s="1">
        <v>8</v>
      </c>
      <c r="U68" s="1">
        <v>8</v>
      </c>
      <c r="V68" s="1">
        <v>43</v>
      </c>
      <c r="AA68">
        <f t="shared" si="13"/>
        <v>66</v>
      </c>
      <c r="AB68">
        <f t="shared" si="14"/>
        <v>1</v>
      </c>
    </row>
    <row r="69" spans="1:28" x14ac:dyDescent="0.3">
      <c r="A69" s="3">
        <v>54</v>
      </c>
      <c r="B69" s="4"/>
      <c r="C69" s="6" t="s">
        <v>120</v>
      </c>
      <c r="D69" s="5"/>
      <c r="E69" s="5"/>
      <c r="F69" s="5" t="s">
        <v>69</v>
      </c>
      <c r="G69" s="5" t="s">
        <v>75</v>
      </c>
      <c r="H69" s="5" t="s">
        <v>50</v>
      </c>
      <c r="I69" s="5" t="s">
        <v>56</v>
      </c>
      <c r="J69" s="5" t="s">
        <v>63</v>
      </c>
      <c r="K69" s="5" t="s">
        <v>208</v>
      </c>
      <c r="L69" s="5" t="s">
        <v>68</v>
      </c>
      <c r="M69" s="5" t="s">
        <v>72</v>
      </c>
      <c r="N69" s="5" t="s">
        <v>65</v>
      </c>
      <c r="O69" s="5" t="s">
        <v>47</v>
      </c>
      <c r="P69" s="5" t="s">
        <v>70</v>
      </c>
      <c r="Q69" s="5" t="s">
        <v>59</v>
      </c>
      <c r="R69" s="5" t="s">
        <v>71</v>
      </c>
      <c r="S69" s="5" t="s">
        <v>48</v>
      </c>
      <c r="T69" s="1">
        <v>8</v>
      </c>
      <c r="U69" s="1">
        <v>8</v>
      </c>
      <c r="V69" s="1">
        <v>43</v>
      </c>
      <c r="AA69">
        <f t="shared" si="13"/>
        <v>67</v>
      </c>
      <c r="AB69">
        <f t="shared" si="14"/>
        <v>0</v>
      </c>
    </row>
    <row r="70" spans="1:28" x14ac:dyDescent="0.3">
      <c r="A70" s="3">
        <v>55</v>
      </c>
      <c r="B70" s="4"/>
      <c r="C70" s="6" t="s">
        <v>21</v>
      </c>
      <c r="D70" s="5"/>
      <c r="E70" s="5"/>
      <c r="F70" s="5" t="s">
        <v>69</v>
      </c>
      <c r="G70" s="5" t="s">
        <v>75</v>
      </c>
      <c r="H70" s="5" t="s">
        <v>50</v>
      </c>
      <c r="I70" s="5" t="s">
        <v>56</v>
      </c>
      <c r="J70" s="5" t="s">
        <v>57</v>
      </c>
      <c r="K70" s="5" t="s">
        <v>51</v>
      </c>
      <c r="L70" s="5" t="s">
        <v>58</v>
      </c>
      <c r="M70" s="5" t="s">
        <v>72</v>
      </c>
      <c r="N70" s="5" t="s">
        <v>65</v>
      </c>
      <c r="O70" s="5" t="s">
        <v>47</v>
      </c>
      <c r="P70" s="5" t="s">
        <v>70</v>
      </c>
      <c r="Q70" s="5" t="s">
        <v>59</v>
      </c>
      <c r="R70" s="5" t="s">
        <v>209</v>
      </c>
      <c r="S70" s="5" t="s">
        <v>74</v>
      </c>
      <c r="T70" s="1">
        <v>8</v>
      </c>
      <c r="U70" s="1">
        <v>8</v>
      </c>
      <c r="V70" s="1">
        <v>43</v>
      </c>
      <c r="AA70">
        <f t="shared" si="13"/>
        <v>68</v>
      </c>
      <c r="AB70">
        <f t="shared" si="14"/>
        <v>0</v>
      </c>
    </row>
    <row r="71" spans="1:28" ht="43.2" x14ac:dyDescent="0.3">
      <c r="A71" s="3">
        <v>56</v>
      </c>
      <c r="B71" s="4"/>
      <c r="C71" s="6" t="s">
        <v>171</v>
      </c>
      <c r="D71" s="5"/>
      <c r="E71" s="5"/>
      <c r="F71" s="5" t="s">
        <v>69</v>
      </c>
      <c r="G71" s="5" t="s">
        <v>75</v>
      </c>
      <c r="H71" s="5" t="s">
        <v>50</v>
      </c>
      <c r="I71" s="5" t="s">
        <v>73</v>
      </c>
      <c r="J71" s="5" t="s">
        <v>57</v>
      </c>
      <c r="K71" s="5" t="s">
        <v>51</v>
      </c>
      <c r="L71" s="5" t="s">
        <v>58</v>
      </c>
      <c r="M71" s="5" t="s">
        <v>72</v>
      </c>
      <c r="N71" s="5" t="s">
        <v>65</v>
      </c>
      <c r="O71" s="5" t="s">
        <v>47</v>
      </c>
      <c r="P71" s="5" t="s">
        <v>70</v>
      </c>
      <c r="Q71" s="5" t="s">
        <v>59</v>
      </c>
      <c r="R71" s="5" t="s">
        <v>71</v>
      </c>
      <c r="S71" s="5" t="s">
        <v>74</v>
      </c>
      <c r="T71" s="1">
        <v>8</v>
      </c>
      <c r="U71" s="1">
        <v>8</v>
      </c>
      <c r="V71" s="1">
        <v>42</v>
      </c>
      <c r="AA71">
        <f t="shared" ref="AA71:AA120" si="15">AA70+1</f>
        <v>69</v>
      </c>
      <c r="AB71">
        <f t="shared" si="14"/>
        <v>0</v>
      </c>
    </row>
    <row r="72" spans="1:28" x14ac:dyDescent="0.3">
      <c r="A72" s="3">
        <v>57</v>
      </c>
      <c r="B72" s="4"/>
      <c r="C72" s="6" t="s">
        <v>84</v>
      </c>
      <c r="D72" s="5"/>
      <c r="E72" s="5"/>
      <c r="F72" s="5" t="s">
        <v>69</v>
      </c>
      <c r="G72" s="5" t="s">
        <v>55</v>
      </c>
      <c r="H72" s="5" t="s">
        <v>62</v>
      </c>
      <c r="I72" s="5" t="s">
        <v>73</v>
      </c>
      <c r="J72" s="5" t="s">
        <v>63</v>
      </c>
      <c r="K72" s="5" t="s">
        <v>51</v>
      </c>
      <c r="L72" s="5" t="s">
        <v>58</v>
      </c>
      <c r="M72" s="5" t="s">
        <v>72</v>
      </c>
      <c r="N72" s="5" t="s">
        <v>65</v>
      </c>
      <c r="O72" s="5" t="s">
        <v>47</v>
      </c>
      <c r="P72" s="5" t="s">
        <v>70</v>
      </c>
      <c r="Q72" s="5" t="s">
        <v>59</v>
      </c>
      <c r="R72" s="5" t="s">
        <v>209</v>
      </c>
      <c r="S72" s="5" t="s">
        <v>48</v>
      </c>
      <c r="T72" s="1">
        <v>8</v>
      </c>
      <c r="U72" s="1">
        <v>8</v>
      </c>
      <c r="V72" s="1">
        <v>42</v>
      </c>
      <c r="AA72">
        <f t="shared" si="15"/>
        <v>70</v>
      </c>
      <c r="AB72">
        <f t="shared" si="14"/>
        <v>0</v>
      </c>
    </row>
    <row r="73" spans="1:28" ht="28.8" x14ac:dyDescent="0.3">
      <c r="A73" s="3">
        <v>58</v>
      </c>
      <c r="B73" s="4"/>
      <c r="C73" s="6" t="s">
        <v>30</v>
      </c>
      <c r="D73" s="5"/>
      <c r="E73" s="5"/>
      <c r="F73" s="5" t="s">
        <v>69</v>
      </c>
      <c r="G73" s="5" t="s">
        <v>75</v>
      </c>
      <c r="H73" s="5" t="s">
        <v>50</v>
      </c>
      <c r="I73" s="5" t="s">
        <v>73</v>
      </c>
      <c r="J73" s="5" t="s">
        <v>57</v>
      </c>
      <c r="K73" s="5" t="s">
        <v>208</v>
      </c>
      <c r="L73" s="5" t="s">
        <v>58</v>
      </c>
      <c r="M73" s="5" t="s">
        <v>72</v>
      </c>
      <c r="N73" s="5" t="s">
        <v>65</v>
      </c>
      <c r="O73" s="5" t="s">
        <v>47</v>
      </c>
      <c r="P73" s="5" t="s">
        <v>70</v>
      </c>
      <c r="Q73" s="5" t="s">
        <v>59</v>
      </c>
      <c r="R73" s="5" t="s">
        <v>71</v>
      </c>
      <c r="S73" s="5" t="s">
        <v>48</v>
      </c>
      <c r="T73" s="1">
        <v>8</v>
      </c>
      <c r="U73" s="1">
        <v>8</v>
      </c>
      <c r="V73" s="1">
        <v>39</v>
      </c>
      <c r="AA73">
        <f t="shared" si="15"/>
        <v>71</v>
      </c>
      <c r="AB73">
        <f t="shared" si="14"/>
        <v>0</v>
      </c>
    </row>
    <row r="74" spans="1:28" x14ac:dyDescent="0.3">
      <c r="A74" s="3">
        <v>59</v>
      </c>
      <c r="B74" s="4"/>
      <c r="C74" s="6" t="s">
        <v>38</v>
      </c>
      <c r="D74" s="5"/>
      <c r="E74" s="5"/>
      <c r="F74" s="5" t="s">
        <v>69</v>
      </c>
      <c r="G74" s="5" t="s">
        <v>75</v>
      </c>
      <c r="H74" s="5" t="s">
        <v>62</v>
      </c>
      <c r="I74" s="5" t="s">
        <v>73</v>
      </c>
      <c r="J74" s="5" t="s">
        <v>57</v>
      </c>
      <c r="K74" s="5" t="s">
        <v>51</v>
      </c>
      <c r="L74" s="5" t="s">
        <v>58</v>
      </c>
      <c r="M74" s="5" t="s">
        <v>207</v>
      </c>
      <c r="N74" s="5" t="s">
        <v>65</v>
      </c>
      <c r="O74" s="5" t="s">
        <v>47</v>
      </c>
      <c r="P74" s="5" t="s">
        <v>70</v>
      </c>
      <c r="Q74" s="5" t="s">
        <v>59</v>
      </c>
      <c r="R74" s="5" t="s">
        <v>71</v>
      </c>
      <c r="S74" s="5" t="s">
        <v>74</v>
      </c>
      <c r="T74" s="1">
        <v>8</v>
      </c>
      <c r="U74" s="1">
        <v>8</v>
      </c>
      <c r="V74" s="1">
        <v>39</v>
      </c>
      <c r="AA74">
        <f t="shared" si="15"/>
        <v>72</v>
      </c>
      <c r="AB74">
        <f t="shared" si="14"/>
        <v>0</v>
      </c>
    </row>
    <row r="75" spans="1:28" ht="28.8" x14ac:dyDescent="0.3">
      <c r="A75" s="3">
        <v>60</v>
      </c>
      <c r="B75" s="4"/>
      <c r="C75" s="6" t="s">
        <v>196</v>
      </c>
      <c r="D75" s="5"/>
      <c r="E75" s="5"/>
      <c r="F75" s="5" t="s">
        <v>67</v>
      </c>
      <c r="G75" s="5" t="s">
        <v>75</v>
      </c>
      <c r="H75" s="5" t="s">
        <v>62</v>
      </c>
      <c r="I75" s="5" t="s">
        <v>73</v>
      </c>
      <c r="J75" s="5" t="s">
        <v>57</v>
      </c>
      <c r="K75" s="5" t="s">
        <v>51</v>
      </c>
      <c r="L75" s="5" t="s">
        <v>58</v>
      </c>
      <c r="M75" s="5" t="s">
        <v>207</v>
      </c>
      <c r="N75" s="5" t="s">
        <v>66</v>
      </c>
      <c r="O75" s="5" t="s">
        <v>47</v>
      </c>
      <c r="P75" s="5" t="s">
        <v>70</v>
      </c>
      <c r="Q75" s="5" t="s">
        <v>59</v>
      </c>
      <c r="R75" s="5" t="s">
        <v>209</v>
      </c>
      <c r="S75" s="5" t="s">
        <v>48</v>
      </c>
      <c r="T75" s="1">
        <v>8</v>
      </c>
      <c r="U75" s="1">
        <v>8</v>
      </c>
      <c r="V75" s="1">
        <v>35</v>
      </c>
      <c r="AA75">
        <f t="shared" si="15"/>
        <v>73</v>
      </c>
      <c r="AB75">
        <f t="shared" si="14"/>
        <v>0</v>
      </c>
    </row>
    <row r="76" spans="1:28" x14ac:dyDescent="0.3">
      <c r="A76" s="3">
        <v>61</v>
      </c>
      <c r="B76" s="4"/>
      <c r="C76" s="6" t="s">
        <v>12</v>
      </c>
      <c r="D76" s="5"/>
      <c r="E76" s="5"/>
      <c r="F76" s="5" t="s">
        <v>69</v>
      </c>
      <c r="G76" s="5" t="s">
        <v>75</v>
      </c>
      <c r="H76" s="5" t="s">
        <v>50</v>
      </c>
      <c r="I76" s="5" t="s">
        <v>56</v>
      </c>
      <c r="J76" s="5" t="s">
        <v>57</v>
      </c>
      <c r="K76" s="5" t="s">
        <v>208</v>
      </c>
      <c r="L76" s="5" t="s">
        <v>58</v>
      </c>
      <c r="M76" s="5" t="s">
        <v>207</v>
      </c>
      <c r="N76" s="5" t="s">
        <v>66</v>
      </c>
      <c r="O76" s="5" t="s">
        <v>47</v>
      </c>
      <c r="P76" s="5" t="s">
        <v>70</v>
      </c>
      <c r="Q76" s="5" t="s">
        <v>53</v>
      </c>
      <c r="R76" s="5" t="s">
        <v>71</v>
      </c>
      <c r="S76" s="5" t="s">
        <v>48</v>
      </c>
      <c r="T76" s="1">
        <v>8</v>
      </c>
      <c r="U76" s="1">
        <v>8</v>
      </c>
      <c r="V76" s="1">
        <v>34</v>
      </c>
      <c r="AA76">
        <f t="shared" si="15"/>
        <v>74</v>
      </c>
      <c r="AB76">
        <f t="shared" si="14"/>
        <v>0</v>
      </c>
    </row>
    <row r="77" spans="1:28" ht="28.8" x14ac:dyDescent="0.3">
      <c r="A77" s="3">
        <v>62</v>
      </c>
      <c r="B77" s="4"/>
      <c r="C77" s="6" t="s">
        <v>6</v>
      </c>
      <c r="D77" s="5"/>
      <c r="E77" s="5"/>
      <c r="F77" s="5" t="s">
        <v>67</v>
      </c>
      <c r="G77" s="5" t="s">
        <v>75</v>
      </c>
      <c r="H77" s="5" t="s">
        <v>50</v>
      </c>
      <c r="I77" s="5" t="s">
        <v>73</v>
      </c>
      <c r="J77" s="5" t="s">
        <v>63</v>
      </c>
      <c r="K77" s="5" t="s">
        <v>208</v>
      </c>
      <c r="L77" s="5" t="s">
        <v>58</v>
      </c>
      <c r="M77" s="5" t="s">
        <v>72</v>
      </c>
      <c r="N77" s="5" t="s">
        <v>66</v>
      </c>
      <c r="O77" s="5" t="s">
        <v>47</v>
      </c>
      <c r="P77" s="5" t="s">
        <v>70</v>
      </c>
      <c r="Q77" s="5" t="s">
        <v>59</v>
      </c>
      <c r="R77" s="5" t="s">
        <v>71</v>
      </c>
      <c r="S77" s="5" t="s">
        <v>48</v>
      </c>
      <c r="T77" s="1">
        <v>8</v>
      </c>
      <c r="U77" s="1">
        <v>8</v>
      </c>
      <c r="V77" s="1">
        <v>31</v>
      </c>
      <c r="AA77">
        <f t="shared" si="15"/>
        <v>75</v>
      </c>
      <c r="AB77">
        <f t="shared" si="14"/>
        <v>0</v>
      </c>
    </row>
    <row r="78" spans="1:28" ht="28.8" x14ac:dyDescent="0.3">
      <c r="A78" s="3">
        <v>63</v>
      </c>
      <c r="B78" s="4"/>
      <c r="C78" s="6" t="s">
        <v>27</v>
      </c>
      <c r="D78" s="5"/>
      <c r="E78" s="5"/>
      <c r="F78" s="5" t="s">
        <v>69</v>
      </c>
      <c r="G78" s="5" t="s">
        <v>55</v>
      </c>
      <c r="H78" s="5" t="s">
        <v>50</v>
      </c>
      <c r="I78" s="5" t="s">
        <v>73</v>
      </c>
      <c r="J78" s="5" t="s">
        <v>57</v>
      </c>
      <c r="K78" s="5" t="s">
        <v>208</v>
      </c>
      <c r="L78" s="5" t="s">
        <v>58</v>
      </c>
      <c r="M78" s="5" t="s">
        <v>72</v>
      </c>
      <c r="N78" s="5" t="s">
        <v>66</v>
      </c>
      <c r="O78" s="5" t="s">
        <v>47</v>
      </c>
      <c r="P78" s="5" t="s">
        <v>70</v>
      </c>
      <c r="Q78" s="5" t="s">
        <v>53</v>
      </c>
      <c r="R78" s="5" t="s">
        <v>71</v>
      </c>
      <c r="S78" s="5" t="s">
        <v>48</v>
      </c>
      <c r="T78" s="1">
        <v>7</v>
      </c>
      <c r="U78" s="1">
        <v>7</v>
      </c>
      <c r="V78" s="1">
        <v>51</v>
      </c>
      <c r="AA78">
        <f t="shared" si="15"/>
        <v>76</v>
      </c>
      <c r="AB78">
        <f t="shared" si="14"/>
        <v>0</v>
      </c>
    </row>
    <row r="79" spans="1:28" x14ac:dyDescent="0.3">
      <c r="A79" s="3">
        <v>64</v>
      </c>
      <c r="B79" s="4"/>
      <c r="C79" s="6" t="s">
        <v>40</v>
      </c>
      <c r="D79" s="5"/>
      <c r="E79" s="5"/>
      <c r="F79" s="5" t="s">
        <v>69</v>
      </c>
      <c r="G79" s="5" t="s">
        <v>55</v>
      </c>
      <c r="H79" s="5" t="s">
        <v>50</v>
      </c>
      <c r="I79" s="5" t="s">
        <v>73</v>
      </c>
      <c r="J79" s="5" t="s">
        <v>63</v>
      </c>
      <c r="K79" s="5" t="s">
        <v>208</v>
      </c>
      <c r="L79" s="5" t="s">
        <v>58</v>
      </c>
      <c r="M79" s="5" t="s">
        <v>72</v>
      </c>
      <c r="N79" s="5" t="s">
        <v>65</v>
      </c>
      <c r="O79" s="5" t="s">
        <v>47</v>
      </c>
      <c r="P79" s="5" t="s">
        <v>61</v>
      </c>
      <c r="Q79" s="5" t="s">
        <v>53</v>
      </c>
      <c r="R79" s="5" t="s">
        <v>71</v>
      </c>
      <c r="S79" s="5" t="s">
        <v>48</v>
      </c>
      <c r="T79" s="1">
        <v>7</v>
      </c>
      <c r="U79" s="1">
        <v>7</v>
      </c>
      <c r="V79" s="1">
        <v>51</v>
      </c>
      <c r="AA79">
        <f t="shared" si="15"/>
        <v>77</v>
      </c>
      <c r="AB79">
        <f t="shared" si="14"/>
        <v>0</v>
      </c>
    </row>
    <row r="80" spans="1:28" x14ac:dyDescent="0.3">
      <c r="A80" s="3">
        <v>65</v>
      </c>
      <c r="B80" s="4"/>
      <c r="C80" s="6" t="s">
        <v>194</v>
      </c>
      <c r="D80" s="5"/>
      <c r="E80" s="5"/>
      <c r="F80" s="5" t="s">
        <v>69</v>
      </c>
      <c r="G80" s="5" t="s">
        <v>75</v>
      </c>
      <c r="H80" s="5" t="s">
        <v>50</v>
      </c>
      <c r="I80" s="5" t="s">
        <v>73</v>
      </c>
      <c r="J80" s="5" t="s">
        <v>57</v>
      </c>
      <c r="K80" s="5" t="s">
        <v>208</v>
      </c>
      <c r="L80" s="5" t="s">
        <v>58</v>
      </c>
      <c r="M80" s="5" t="s">
        <v>72</v>
      </c>
      <c r="N80" s="5" t="s">
        <v>65</v>
      </c>
      <c r="O80" s="5" t="s">
        <v>47</v>
      </c>
      <c r="P80" s="5" t="s">
        <v>70</v>
      </c>
      <c r="Q80" s="5" t="s">
        <v>53</v>
      </c>
      <c r="R80" s="5" t="s">
        <v>71</v>
      </c>
      <c r="S80" s="5" t="s">
        <v>48</v>
      </c>
      <c r="T80" s="1">
        <v>7</v>
      </c>
      <c r="U80" s="1">
        <v>7</v>
      </c>
      <c r="V80" s="1">
        <v>49</v>
      </c>
      <c r="AA80">
        <f t="shared" si="15"/>
        <v>78</v>
      </c>
      <c r="AB80">
        <f t="shared" si="14"/>
        <v>0</v>
      </c>
    </row>
    <row r="81" spans="1:28" ht="28.8" x14ac:dyDescent="0.3">
      <c r="A81" s="3">
        <v>66</v>
      </c>
      <c r="B81" s="4"/>
      <c r="C81" s="6" t="s">
        <v>143</v>
      </c>
      <c r="D81" s="5"/>
      <c r="E81" s="5"/>
      <c r="F81" s="5" t="s">
        <v>69</v>
      </c>
      <c r="G81" s="5" t="s">
        <v>75</v>
      </c>
      <c r="H81" s="5" t="s">
        <v>62</v>
      </c>
      <c r="I81" s="5" t="s">
        <v>73</v>
      </c>
      <c r="J81" s="5" t="s">
        <v>57</v>
      </c>
      <c r="K81" s="5" t="s">
        <v>208</v>
      </c>
      <c r="L81" s="5" t="s">
        <v>58</v>
      </c>
      <c r="M81" s="5" t="s">
        <v>207</v>
      </c>
      <c r="N81" s="5" t="s">
        <v>66</v>
      </c>
      <c r="O81" s="5" t="s">
        <v>47</v>
      </c>
      <c r="P81" s="5" t="s">
        <v>70</v>
      </c>
      <c r="Q81" s="5" t="s">
        <v>59</v>
      </c>
      <c r="R81" s="5" t="s">
        <v>71</v>
      </c>
      <c r="S81" s="5" t="s">
        <v>48</v>
      </c>
      <c r="T81" s="1">
        <v>7</v>
      </c>
      <c r="U81" s="1">
        <v>7</v>
      </c>
      <c r="V81" s="1">
        <v>48</v>
      </c>
      <c r="AA81">
        <f t="shared" si="15"/>
        <v>79</v>
      </c>
      <c r="AB81">
        <f t="shared" si="14"/>
        <v>0</v>
      </c>
    </row>
    <row r="82" spans="1:28" x14ac:dyDescent="0.3">
      <c r="A82" s="3">
        <v>67</v>
      </c>
      <c r="B82" s="4"/>
      <c r="C82" s="6" t="s">
        <v>105</v>
      </c>
      <c r="D82" s="5"/>
      <c r="E82" s="5"/>
      <c r="F82" s="5" t="s">
        <v>69</v>
      </c>
      <c r="G82" s="5" t="s">
        <v>55</v>
      </c>
      <c r="H82" s="5" t="s">
        <v>50</v>
      </c>
      <c r="I82" s="5" t="s">
        <v>56</v>
      </c>
      <c r="J82" s="5" t="s">
        <v>57</v>
      </c>
      <c r="K82" s="5" t="s">
        <v>208</v>
      </c>
      <c r="L82" s="5" t="s">
        <v>58</v>
      </c>
      <c r="M82" s="5" t="s">
        <v>72</v>
      </c>
      <c r="N82" s="5" t="s">
        <v>66</v>
      </c>
      <c r="O82" s="5" t="s">
        <v>47</v>
      </c>
      <c r="P82" s="5" t="s">
        <v>61</v>
      </c>
      <c r="Q82" s="5" t="s">
        <v>59</v>
      </c>
      <c r="R82" s="5" t="s">
        <v>71</v>
      </c>
      <c r="S82" s="5" t="s">
        <v>74</v>
      </c>
      <c r="T82" s="1">
        <v>7</v>
      </c>
      <c r="U82" s="1">
        <v>7</v>
      </c>
      <c r="V82" s="1">
        <v>48</v>
      </c>
      <c r="AA82">
        <f t="shared" si="15"/>
        <v>80</v>
      </c>
      <c r="AB82">
        <f t="shared" si="14"/>
        <v>0</v>
      </c>
    </row>
    <row r="83" spans="1:28" x14ac:dyDescent="0.3">
      <c r="A83" s="3">
        <v>68</v>
      </c>
      <c r="B83" s="4"/>
      <c r="C83" s="6" t="s">
        <v>145</v>
      </c>
      <c r="D83" s="5"/>
      <c r="E83" s="5"/>
      <c r="F83" s="5" t="s">
        <v>69</v>
      </c>
      <c r="G83" s="5" t="s">
        <v>55</v>
      </c>
      <c r="H83" s="5" t="s">
        <v>50</v>
      </c>
      <c r="I83" s="5" t="s">
        <v>73</v>
      </c>
      <c r="J83" s="5" t="s">
        <v>57</v>
      </c>
      <c r="K83" s="5" t="s">
        <v>208</v>
      </c>
      <c r="L83" s="5" t="s">
        <v>58</v>
      </c>
      <c r="M83" s="5" t="s">
        <v>207</v>
      </c>
      <c r="N83" s="5" t="s">
        <v>65</v>
      </c>
      <c r="O83" s="5" t="s">
        <v>64</v>
      </c>
      <c r="P83" s="5" t="s">
        <v>70</v>
      </c>
      <c r="Q83" s="5" t="s">
        <v>53</v>
      </c>
      <c r="R83" s="5" t="s">
        <v>71</v>
      </c>
      <c r="S83" s="5" t="s">
        <v>74</v>
      </c>
      <c r="T83" s="1">
        <v>7</v>
      </c>
      <c r="U83" s="1">
        <v>7</v>
      </c>
      <c r="V83" s="1">
        <v>47</v>
      </c>
      <c r="AA83">
        <f t="shared" si="15"/>
        <v>81</v>
      </c>
      <c r="AB83">
        <f t="shared" si="14"/>
        <v>0</v>
      </c>
    </row>
    <row r="84" spans="1:28" ht="28.8" x14ac:dyDescent="0.3">
      <c r="A84" s="3">
        <v>69</v>
      </c>
      <c r="B84" s="4"/>
      <c r="C84" s="6" t="s">
        <v>146</v>
      </c>
      <c r="D84" s="5"/>
      <c r="E84" s="5"/>
      <c r="F84" s="5" t="s">
        <v>69</v>
      </c>
      <c r="G84" s="5" t="s">
        <v>55</v>
      </c>
      <c r="H84" s="5" t="s">
        <v>62</v>
      </c>
      <c r="I84" s="5" t="s">
        <v>56</v>
      </c>
      <c r="J84" s="5" t="s">
        <v>57</v>
      </c>
      <c r="K84" s="5" t="s">
        <v>51</v>
      </c>
      <c r="L84" s="5" t="s">
        <v>68</v>
      </c>
      <c r="M84" s="5" t="s">
        <v>207</v>
      </c>
      <c r="N84" s="5" t="s">
        <v>66</v>
      </c>
      <c r="O84" s="5" t="s">
        <v>47</v>
      </c>
      <c r="P84" s="5" t="s">
        <v>70</v>
      </c>
      <c r="Q84" s="5" t="s">
        <v>53</v>
      </c>
      <c r="R84" s="5" t="s">
        <v>71</v>
      </c>
      <c r="S84" s="5" t="s">
        <v>74</v>
      </c>
      <c r="T84" s="1">
        <v>7</v>
      </c>
      <c r="U84" s="1">
        <v>7</v>
      </c>
      <c r="V84" s="1">
        <v>47</v>
      </c>
      <c r="AA84">
        <f t="shared" si="15"/>
        <v>82</v>
      </c>
      <c r="AB84">
        <f t="shared" si="14"/>
        <v>0</v>
      </c>
    </row>
    <row r="85" spans="1:28" ht="28.8" x14ac:dyDescent="0.3">
      <c r="A85" s="3">
        <v>70</v>
      </c>
      <c r="B85" s="4"/>
      <c r="C85" s="6" t="s">
        <v>104</v>
      </c>
      <c r="D85" s="5"/>
      <c r="E85" s="5"/>
      <c r="F85" s="5" t="s">
        <v>69</v>
      </c>
      <c r="G85" s="5" t="s">
        <v>75</v>
      </c>
      <c r="H85" s="5" t="s">
        <v>50</v>
      </c>
      <c r="I85" s="5" t="s">
        <v>73</v>
      </c>
      <c r="J85" s="5" t="s">
        <v>57</v>
      </c>
      <c r="K85" s="5" t="s">
        <v>208</v>
      </c>
      <c r="L85" s="5" t="s">
        <v>58</v>
      </c>
      <c r="M85" s="5" t="s">
        <v>207</v>
      </c>
      <c r="N85" s="5" t="s">
        <v>65</v>
      </c>
      <c r="O85" s="5" t="s">
        <v>47</v>
      </c>
      <c r="P85" s="5" t="s">
        <v>61</v>
      </c>
      <c r="Q85" s="5" t="s">
        <v>59</v>
      </c>
      <c r="R85" s="5" t="s">
        <v>209</v>
      </c>
      <c r="S85" s="5" t="s">
        <v>48</v>
      </c>
      <c r="T85" s="1">
        <v>7</v>
      </c>
      <c r="U85" s="1">
        <v>7</v>
      </c>
      <c r="V85" s="1">
        <v>47</v>
      </c>
      <c r="AA85">
        <f t="shared" si="15"/>
        <v>83</v>
      </c>
      <c r="AB85">
        <f t="shared" si="14"/>
        <v>0</v>
      </c>
    </row>
    <row r="86" spans="1:28" ht="28.8" x14ac:dyDescent="0.3">
      <c r="A86" s="3">
        <v>71</v>
      </c>
      <c r="B86" s="4"/>
      <c r="C86" s="6" t="s">
        <v>164</v>
      </c>
      <c r="D86" s="5"/>
      <c r="E86" s="5"/>
      <c r="F86" s="5" t="s">
        <v>67</v>
      </c>
      <c r="G86" s="5" t="s">
        <v>55</v>
      </c>
      <c r="H86" s="5" t="s">
        <v>62</v>
      </c>
      <c r="I86" s="5" t="s">
        <v>56</v>
      </c>
      <c r="J86" s="5" t="s">
        <v>57</v>
      </c>
      <c r="K86" s="5" t="s">
        <v>208</v>
      </c>
      <c r="L86" s="5" t="s">
        <v>68</v>
      </c>
      <c r="M86" s="5" t="s">
        <v>72</v>
      </c>
      <c r="N86" s="5" t="s">
        <v>66</v>
      </c>
      <c r="O86" s="5" t="s">
        <v>47</v>
      </c>
      <c r="P86" s="5" t="s">
        <v>70</v>
      </c>
      <c r="Q86" s="5" t="s">
        <v>59</v>
      </c>
      <c r="R86" s="5" t="s">
        <v>209</v>
      </c>
      <c r="S86" s="5" t="s">
        <v>48</v>
      </c>
      <c r="T86" s="1">
        <v>7</v>
      </c>
      <c r="U86" s="1">
        <v>7</v>
      </c>
      <c r="V86" s="1">
        <v>45</v>
      </c>
      <c r="AA86">
        <f t="shared" si="15"/>
        <v>84</v>
      </c>
      <c r="AB86">
        <f t="shared" si="14"/>
        <v>0</v>
      </c>
    </row>
    <row r="87" spans="1:28" x14ac:dyDescent="0.3">
      <c r="A87" s="3">
        <v>72</v>
      </c>
      <c r="B87" s="4"/>
      <c r="C87" s="6" t="s">
        <v>181</v>
      </c>
      <c r="D87" s="5"/>
      <c r="E87" s="5"/>
      <c r="F87" s="5" t="s">
        <v>69</v>
      </c>
      <c r="G87" s="5" t="s">
        <v>75</v>
      </c>
      <c r="H87" s="5" t="s">
        <v>50</v>
      </c>
      <c r="I87" s="5" t="s">
        <v>73</v>
      </c>
      <c r="J87" s="5" t="s">
        <v>57</v>
      </c>
      <c r="K87" s="5" t="s">
        <v>208</v>
      </c>
      <c r="L87" s="5" t="s">
        <v>58</v>
      </c>
      <c r="M87" s="5" t="s">
        <v>207</v>
      </c>
      <c r="N87" s="5" t="s">
        <v>65</v>
      </c>
      <c r="O87" s="5" t="s">
        <v>47</v>
      </c>
      <c r="P87" s="5" t="s">
        <v>61</v>
      </c>
      <c r="Q87" s="5" t="s">
        <v>59</v>
      </c>
      <c r="R87" s="5" t="s">
        <v>71</v>
      </c>
      <c r="S87" s="5" t="s">
        <v>74</v>
      </c>
      <c r="T87" s="1">
        <v>7</v>
      </c>
      <c r="U87" s="1">
        <v>7</v>
      </c>
      <c r="V87" s="1">
        <v>45</v>
      </c>
      <c r="AA87">
        <f t="shared" si="15"/>
        <v>85</v>
      </c>
      <c r="AB87">
        <f t="shared" si="14"/>
        <v>0</v>
      </c>
    </row>
    <row r="88" spans="1:28" ht="28.8" x14ac:dyDescent="0.3">
      <c r="A88" s="3">
        <v>73</v>
      </c>
      <c r="B88" s="4"/>
      <c r="C88" s="6" t="s">
        <v>177</v>
      </c>
      <c r="D88" s="5"/>
      <c r="E88" s="5"/>
      <c r="F88" s="5" t="s">
        <v>69</v>
      </c>
      <c r="G88" s="5" t="s">
        <v>75</v>
      </c>
      <c r="H88" s="5" t="s">
        <v>50</v>
      </c>
      <c r="I88" s="5" t="s">
        <v>73</v>
      </c>
      <c r="J88" s="5" t="s">
        <v>57</v>
      </c>
      <c r="K88" s="5" t="s">
        <v>208</v>
      </c>
      <c r="L88" s="5" t="s">
        <v>58</v>
      </c>
      <c r="M88" s="5" t="s">
        <v>72</v>
      </c>
      <c r="N88" s="5" t="s">
        <v>65</v>
      </c>
      <c r="O88" s="5" t="s">
        <v>47</v>
      </c>
      <c r="P88" s="5" t="s">
        <v>61</v>
      </c>
      <c r="Q88" s="5" t="s">
        <v>59</v>
      </c>
      <c r="R88" s="5" t="s">
        <v>71</v>
      </c>
      <c r="S88" s="5" t="s">
        <v>48</v>
      </c>
      <c r="T88" s="1">
        <v>7</v>
      </c>
      <c r="U88" s="1">
        <v>7</v>
      </c>
      <c r="V88" s="1">
        <v>45</v>
      </c>
      <c r="AA88">
        <f t="shared" si="15"/>
        <v>86</v>
      </c>
      <c r="AB88">
        <f t="shared" si="14"/>
        <v>0</v>
      </c>
    </row>
    <row r="89" spans="1:28" x14ac:dyDescent="0.3">
      <c r="A89" s="3">
        <v>74</v>
      </c>
      <c r="B89" s="4"/>
      <c r="C89" s="6" t="s">
        <v>138</v>
      </c>
      <c r="D89" s="5"/>
      <c r="E89" s="5"/>
      <c r="F89" s="5" t="s">
        <v>69</v>
      </c>
      <c r="G89" s="5" t="s">
        <v>75</v>
      </c>
      <c r="H89" s="5" t="s">
        <v>50</v>
      </c>
      <c r="I89" s="5" t="s">
        <v>56</v>
      </c>
      <c r="J89" s="5" t="s">
        <v>57</v>
      </c>
      <c r="K89" s="5" t="s">
        <v>208</v>
      </c>
      <c r="L89" s="5" t="s">
        <v>68</v>
      </c>
      <c r="M89" s="5" t="s">
        <v>72</v>
      </c>
      <c r="N89" s="5" t="s">
        <v>65</v>
      </c>
      <c r="O89" s="5" t="s">
        <v>47</v>
      </c>
      <c r="P89" s="5" t="s">
        <v>70</v>
      </c>
      <c r="Q89" s="5" t="s">
        <v>59</v>
      </c>
      <c r="R89" s="5" t="s">
        <v>71</v>
      </c>
      <c r="S89" s="5" t="s">
        <v>74</v>
      </c>
      <c r="T89" s="1">
        <v>7</v>
      </c>
      <c r="U89" s="1">
        <v>7</v>
      </c>
      <c r="V89" s="1">
        <v>44</v>
      </c>
      <c r="AA89">
        <f t="shared" si="15"/>
        <v>87</v>
      </c>
      <c r="AB89">
        <f t="shared" si="14"/>
        <v>0</v>
      </c>
    </row>
    <row r="90" spans="1:28" x14ac:dyDescent="0.3">
      <c r="A90" s="3">
        <v>75</v>
      </c>
      <c r="B90" s="4"/>
      <c r="C90" s="6" t="s">
        <v>157</v>
      </c>
      <c r="D90" s="5"/>
      <c r="E90" s="5"/>
      <c r="F90" s="5" t="s">
        <v>69</v>
      </c>
      <c r="G90" s="5" t="s">
        <v>75</v>
      </c>
      <c r="H90" s="5" t="s">
        <v>50</v>
      </c>
      <c r="I90" s="5" t="s">
        <v>56</v>
      </c>
      <c r="J90" s="5" t="s">
        <v>63</v>
      </c>
      <c r="K90" s="5" t="s">
        <v>208</v>
      </c>
      <c r="L90" s="5" t="s">
        <v>58</v>
      </c>
      <c r="M90" s="5" t="s">
        <v>207</v>
      </c>
      <c r="N90" s="5" t="s">
        <v>66</v>
      </c>
      <c r="O90" s="5" t="s">
        <v>64</v>
      </c>
      <c r="P90" s="5" t="s">
        <v>61</v>
      </c>
      <c r="Q90" s="5" t="s">
        <v>59</v>
      </c>
      <c r="R90" s="5" t="s">
        <v>71</v>
      </c>
      <c r="S90" s="5" t="s">
        <v>48</v>
      </c>
      <c r="T90" s="1">
        <v>7</v>
      </c>
      <c r="U90" s="1">
        <v>7</v>
      </c>
      <c r="V90" s="1">
        <v>43</v>
      </c>
      <c r="AA90">
        <f t="shared" si="15"/>
        <v>88</v>
      </c>
      <c r="AB90">
        <f t="shared" si="14"/>
        <v>0</v>
      </c>
    </row>
    <row r="91" spans="1:28" ht="28.8" x14ac:dyDescent="0.3">
      <c r="A91" s="3">
        <v>76</v>
      </c>
      <c r="B91" s="4"/>
      <c r="C91" s="6" t="s">
        <v>163</v>
      </c>
      <c r="D91" s="5"/>
      <c r="E91" s="5"/>
      <c r="F91" s="5" t="s">
        <v>69</v>
      </c>
      <c r="G91" s="5" t="s">
        <v>55</v>
      </c>
      <c r="H91" s="5" t="s">
        <v>62</v>
      </c>
      <c r="I91" s="5" t="s">
        <v>56</v>
      </c>
      <c r="J91" s="5" t="s">
        <v>57</v>
      </c>
      <c r="K91" s="5" t="s">
        <v>208</v>
      </c>
      <c r="L91" s="5" t="s">
        <v>68</v>
      </c>
      <c r="M91" s="5" t="s">
        <v>207</v>
      </c>
      <c r="N91" s="5" t="s">
        <v>66</v>
      </c>
      <c r="O91" s="5" t="s">
        <v>47</v>
      </c>
      <c r="P91" s="5" t="s">
        <v>70</v>
      </c>
      <c r="Q91" s="5" t="s">
        <v>59</v>
      </c>
      <c r="R91" s="5" t="s">
        <v>71</v>
      </c>
      <c r="S91" s="5" t="s">
        <v>74</v>
      </c>
      <c r="T91" s="1">
        <v>7</v>
      </c>
      <c r="U91" s="1">
        <v>7</v>
      </c>
      <c r="V91" s="1">
        <v>42</v>
      </c>
      <c r="AA91">
        <f t="shared" si="15"/>
        <v>89</v>
      </c>
      <c r="AB91">
        <f t="shared" si="14"/>
        <v>0</v>
      </c>
    </row>
    <row r="92" spans="1:28" ht="28.8" x14ac:dyDescent="0.3">
      <c r="A92" s="3">
        <v>77</v>
      </c>
      <c r="B92" s="4"/>
      <c r="C92" s="6" t="s">
        <v>28</v>
      </c>
      <c r="D92" s="5"/>
      <c r="E92" s="5"/>
      <c r="F92" s="5" t="s">
        <v>67</v>
      </c>
      <c r="G92" s="5" t="s">
        <v>75</v>
      </c>
      <c r="H92" s="5" t="s">
        <v>50</v>
      </c>
      <c r="I92" s="5" t="s">
        <v>73</v>
      </c>
      <c r="J92" s="5" t="s">
        <v>63</v>
      </c>
      <c r="K92" s="5" t="s">
        <v>208</v>
      </c>
      <c r="L92" s="5" t="s">
        <v>68</v>
      </c>
      <c r="M92" s="5" t="s">
        <v>207</v>
      </c>
      <c r="N92" s="5" t="s">
        <v>65</v>
      </c>
      <c r="O92" s="5" t="s">
        <v>64</v>
      </c>
      <c r="P92" s="5" t="s">
        <v>61</v>
      </c>
      <c r="Q92" s="5" t="s">
        <v>59</v>
      </c>
      <c r="R92" s="5" t="s">
        <v>71</v>
      </c>
      <c r="S92" s="5" t="s">
        <v>48</v>
      </c>
      <c r="T92" s="1">
        <v>7</v>
      </c>
      <c r="U92" s="1">
        <v>7</v>
      </c>
      <c r="V92" s="1">
        <v>42</v>
      </c>
      <c r="AA92">
        <f t="shared" si="15"/>
        <v>90</v>
      </c>
      <c r="AB92">
        <f t="shared" si="14"/>
        <v>0</v>
      </c>
    </row>
    <row r="93" spans="1:28" ht="28.8" x14ac:dyDescent="0.3">
      <c r="A93" s="3">
        <v>78</v>
      </c>
      <c r="B93" s="4"/>
      <c r="C93" s="6" t="s">
        <v>107</v>
      </c>
      <c r="D93" s="5"/>
      <c r="E93" s="5"/>
      <c r="F93" s="5" t="s">
        <v>69</v>
      </c>
      <c r="G93" s="5" t="s">
        <v>75</v>
      </c>
      <c r="H93" s="5" t="s">
        <v>50</v>
      </c>
      <c r="I93" s="5" t="s">
        <v>73</v>
      </c>
      <c r="J93" s="5" t="s">
        <v>63</v>
      </c>
      <c r="K93" s="5" t="s">
        <v>208</v>
      </c>
      <c r="L93" s="5" t="s">
        <v>58</v>
      </c>
      <c r="M93" s="5" t="s">
        <v>72</v>
      </c>
      <c r="N93" s="5" t="s">
        <v>65</v>
      </c>
      <c r="O93" s="5" t="s">
        <v>47</v>
      </c>
      <c r="P93" s="5" t="s">
        <v>61</v>
      </c>
      <c r="Q93" s="5" t="s">
        <v>59</v>
      </c>
      <c r="R93" s="5" t="s">
        <v>71</v>
      </c>
      <c r="S93" s="5" t="s">
        <v>48</v>
      </c>
      <c r="T93" s="1">
        <v>7</v>
      </c>
      <c r="U93" s="1">
        <v>7</v>
      </c>
      <c r="V93" s="1">
        <v>42</v>
      </c>
      <c r="AA93">
        <f t="shared" si="15"/>
        <v>91</v>
      </c>
      <c r="AB93">
        <f t="shared" si="14"/>
        <v>0</v>
      </c>
    </row>
    <row r="94" spans="1:28" ht="28.8" x14ac:dyDescent="0.3">
      <c r="A94" s="3">
        <v>79</v>
      </c>
      <c r="B94" s="4"/>
      <c r="C94" s="6" t="s">
        <v>139</v>
      </c>
      <c r="D94" s="5"/>
      <c r="E94" s="5"/>
      <c r="F94" s="5" t="s">
        <v>69</v>
      </c>
      <c r="G94" s="5" t="s">
        <v>55</v>
      </c>
      <c r="H94" s="5" t="s">
        <v>62</v>
      </c>
      <c r="I94" s="5" t="s">
        <v>56</v>
      </c>
      <c r="J94" s="5" t="s">
        <v>57</v>
      </c>
      <c r="K94" s="5" t="s">
        <v>208</v>
      </c>
      <c r="L94" s="5" t="s">
        <v>58</v>
      </c>
      <c r="M94" s="5" t="s">
        <v>72</v>
      </c>
      <c r="N94" s="5" t="s">
        <v>66</v>
      </c>
      <c r="O94" s="5" t="s">
        <v>47</v>
      </c>
      <c r="P94" s="5" t="s">
        <v>70</v>
      </c>
      <c r="Q94" s="5" t="s">
        <v>59</v>
      </c>
      <c r="R94" s="5" t="s">
        <v>209</v>
      </c>
      <c r="S94" s="5" t="s">
        <v>48</v>
      </c>
      <c r="T94" s="1">
        <v>7</v>
      </c>
      <c r="U94" s="1">
        <v>7</v>
      </c>
      <c r="V94" s="1">
        <v>41</v>
      </c>
      <c r="AA94">
        <f t="shared" si="15"/>
        <v>92</v>
      </c>
      <c r="AB94">
        <f t="shared" si="14"/>
        <v>0</v>
      </c>
    </row>
    <row r="95" spans="1:28" x14ac:dyDescent="0.3">
      <c r="A95" s="3">
        <v>80</v>
      </c>
      <c r="B95" s="4"/>
      <c r="C95" s="6" t="s">
        <v>83</v>
      </c>
      <c r="D95" s="5"/>
      <c r="E95" s="5"/>
      <c r="F95" s="5" t="s">
        <v>69</v>
      </c>
      <c r="G95" s="5" t="s">
        <v>75</v>
      </c>
      <c r="H95" s="5" t="s">
        <v>62</v>
      </c>
      <c r="I95" s="5" t="s">
        <v>73</v>
      </c>
      <c r="J95" s="5" t="s">
        <v>57</v>
      </c>
      <c r="K95" s="5" t="s">
        <v>208</v>
      </c>
      <c r="L95" s="5" t="s">
        <v>58</v>
      </c>
      <c r="M95" s="5" t="s">
        <v>207</v>
      </c>
      <c r="N95" s="5" t="s">
        <v>65</v>
      </c>
      <c r="O95" s="5" t="s">
        <v>47</v>
      </c>
      <c r="P95" s="5" t="s">
        <v>70</v>
      </c>
      <c r="Q95" s="5" t="s">
        <v>53</v>
      </c>
      <c r="R95" s="5" t="s">
        <v>71</v>
      </c>
      <c r="S95" s="5" t="s">
        <v>48</v>
      </c>
      <c r="T95" s="1">
        <v>7</v>
      </c>
      <c r="U95" s="1">
        <v>7</v>
      </c>
      <c r="V95" s="1">
        <v>41</v>
      </c>
      <c r="AA95">
        <f t="shared" si="15"/>
        <v>93</v>
      </c>
      <c r="AB95">
        <f t="shared" si="14"/>
        <v>0</v>
      </c>
    </row>
    <row r="96" spans="1:28" ht="28.8" x14ac:dyDescent="0.3">
      <c r="A96" s="3">
        <v>81</v>
      </c>
      <c r="B96" s="4"/>
      <c r="C96" s="6" t="s">
        <v>123</v>
      </c>
      <c r="D96" s="5"/>
      <c r="E96" s="5"/>
      <c r="F96" s="5" t="s">
        <v>69</v>
      </c>
      <c r="G96" s="5" t="s">
        <v>75</v>
      </c>
      <c r="H96" s="5" t="s">
        <v>50</v>
      </c>
      <c r="I96" s="5" t="s">
        <v>73</v>
      </c>
      <c r="J96" s="5" t="s">
        <v>57</v>
      </c>
      <c r="K96" s="5" t="s">
        <v>208</v>
      </c>
      <c r="L96" s="5" t="s">
        <v>68</v>
      </c>
      <c r="M96" s="5" t="s">
        <v>207</v>
      </c>
      <c r="N96" s="5" t="s">
        <v>65</v>
      </c>
      <c r="O96" s="5" t="s">
        <v>47</v>
      </c>
      <c r="P96" s="5" t="s">
        <v>61</v>
      </c>
      <c r="Q96" s="5" t="s">
        <v>59</v>
      </c>
      <c r="R96" s="5" t="s">
        <v>71</v>
      </c>
      <c r="S96" s="5" t="s">
        <v>48</v>
      </c>
      <c r="T96" s="1">
        <v>7</v>
      </c>
      <c r="U96" s="1">
        <v>7</v>
      </c>
      <c r="V96" s="1">
        <v>61</v>
      </c>
      <c r="AA96">
        <f t="shared" si="15"/>
        <v>94</v>
      </c>
      <c r="AB96">
        <f t="shared" si="14"/>
        <v>0</v>
      </c>
    </row>
    <row r="97" spans="1:28" ht="28.8" x14ac:dyDescent="0.3">
      <c r="A97" s="3">
        <v>82</v>
      </c>
      <c r="B97" s="4"/>
      <c r="C97" s="6" t="s">
        <v>153</v>
      </c>
      <c r="D97" s="5"/>
      <c r="E97" s="5"/>
      <c r="F97" s="5" t="s">
        <v>69</v>
      </c>
      <c r="G97" s="5" t="s">
        <v>55</v>
      </c>
      <c r="H97" s="5" t="s">
        <v>62</v>
      </c>
      <c r="I97" s="5" t="s">
        <v>56</v>
      </c>
      <c r="J97" s="5" t="s">
        <v>63</v>
      </c>
      <c r="K97" s="5" t="s">
        <v>51</v>
      </c>
      <c r="L97" s="5" t="s">
        <v>68</v>
      </c>
      <c r="M97" s="5" t="s">
        <v>72</v>
      </c>
      <c r="N97" s="5" t="s">
        <v>66</v>
      </c>
      <c r="O97" s="5" t="s">
        <v>47</v>
      </c>
      <c r="P97" s="5" t="s">
        <v>70</v>
      </c>
      <c r="Q97" s="5" t="s">
        <v>59</v>
      </c>
      <c r="R97" s="5" t="s">
        <v>71</v>
      </c>
      <c r="S97" s="5" t="s">
        <v>74</v>
      </c>
      <c r="T97" s="1">
        <v>7</v>
      </c>
      <c r="U97" s="1">
        <v>7</v>
      </c>
      <c r="V97" s="1">
        <v>41</v>
      </c>
      <c r="AA97">
        <f t="shared" si="15"/>
        <v>95</v>
      </c>
      <c r="AB97">
        <f t="shared" si="14"/>
        <v>0</v>
      </c>
    </row>
    <row r="98" spans="1:28" x14ac:dyDescent="0.3">
      <c r="A98" s="3">
        <v>83</v>
      </c>
      <c r="B98" s="4"/>
      <c r="C98" s="6" t="s">
        <v>19</v>
      </c>
      <c r="D98" s="5"/>
      <c r="E98" s="5"/>
      <c r="F98" s="5" t="s">
        <v>69</v>
      </c>
      <c r="G98" s="5" t="s">
        <v>75</v>
      </c>
      <c r="H98" s="5" t="s">
        <v>62</v>
      </c>
      <c r="I98" s="5" t="s">
        <v>73</v>
      </c>
      <c r="J98" s="5" t="s">
        <v>63</v>
      </c>
      <c r="K98" s="5" t="s">
        <v>51</v>
      </c>
      <c r="L98" s="5" t="s">
        <v>58</v>
      </c>
      <c r="M98" s="5" t="s">
        <v>72</v>
      </c>
      <c r="N98" s="5" t="s">
        <v>65</v>
      </c>
      <c r="O98" s="5" t="s">
        <v>47</v>
      </c>
      <c r="P98" s="5" t="s">
        <v>70</v>
      </c>
      <c r="Q98" s="5" t="s">
        <v>59</v>
      </c>
      <c r="R98" s="5" t="s">
        <v>71</v>
      </c>
      <c r="S98" s="5" t="s">
        <v>74</v>
      </c>
      <c r="T98" s="1">
        <v>7</v>
      </c>
      <c r="U98" s="1">
        <v>7</v>
      </c>
      <c r="V98" s="1">
        <v>38</v>
      </c>
      <c r="AA98">
        <f t="shared" si="15"/>
        <v>96</v>
      </c>
      <c r="AB98">
        <f t="shared" si="14"/>
        <v>0</v>
      </c>
    </row>
    <row r="99" spans="1:28" ht="28.8" x14ac:dyDescent="0.3">
      <c r="A99" s="3">
        <v>84</v>
      </c>
      <c r="B99" s="4"/>
      <c r="C99" s="6" t="s">
        <v>133</v>
      </c>
      <c r="D99" s="5"/>
      <c r="E99" s="5"/>
      <c r="F99" s="5" t="s">
        <v>67</v>
      </c>
      <c r="G99" s="5" t="s">
        <v>75</v>
      </c>
      <c r="H99" s="5" t="s">
        <v>62</v>
      </c>
      <c r="I99" s="5" t="s">
        <v>73</v>
      </c>
      <c r="J99" s="5" t="s">
        <v>57</v>
      </c>
      <c r="K99" s="5" t="s">
        <v>51</v>
      </c>
      <c r="L99" s="5" t="s">
        <v>68</v>
      </c>
      <c r="M99" s="5" t="s">
        <v>207</v>
      </c>
      <c r="N99" s="5" t="s">
        <v>65</v>
      </c>
      <c r="O99" s="5" t="s">
        <v>47</v>
      </c>
      <c r="P99" s="5" t="s">
        <v>61</v>
      </c>
      <c r="Q99" s="5" t="s">
        <v>59</v>
      </c>
      <c r="R99" s="5" t="s">
        <v>71</v>
      </c>
      <c r="S99" s="5" t="s">
        <v>74</v>
      </c>
      <c r="T99" s="1">
        <v>7</v>
      </c>
      <c r="U99" s="1">
        <v>7</v>
      </c>
      <c r="V99" s="1">
        <v>38</v>
      </c>
      <c r="AA99">
        <f t="shared" si="15"/>
        <v>97</v>
      </c>
      <c r="AB99">
        <f t="shared" si="14"/>
        <v>0</v>
      </c>
    </row>
    <row r="100" spans="1:28" ht="28.8" x14ac:dyDescent="0.3">
      <c r="A100" s="3">
        <v>85</v>
      </c>
      <c r="B100" s="4"/>
      <c r="C100" s="6" t="s">
        <v>140</v>
      </c>
      <c r="D100" s="5"/>
      <c r="E100" s="5"/>
      <c r="F100" s="5" t="s">
        <v>69</v>
      </c>
      <c r="G100" s="5" t="s">
        <v>55</v>
      </c>
      <c r="H100" s="5" t="s">
        <v>62</v>
      </c>
      <c r="I100" s="5" t="s">
        <v>56</v>
      </c>
      <c r="J100" s="5" t="s">
        <v>63</v>
      </c>
      <c r="K100" s="5" t="s">
        <v>51</v>
      </c>
      <c r="L100" s="5" t="s">
        <v>68</v>
      </c>
      <c r="M100" s="5" t="s">
        <v>207</v>
      </c>
      <c r="N100" s="5" t="s">
        <v>66</v>
      </c>
      <c r="O100" s="5" t="s">
        <v>64</v>
      </c>
      <c r="P100" s="5" t="s">
        <v>70</v>
      </c>
      <c r="Q100" s="5" t="s">
        <v>59</v>
      </c>
      <c r="R100" s="5" t="s">
        <v>71</v>
      </c>
      <c r="S100" s="5" t="s">
        <v>74</v>
      </c>
      <c r="T100" s="1">
        <v>7</v>
      </c>
      <c r="U100" s="1">
        <v>7</v>
      </c>
      <c r="V100" s="1">
        <v>38</v>
      </c>
      <c r="AA100">
        <f t="shared" si="15"/>
        <v>98</v>
      </c>
      <c r="AB100">
        <f t="shared" si="14"/>
        <v>0</v>
      </c>
    </row>
    <row r="101" spans="1:28" ht="28.8" x14ac:dyDescent="0.3">
      <c r="A101" s="3">
        <v>86</v>
      </c>
      <c r="B101" s="4"/>
      <c r="C101" s="6" t="s">
        <v>125</v>
      </c>
      <c r="D101" s="5"/>
      <c r="E101" s="5"/>
      <c r="F101" s="5" t="s">
        <v>69</v>
      </c>
      <c r="G101" s="5" t="s">
        <v>55</v>
      </c>
      <c r="H101" s="5" t="s">
        <v>62</v>
      </c>
      <c r="I101" s="5" t="s">
        <v>56</v>
      </c>
      <c r="J101" s="5" t="s">
        <v>57</v>
      </c>
      <c r="K101" s="5" t="s">
        <v>208</v>
      </c>
      <c r="L101" s="5" t="s">
        <v>58</v>
      </c>
      <c r="M101" s="5" t="s">
        <v>72</v>
      </c>
      <c r="N101" s="5" t="s">
        <v>65</v>
      </c>
      <c r="O101" s="5" t="s">
        <v>64</v>
      </c>
      <c r="P101" s="5" t="s">
        <v>70</v>
      </c>
      <c r="Q101" s="5" t="s">
        <v>59</v>
      </c>
      <c r="R101" s="5" t="s">
        <v>71</v>
      </c>
      <c r="S101" s="5" t="s">
        <v>74</v>
      </c>
      <c r="T101" s="1">
        <v>7</v>
      </c>
      <c r="U101" s="1">
        <v>7</v>
      </c>
      <c r="V101" s="1">
        <v>31</v>
      </c>
      <c r="AA101">
        <f t="shared" si="15"/>
        <v>99</v>
      </c>
      <c r="AB101">
        <f t="shared" si="14"/>
        <v>0</v>
      </c>
    </row>
    <row r="102" spans="1:28" ht="28.8" x14ac:dyDescent="0.3">
      <c r="A102" s="3">
        <v>87</v>
      </c>
      <c r="B102" s="4"/>
      <c r="C102" s="6" t="s">
        <v>34</v>
      </c>
      <c r="D102" s="5"/>
      <c r="E102" s="5"/>
      <c r="F102" s="5" t="s">
        <v>69</v>
      </c>
      <c r="G102" s="5" t="s">
        <v>75</v>
      </c>
      <c r="H102" s="5" t="s">
        <v>50</v>
      </c>
      <c r="I102" s="5" t="s">
        <v>73</v>
      </c>
      <c r="J102" s="5" t="s">
        <v>57</v>
      </c>
      <c r="K102" s="5" t="s">
        <v>208</v>
      </c>
      <c r="L102" s="5" t="s">
        <v>58</v>
      </c>
      <c r="M102" s="5" t="s">
        <v>207</v>
      </c>
      <c r="N102" s="5" t="s">
        <v>65</v>
      </c>
      <c r="O102" s="5" t="s">
        <v>47</v>
      </c>
      <c r="P102" s="5" t="s">
        <v>70</v>
      </c>
      <c r="Q102" s="5" t="s">
        <v>53</v>
      </c>
      <c r="R102" s="5" t="s">
        <v>71</v>
      </c>
      <c r="S102" s="5" t="s">
        <v>74</v>
      </c>
      <c r="T102" s="1">
        <v>7</v>
      </c>
      <c r="U102" s="1">
        <v>7</v>
      </c>
      <c r="V102" s="1">
        <v>30</v>
      </c>
      <c r="AA102">
        <f t="shared" si="15"/>
        <v>100</v>
      </c>
      <c r="AB102">
        <f t="shared" si="14"/>
        <v>0</v>
      </c>
    </row>
    <row r="103" spans="1:28" x14ac:dyDescent="0.3">
      <c r="A103" s="3">
        <v>88</v>
      </c>
      <c r="B103" s="4"/>
      <c r="C103" s="6" t="s">
        <v>39</v>
      </c>
      <c r="D103" s="5"/>
      <c r="E103" s="5"/>
      <c r="F103" s="5" t="s">
        <v>69</v>
      </c>
      <c r="G103" s="5" t="s">
        <v>75</v>
      </c>
      <c r="H103" s="5" t="s">
        <v>62</v>
      </c>
      <c r="I103" s="5" t="s">
        <v>56</v>
      </c>
      <c r="J103" s="5" t="s">
        <v>63</v>
      </c>
      <c r="K103" s="5" t="s">
        <v>208</v>
      </c>
      <c r="L103" s="5" t="s">
        <v>58</v>
      </c>
      <c r="M103" s="5" t="s">
        <v>207</v>
      </c>
      <c r="N103" s="5" t="s">
        <v>65</v>
      </c>
      <c r="O103" s="5" t="s">
        <v>64</v>
      </c>
      <c r="P103" s="5" t="s">
        <v>61</v>
      </c>
      <c r="Q103" s="5" t="s">
        <v>59</v>
      </c>
      <c r="R103" s="5" t="s">
        <v>71</v>
      </c>
      <c r="S103" s="5" t="s">
        <v>48</v>
      </c>
      <c r="T103" s="1">
        <v>7</v>
      </c>
      <c r="U103" s="1">
        <v>7</v>
      </c>
      <c r="V103" s="1">
        <v>22</v>
      </c>
      <c r="AA103">
        <f t="shared" si="15"/>
        <v>101</v>
      </c>
      <c r="AB103">
        <f t="shared" si="14"/>
        <v>0</v>
      </c>
    </row>
    <row r="104" spans="1:28" x14ac:dyDescent="0.3">
      <c r="A104" s="3">
        <v>89</v>
      </c>
      <c r="B104" s="4"/>
      <c r="C104" s="6" t="s">
        <v>26</v>
      </c>
      <c r="D104" s="5"/>
      <c r="E104" s="5"/>
      <c r="F104" s="5" t="s">
        <v>69</v>
      </c>
      <c r="G104" s="5" t="s">
        <v>75</v>
      </c>
      <c r="H104" s="5" t="s">
        <v>50</v>
      </c>
      <c r="I104" s="5" t="s">
        <v>73</v>
      </c>
      <c r="J104" s="5" t="s">
        <v>63</v>
      </c>
      <c r="K104" s="5" t="s">
        <v>208</v>
      </c>
      <c r="L104" s="5" t="s">
        <v>58</v>
      </c>
      <c r="M104" s="5" t="s">
        <v>72</v>
      </c>
      <c r="N104" s="5" t="s">
        <v>65</v>
      </c>
      <c r="O104" s="5" t="s">
        <v>47</v>
      </c>
      <c r="P104" s="5" t="s">
        <v>61</v>
      </c>
      <c r="Q104" s="5" t="s">
        <v>59</v>
      </c>
      <c r="R104" s="5" t="s">
        <v>71</v>
      </c>
      <c r="S104" s="5" t="s">
        <v>48</v>
      </c>
      <c r="T104" s="1">
        <v>7</v>
      </c>
      <c r="U104" s="1">
        <v>7</v>
      </c>
      <c r="V104" s="1">
        <v>10</v>
      </c>
      <c r="AA104">
        <f t="shared" si="15"/>
        <v>102</v>
      </c>
      <c r="AB104">
        <f t="shared" si="14"/>
        <v>0</v>
      </c>
    </row>
    <row r="105" spans="1:28" x14ac:dyDescent="0.3">
      <c r="A105" s="3">
        <v>90</v>
      </c>
      <c r="B105" s="4"/>
      <c r="C105" s="6" t="s">
        <v>118</v>
      </c>
      <c r="D105" s="5"/>
      <c r="E105" s="5"/>
      <c r="F105" s="5" t="s">
        <v>69</v>
      </c>
      <c r="G105" s="5" t="s">
        <v>75</v>
      </c>
      <c r="H105" s="5" t="s">
        <v>50</v>
      </c>
      <c r="I105" s="5" t="s">
        <v>73</v>
      </c>
      <c r="J105" s="5" t="s">
        <v>57</v>
      </c>
      <c r="K105" s="5" t="s">
        <v>208</v>
      </c>
      <c r="L105" s="5" t="s">
        <v>68</v>
      </c>
      <c r="M105" s="5" t="s">
        <v>72</v>
      </c>
      <c r="N105" s="5" t="s">
        <v>65</v>
      </c>
      <c r="O105" s="5" t="s">
        <v>64</v>
      </c>
      <c r="P105" s="5" t="s">
        <v>70</v>
      </c>
      <c r="Q105" s="5" t="s">
        <v>59</v>
      </c>
      <c r="R105" s="5" t="s">
        <v>71</v>
      </c>
      <c r="S105" s="5" t="s">
        <v>48</v>
      </c>
      <c r="T105" s="1">
        <v>6</v>
      </c>
      <c r="U105" s="1">
        <v>6</v>
      </c>
      <c r="V105" s="1">
        <v>52</v>
      </c>
      <c r="AA105">
        <f t="shared" si="15"/>
        <v>103</v>
      </c>
      <c r="AB105">
        <f t="shared" si="14"/>
        <v>0</v>
      </c>
    </row>
    <row r="106" spans="1:28" ht="28.8" x14ac:dyDescent="0.3">
      <c r="A106" s="3">
        <v>91</v>
      </c>
      <c r="B106" s="4"/>
      <c r="C106" s="6" t="s">
        <v>200</v>
      </c>
      <c r="D106" s="5"/>
      <c r="E106" s="5"/>
      <c r="F106" s="5" t="s">
        <v>67</v>
      </c>
      <c r="G106" s="5" t="s">
        <v>75</v>
      </c>
      <c r="H106" s="5" t="s">
        <v>62</v>
      </c>
      <c r="I106" s="5" t="s">
        <v>73</v>
      </c>
      <c r="J106" s="5" t="s">
        <v>57</v>
      </c>
      <c r="K106" s="5" t="s">
        <v>208</v>
      </c>
      <c r="L106" s="5" t="s">
        <v>68</v>
      </c>
      <c r="M106" s="5" t="s">
        <v>207</v>
      </c>
      <c r="N106" s="5" t="s">
        <v>66</v>
      </c>
      <c r="O106" s="5" t="s">
        <v>64</v>
      </c>
      <c r="P106" s="5" t="s">
        <v>70</v>
      </c>
      <c r="Q106" s="5" t="s">
        <v>59</v>
      </c>
      <c r="R106" s="5" t="s">
        <v>71</v>
      </c>
      <c r="S106" s="5" t="s">
        <v>48</v>
      </c>
      <c r="T106" s="1">
        <v>6</v>
      </c>
      <c r="U106" s="1">
        <v>6</v>
      </c>
      <c r="V106" s="1">
        <v>52</v>
      </c>
      <c r="AA106">
        <f t="shared" si="15"/>
        <v>104</v>
      </c>
      <c r="AB106">
        <f t="shared" si="14"/>
        <v>0</v>
      </c>
    </row>
    <row r="107" spans="1:28" x14ac:dyDescent="0.3">
      <c r="A107" s="3">
        <v>92</v>
      </c>
      <c r="B107" s="4"/>
      <c r="C107" s="6" t="s">
        <v>144</v>
      </c>
      <c r="D107" s="5"/>
      <c r="E107" s="5"/>
      <c r="F107" s="5" t="s">
        <v>69</v>
      </c>
      <c r="G107" s="5" t="s">
        <v>55</v>
      </c>
      <c r="H107" s="5" t="s">
        <v>50</v>
      </c>
      <c r="I107" s="5" t="s">
        <v>56</v>
      </c>
      <c r="J107" s="5" t="s">
        <v>57</v>
      </c>
      <c r="K107" s="5" t="s">
        <v>208</v>
      </c>
      <c r="L107" s="5" t="s">
        <v>58</v>
      </c>
      <c r="M107" s="5" t="s">
        <v>72</v>
      </c>
      <c r="N107" s="5" t="s">
        <v>65</v>
      </c>
      <c r="O107" s="5" t="s">
        <v>64</v>
      </c>
      <c r="P107" s="5" t="s">
        <v>70</v>
      </c>
      <c r="Q107" s="5" t="s">
        <v>53</v>
      </c>
      <c r="R107" s="5" t="s">
        <v>209</v>
      </c>
      <c r="S107" s="5" t="s">
        <v>74</v>
      </c>
      <c r="T107" s="1">
        <v>6</v>
      </c>
      <c r="U107" s="1">
        <v>6</v>
      </c>
      <c r="V107" s="1">
        <v>48</v>
      </c>
      <c r="AA107">
        <f t="shared" si="15"/>
        <v>105</v>
      </c>
      <c r="AB107">
        <f t="shared" si="14"/>
        <v>0</v>
      </c>
    </row>
    <row r="108" spans="1:28" ht="28.8" x14ac:dyDescent="0.3">
      <c r="A108" s="3">
        <v>93</v>
      </c>
      <c r="B108" s="4"/>
      <c r="C108" s="6" t="s">
        <v>158</v>
      </c>
      <c r="D108" s="5"/>
      <c r="E108" s="5"/>
      <c r="F108" s="5" t="s">
        <v>69</v>
      </c>
      <c r="G108" s="5" t="s">
        <v>75</v>
      </c>
      <c r="H108" s="5" t="s">
        <v>62</v>
      </c>
      <c r="I108" s="5" t="s">
        <v>73</v>
      </c>
      <c r="J108" s="5" t="s">
        <v>57</v>
      </c>
      <c r="K108" s="5" t="s">
        <v>208</v>
      </c>
      <c r="L108" s="5" t="s">
        <v>58</v>
      </c>
      <c r="M108" s="5" t="s">
        <v>207</v>
      </c>
      <c r="N108" s="5" t="s">
        <v>65</v>
      </c>
      <c r="O108" s="5" t="s">
        <v>64</v>
      </c>
      <c r="P108" s="5" t="s">
        <v>70</v>
      </c>
      <c r="Q108" s="5" t="s">
        <v>59</v>
      </c>
      <c r="R108" s="5" t="s">
        <v>71</v>
      </c>
      <c r="S108" s="5" t="s">
        <v>74</v>
      </c>
      <c r="T108" s="1">
        <v>6</v>
      </c>
      <c r="U108" s="1">
        <v>6</v>
      </c>
      <c r="V108" s="1">
        <v>48</v>
      </c>
      <c r="AA108">
        <f t="shared" si="15"/>
        <v>106</v>
      </c>
      <c r="AB108">
        <f t="shared" si="14"/>
        <v>0</v>
      </c>
    </row>
    <row r="109" spans="1:28" x14ac:dyDescent="0.3">
      <c r="A109" s="3">
        <v>94</v>
      </c>
      <c r="B109" s="4"/>
      <c r="C109" s="6" t="s">
        <v>106</v>
      </c>
      <c r="D109" s="5"/>
      <c r="E109" s="5"/>
      <c r="F109" s="5" t="s">
        <v>67</v>
      </c>
      <c r="G109" s="5" t="s">
        <v>75</v>
      </c>
      <c r="H109" s="5" t="s">
        <v>62</v>
      </c>
      <c r="I109" s="5" t="s">
        <v>73</v>
      </c>
      <c r="J109" s="5" t="s">
        <v>63</v>
      </c>
      <c r="K109" s="5" t="s">
        <v>51</v>
      </c>
      <c r="L109" s="5" t="s">
        <v>58</v>
      </c>
      <c r="M109" s="5" t="s">
        <v>207</v>
      </c>
      <c r="N109" s="5" t="s">
        <v>66</v>
      </c>
      <c r="O109" s="5" t="s">
        <v>64</v>
      </c>
      <c r="P109" s="5" t="s">
        <v>70</v>
      </c>
      <c r="Q109" s="5" t="s">
        <v>53</v>
      </c>
      <c r="R109" s="5" t="s">
        <v>209</v>
      </c>
      <c r="S109" s="5" t="s">
        <v>48</v>
      </c>
      <c r="T109" s="1">
        <v>6</v>
      </c>
      <c r="U109" s="1">
        <v>6</v>
      </c>
      <c r="V109" s="1">
        <v>48</v>
      </c>
      <c r="AA109">
        <f t="shared" si="15"/>
        <v>107</v>
      </c>
      <c r="AB109">
        <f t="shared" si="14"/>
        <v>0</v>
      </c>
    </row>
    <row r="110" spans="1:28" ht="28.8" x14ac:dyDescent="0.3">
      <c r="A110" s="3">
        <v>95</v>
      </c>
      <c r="B110" s="4"/>
      <c r="C110" s="6" t="s">
        <v>92</v>
      </c>
      <c r="D110" s="5"/>
      <c r="E110" s="5"/>
      <c r="F110" s="5" t="s">
        <v>69</v>
      </c>
      <c r="G110" s="5" t="s">
        <v>75</v>
      </c>
      <c r="H110" s="5" t="s">
        <v>50</v>
      </c>
      <c r="I110" s="5" t="s">
        <v>73</v>
      </c>
      <c r="J110" s="5" t="s">
        <v>57</v>
      </c>
      <c r="K110" s="5" t="s">
        <v>208</v>
      </c>
      <c r="L110" s="5" t="s">
        <v>68</v>
      </c>
      <c r="M110" s="5" t="s">
        <v>72</v>
      </c>
      <c r="N110" s="5" t="s">
        <v>65</v>
      </c>
      <c r="O110" s="5" t="s">
        <v>47</v>
      </c>
      <c r="P110" s="5" t="s">
        <v>61</v>
      </c>
      <c r="Q110" s="5" t="s">
        <v>59</v>
      </c>
      <c r="R110" s="5" t="s">
        <v>71</v>
      </c>
      <c r="S110" s="5" t="s">
        <v>48</v>
      </c>
      <c r="T110" s="1">
        <v>6</v>
      </c>
      <c r="U110" s="1">
        <v>6</v>
      </c>
      <c r="V110" s="1">
        <v>55</v>
      </c>
      <c r="AA110">
        <f t="shared" si="15"/>
        <v>108</v>
      </c>
      <c r="AB110">
        <f t="shared" si="14"/>
        <v>0</v>
      </c>
    </row>
    <row r="111" spans="1:28" ht="28.8" x14ac:dyDescent="0.3">
      <c r="A111" s="3">
        <v>96</v>
      </c>
      <c r="B111" s="4"/>
      <c r="C111" s="6" t="s">
        <v>159</v>
      </c>
      <c r="D111" s="5"/>
      <c r="E111" s="5"/>
      <c r="F111" s="5" t="s">
        <v>69</v>
      </c>
      <c r="G111" s="5" t="s">
        <v>75</v>
      </c>
      <c r="H111" s="5" t="s">
        <v>50</v>
      </c>
      <c r="I111" s="5" t="s">
        <v>73</v>
      </c>
      <c r="J111" s="5" t="s">
        <v>57</v>
      </c>
      <c r="K111" s="5" t="s">
        <v>208</v>
      </c>
      <c r="L111" s="5" t="s">
        <v>68</v>
      </c>
      <c r="M111" s="5" t="s">
        <v>207</v>
      </c>
      <c r="N111" s="5" t="s">
        <v>66</v>
      </c>
      <c r="O111" s="5" t="s">
        <v>47</v>
      </c>
      <c r="P111" s="5" t="s">
        <v>70</v>
      </c>
      <c r="Q111" s="5" t="s">
        <v>53</v>
      </c>
      <c r="R111" s="5" t="s">
        <v>71</v>
      </c>
      <c r="S111" s="5" t="s">
        <v>48</v>
      </c>
      <c r="T111" s="1">
        <v>6</v>
      </c>
      <c r="U111" s="1">
        <v>6</v>
      </c>
      <c r="V111" s="1">
        <v>47</v>
      </c>
      <c r="AA111">
        <f t="shared" si="15"/>
        <v>109</v>
      </c>
      <c r="AB111">
        <f t="shared" si="14"/>
        <v>0</v>
      </c>
    </row>
    <row r="112" spans="1:28" x14ac:dyDescent="0.3">
      <c r="A112" s="3">
        <v>97</v>
      </c>
      <c r="B112" s="4"/>
      <c r="C112" s="6" t="s">
        <v>161</v>
      </c>
      <c r="D112" s="5"/>
      <c r="E112" s="5"/>
      <c r="F112" s="5" t="s">
        <v>69</v>
      </c>
      <c r="G112" s="5" t="s">
        <v>75</v>
      </c>
      <c r="H112" s="5" t="s">
        <v>62</v>
      </c>
      <c r="I112" s="5" t="s">
        <v>73</v>
      </c>
      <c r="J112" s="5" t="s">
        <v>57</v>
      </c>
      <c r="K112" s="5" t="s">
        <v>208</v>
      </c>
      <c r="L112" s="5" t="s">
        <v>58</v>
      </c>
      <c r="M112" s="5" t="s">
        <v>207</v>
      </c>
      <c r="N112" s="5" t="s">
        <v>66</v>
      </c>
      <c r="O112" s="5" t="s">
        <v>64</v>
      </c>
      <c r="P112" s="5" t="s">
        <v>70</v>
      </c>
      <c r="Q112" s="5" t="s">
        <v>59</v>
      </c>
      <c r="R112" s="5" t="s">
        <v>71</v>
      </c>
      <c r="S112" s="5" t="s">
        <v>48</v>
      </c>
      <c r="T112" s="1">
        <v>6</v>
      </c>
      <c r="U112" s="1">
        <v>6</v>
      </c>
      <c r="V112" s="1">
        <v>46</v>
      </c>
      <c r="AA112">
        <f t="shared" si="15"/>
        <v>110</v>
      </c>
      <c r="AB112">
        <f t="shared" si="14"/>
        <v>0</v>
      </c>
    </row>
    <row r="113" spans="1:28" x14ac:dyDescent="0.3">
      <c r="A113" s="3">
        <v>98</v>
      </c>
      <c r="B113" s="4"/>
      <c r="C113" s="6" t="s">
        <v>141</v>
      </c>
      <c r="D113" s="5"/>
      <c r="E113" s="5"/>
      <c r="F113" s="5" t="s">
        <v>69</v>
      </c>
      <c r="G113" s="5" t="s">
        <v>55</v>
      </c>
      <c r="H113" s="5" t="s">
        <v>62</v>
      </c>
      <c r="I113" s="5" t="s">
        <v>56</v>
      </c>
      <c r="J113" s="5" t="s">
        <v>57</v>
      </c>
      <c r="K113" s="5" t="s">
        <v>208</v>
      </c>
      <c r="L113" s="5" t="s">
        <v>68</v>
      </c>
      <c r="M113" s="5" t="s">
        <v>207</v>
      </c>
      <c r="N113" s="5" t="s">
        <v>65</v>
      </c>
      <c r="O113" s="5" t="s">
        <v>47</v>
      </c>
      <c r="P113" s="5" t="s">
        <v>61</v>
      </c>
      <c r="Q113" s="5" t="s">
        <v>53</v>
      </c>
      <c r="R113" s="5" t="s">
        <v>71</v>
      </c>
      <c r="S113" s="5" t="s">
        <v>74</v>
      </c>
      <c r="T113" s="1">
        <v>6</v>
      </c>
      <c r="U113" s="1">
        <v>6</v>
      </c>
      <c r="V113" s="1">
        <v>46</v>
      </c>
      <c r="AA113">
        <f t="shared" si="15"/>
        <v>111</v>
      </c>
      <c r="AB113">
        <f t="shared" si="14"/>
        <v>0</v>
      </c>
    </row>
    <row r="114" spans="1:28" ht="28.8" x14ac:dyDescent="0.3">
      <c r="A114" s="3">
        <v>99</v>
      </c>
      <c r="B114" s="4"/>
      <c r="C114" s="6" t="s">
        <v>80</v>
      </c>
      <c r="D114" s="5"/>
      <c r="E114" s="5"/>
      <c r="F114" s="5" t="s">
        <v>69</v>
      </c>
      <c r="G114" s="5" t="s">
        <v>55</v>
      </c>
      <c r="H114" s="5" t="s">
        <v>62</v>
      </c>
      <c r="I114" s="5" t="s">
        <v>56</v>
      </c>
      <c r="J114" s="5" t="s">
        <v>57</v>
      </c>
      <c r="K114" s="5" t="s">
        <v>208</v>
      </c>
      <c r="L114" s="5" t="s">
        <v>68</v>
      </c>
      <c r="M114" s="5" t="s">
        <v>207</v>
      </c>
      <c r="N114" s="5" t="s">
        <v>66</v>
      </c>
      <c r="O114" s="5" t="s">
        <v>64</v>
      </c>
      <c r="P114" s="5" t="s">
        <v>70</v>
      </c>
      <c r="Q114" s="5" t="s">
        <v>59</v>
      </c>
      <c r="R114" s="5" t="s">
        <v>71</v>
      </c>
      <c r="S114" s="5" t="s">
        <v>74</v>
      </c>
      <c r="T114" s="1">
        <v>6</v>
      </c>
      <c r="U114" s="1">
        <v>6</v>
      </c>
      <c r="V114" s="1">
        <v>45</v>
      </c>
      <c r="AA114">
        <f t="shared" si="15"/>
        <v>112</v>
      </c>
      <c r="AB114">
        <f t="shared" si="14"/>
        <v>0</v>
      </c>
    </row>
    <row r="115" spans="1:28" x14ac:dyDescent="0.3">
      <c r="A115" s="3">
        <v>100</v>
      </c>
      <c r="B115" s="4"/>
      <c r="C115" s="6" t="s">
        <v>86</v>
      </c>
      <c r="D115" s="5"/>
      <c r="E115" s="5"/>
      <c r="F115" s="5" t="s">
        <v>69</v>
      </c>
      <c r="G115" s="5" t="s">
        <v>75</v>
      </c>
      <c r="H115" s="5" t="s">
        <v>62</v>
      </c>
      <c r="I115" s="5" t="s">
        <v>73</v>
      </c>
      <c r="J115" s="5" t="s">
        <v>57</v>
      </c>
      <c r="K115" s="5" t="s">
        <v>208</v>
      </c>
      <c r="L115" s="5" t="s">
        <v>68</v>
      </c>
      <c r="M115" s="5" t="s">
        <v>72</v>
      </c>
      <c r="N115" s="5" t="s">
        <v>65</v>
      </c>
      <c r="O115" s="5" t="s">
        <v>47</v>
      </c>
      <c r="P115" s="5" t="s">
        <v>70</v>
      </c>
      <c r="Q115" s="5" t="s">
        <v>59</v>
      </c>
      <c r="R115" s="5" t="s">
        <v>71</v>
      </c>
      <c r="S115" s="5" t="s">
        <v>48</v>
      </c>
      <c r="T115" s="1">
        <v>6</v>
      </c>
      <c r="U115" s="1">
        <v>6</v>
      </c>
      <c r="V115" s="1">
        <v>45</v>
      </c>
      <c r="AA115">
        <f t="shared" si="15"/>
        <v>113</v>
      </c>
      <c r="AB115">
        <f t="shared" si="14"/>
        <v>0</v>
      </c>
    </row>
    <row r="116" spans="1:28" x14ac:dyDescent="0.3">
      <c r="A116" s="3">
        <v>101</v>
      </c>
      <c r="B116" s="4"/>
      <c r="C116" s="6" t="s">
        <v>142</v>
      </c>
      <c r="D116" s="5"/>
      <c r="E116" s="5"/>
      <c r="F116" s="5" t="s">
        <v>69</v>
      </c>
      <c r="G116" s="5" t="s">
        <v>55</v>
      </c>
      <c r="H116" s="5" t="s">
        <v>62</v>
      </c>
      <c r="I116" s="5" t="s">
        <v>56</v>
      </c>
      <c r="J116" s="5" t="s">
        <v>57</v>
      </c>
      <c r="K116" s="5" t="s">
        <v>51</v>
      </c>
      <c r="L116" s="5" t="s">
        <v>68</v>
      </c>
      <c r="M116" s="5" t="s">
        <v>207</v>
      </c>
      <c r="N116" s="5" t="s">
        <v>66</v>
      </c>
      <c r="O116" s="5" t="s">
        <v>47</v>
      </c>
      <c r="P116" s="5" t="s">
        <v>61</v>
      </c>
      <c r="Q116" s="5" t="s">
        <v>53</v>
      </c>
      <c r="R116" s="5" t="s">
        <v>71</v>
      </c>
      <c r="S116" s="5" t="s">
        <v>74</v>
      </c>
      <c r="T116" s="1">
        <v>6</v>
      </c>
      <c r="U116" s="1">
        <v>6</v>
      </c>
      <c r="V116" s="1">
        <v>45</v>
      </c>
      <c r="AA116">
        <f t="shared" si="15"/>
        <v>114</v>
      </c>
      <c r="AB116">
        <f t="shared" si="14"/>
        <v>0</v>
      </c>
    </row>
    <row r="117" spans="1:28" ht="28.8" x14ac:dyDescent="0.3">
      <c r="A117" s="3">
        <v>102</v>
      </c>
      <c r="B117" s="4"/>
      <c r="C117" s="6" t="s">
        <v>90</v>
      </c>
      <c r="D117" s="5"/>
      <c r="E117" s="5"/>
      <c r="F117" s="5" t="s">
        <v>67</v>
      </c>
      <c r="G117" s="5" t="s">
        <v>55</v>
      </c>
      <c r="H117" s="5" t="s">
        <v>62</v>
      </c>
      <c r="I117" s="5" t="s">
        <v>73</v>
      </c>
      <c r="J117" s="5" t="s">
        <v>63</v>
      </c>
      <c r="K117" s="5" t="s">
        <v>208</v>
      </c>
      <c r="L117" s="5" t="s">
        <v>68</v>
      </c>
      <c r="M117" s="5" t="s">
        <v>72</v>
      </c>
      <c r="N117" s="5" t="s">
        <v>65</v>
      </c>
      <c r="O117" s="5" t="s">
        <v>47</v>
      </c>
      <c r="P117" s="5" t="s">
        <v>61</v>
      </c>
      <c r="Q117" s="5" t="s">
        <v>59</v>
      </c>
      <c r="R117" s="5" t="s">
        <v>209</v>
      </c>
      <c r="S117" s="5" t="s">
        <v>48</v>
      </c>
      <c r="T117" s="1">
        <v>6</v>
      </c>
      <c r="U117" s="1">
        <v>6</v>
      </c>
      <c r="V117" s="1">
        <v>45</v>
      </c>
      <c r="AA117">
        <f t="shared" si="15"/>
        <v>115</v>
      </c>
      <c r="AB117">
        <f t="shared" si="14"/>
        <v>0</v>
      </c>
    </row>
    <row r="118" spans="1:28" ht="28.8" x14ac:dyDescent="0.3">
      <c r="A118" s="3">
        <v>103</v>
      </c>
      <c r="B118" s="4"/>
      <c r="C118" s="6" t="s">
        <v>185</v>
      </c>
      <c r="D118" s="5"/>
      <c r="E118" s="5"/>
      <c r="F118" s="5" t="s">
        <v>69</v>
      </c>
      <c r="G118" s="5" t="s">
        <v>75</v>
      </c>
      <c r="H118" s="5" t="s">
        <v>50</v>
      </c>
      <c r="I118" s="5" t="s">
        <v>73</v>
      </c>
      <c r="J118" s="5" t="s">
        <v>57</v>
      </c>
      <c r="K118" s="5" t="s">
        <v>208</v>
      </c>
      <c r="L118" s="5" t="s">
        <v>58</v>
      </c>
      <c r="M118" s="5" t="s">
        <v>207</v>
      </c>
      <c r="N118" s="5" t="s">
        <v>65</v>
      </c>
      <c r="O118" s="5" t="s">
        <v>47</v>
      </c>
      <c r="P118" s="5" t="s">
        <v>61</v>
      </c>
      <c r="Q118" s="5" t="s">
        <v>53</v>
      </c>
      <c r="R118" s="5" t="s">
        <v>71</v>
      </c>
      <c r="S118" s="5" t="s">
        <v>74</v>
      </c>
      <c r="T118" s="1">
        <v>6</v>
      </c>
      <c r="U118" s="1">
        <v>6</v>
      </c>
      <c r="V118" s="1">
        <v>44</v>
      </c>
      <c r="AA118">
        <f t="shared" si="15"/>
        <v>116</v>
      </c>
      <c r="AB118">
        <f t="shared" si="14"/>
        <v>0</v>
      </c>
    </row>
    <row r="119" spans="1:28" ht="28.8" x14ac:dyDescent="0.3">
      <c r="A119" s="3">
        <v>104</v>
      </c>
      <c r="B119" s="4"/>
      <c r="C119" s="6" t="s">
        <v>165</v>
      </c>
      <c r="D119" s="5"/>
      <c r="E119" s="5"/>
      <c r="F119" s="5" t="s">
        <v>67</v>
      </c>
      <c r="G119" s="5" t="s">
        <v>55</v>
      </c>
      <c r="H119" s="5" t="s">
        <v>62</v>
      </c>
      <c r="I119" s="5" t="s">
        <v>56</v>
      </c>
      <c r="J119" s="5" t="s">
        <v>63</v>
      </c>
      <c r="K119" s="5" t="s">
        <v>51</v>
      </c>
      <c r="L119" s="5" t="s">
        <v>68</v>
      </c>
      <c r="M119" s="5" t="s">
        <v>207</v>
      </c>
      <c r="N119" s="5" t="s">
        <v>66</v>
      </c>
      <c r="O119" s="5" t="s">
        <v>64</v>
      </c>
      <c r="P119" s="5" t="s">
        <v>70</v>
      </c>
      <c r="Q119" s="5" t="s">
        <v>53</v>
      </c>
      <c r="R119" s="5" t="s">
        <v>209</v>
      </c>
      <c r="S119" s="5" t="s">
        <v>74</v>
      </c>
      <c r="T119" s="1">
        <v>6</v>
      </c>
      <c r="U119" s="1">
        <v>6</v>
      </c>
      <c r="V119" s="1">
        <v>44</v>
      </c>
      <c r="AA119">
        <f t="shared" si="15"/>
        <v>117</v>
      </c>
      <c r="AB119">
        <f t="shared" si="14"/>
        <v>0</v>
      </c>
    </row>
    <row r="120" spans="1:28" ht="28.8" x14ac:dyDescent="0.3">
      <c r="A120" s="3">
        <v>105</v>
      </c>
      <c r="B120" s="4"/>
      <c r="C120" s="6" t="s">
        <v>15</v>
      </c>
      <c r="D120" s="5"/>
      <c r="E120" s="5"/>
      <c r="F120" s="5" t="s">
        <v>69</v>
      </c>
      <c r="G120" s="5" t="s">
        <v>75</v>
      </c>
      <c r="H120" s="5" t="s">
        <v>50</v>
      </c>
      <c r="I120" s="5" t="s">
        <v>73</v>
      </c>
      <c r="J120" s="5" t="s">
        <v>57</v>
      </c>
      <c r="K120" s="5" t="s">
        <v>51</v>
      </c>
      <c r="L120" s="5" t="s">
        <v>58</v>
      </c>
      <c r="M120" s="5" t="s">
        <v>207</v>
      </c>
      <c r="N120" s="5" t="s">
        <v>66</v>
      </c>
      <c r="O120" s="5" t="s">
        <v>47</v>
      </c>
      <c r="P120" s="5" t="s">
        <v>61</v>
      </c>
      <c r="Q120" s="5" t="s">
        <v>59</v>
      </c>
      <c r="R120" s="5" t="s">
        <v>209</v>
      </c>
      <c r="S120" s="5" t="s">
        <v>74</v>
      </c>
      <c r="T120" s="1">
        <v>6</v>
      </c>
      <c r="U120" s="1">
        <v>6</v>
      </c>
      <c r="V120" s="1">
        <v>44</v>
      </c>
      <c r="AA120">
        <f t="shared" si="15"/>
        <v>118</v>
      </c>
      <c r="AB120">
        <f t="shared" si="14"/>
        <v>0</v>
      </c>
    </row>
    <row r="121" spans="1:28" x14ac:dyDescent="0.3">
      <c r="A121" s="3">
        <v>106</v>
      </c>
      <c r="B121" s="4"/>
      <c r="C121" s="6" t="s">
        <v>37</v>
      </c>
      <c r="D121" s="5"/>
      <c r="E121" s="5"/>
      <c r="F121" s="5" t="s">
        <v>69</v>
      </c>
      <c r="G121" s="5" t="s">
        <v>75</v>
      </c>
      <c r="H121" s="5" t="s">
        <v>50</v>
      </c>
      <c r="I121" s="5" t="s">
        <v>56</v>
      </c>
      <c r="J121" s="5" t="s">
        <v>57</v>
      </c>
      <c r="K121" s="5" t="s">
        <v>51</v>
      </c>
      <c r="L121" s="5" t="s">
        <v>58</v>
      </c>
      <c r="M121" s="5" t="s">
        <v>72</v>
      </c>
      <c r="N121" s="5" t="s">
        <v>65</v>
      </c>
      <c r="O121" s="5" t="s">
        <v>64</v>
      </c>
      <c r="P121" s="5" t="s">
        <v>61</v>
      </c>
      <c r="Q121" s="5" t="s">
        <v>53</v>
      </c>
      <c r="R121" s="5" t="s">
        <v>209</v>
      </c>
      <c r="S121" s="5" t="s">
        <v>48</v>
      </c>
      <c r="T121" s="1">
        <v>6</v>
      </c>
      <c r="U121" s="1">
        <v>6</v>
      </c>
      <c r="V121" s="1">
        <v>43</v>
      </c>
    </row>
    <row r="122" spans="1:28" x14ac:dyDescent="0.3">
      <c r="A122" s="3">
        <v>107</v>
      </c>
      <c r="B122" s="4"/>
      <c r="C122" s="6" t="s">
        <v>151</v>
      </c>
      <c r="D122" s="5"/>
      <c r="E122" s="5"/>
      <c r="F122" s="5" t="s">
        <v>69</v>
      </c>
      <c r="G122" s="5" t="s">
        <v>55</v>
      </c>
      <c r="H122" s="5" t="s">
        <v>62</v>
      </c>
      <c r="I122" s="5" t="s">
        <v>56</v>
      </c>
      <c r="J122" s="5" t="s">
        <v>57</v>
      </c>
      <c r="K122" s="5" t="s">
        <v>51</v>
      </c>
      <c r="L122" s="5" t="s">
        <v>68</v>
      </c>
      <c r="M122" s="5" t="s">
        <v>207</v>
      </c>
      <c r="N122" s="5" t="s">
        <v>66</v>
      </c>
      <c r="O122" s="5" t="s">
        <v>47</v>
      </c>
      <c r="P122" s="5" t="s">
        <v>61</v>
      </c>
      <c r="Q122" s="5" t="s">
        <v>53</v>
      </c>
      <c r="R122" s="5" t="s">
        <v>71</v>
      </c>
      <c r="S122" s="5" t="s">
        <v>74</v>
      </c>
      <c r="T122" s="1">
        <v>6</v>
      </c>
      <c r="U122" s="1">
        <v>6</v>
      </c>
      <c r="V122" s="1">
        <v>43</v>
      </c>
    </row>
    <row r="123" spans="1:28" ht="43.2" x14ac:dyDescent="0.3">
      <c r="A123" s="3">
        <v>108</v>
      </c>
      <c r="B123" s="4"/>
      <c r="C123" s="6" t="s">
        <v>132</v>
      </c>
      <c r="D123" s="5"/>
      <c r="E123" s="5"/>
      <c r="F123" s="5" t="s">
        <v>69</v>
      </c>
      <c r="G123" s="5" t="s">
        <v>55</v>
      </c>
      <c r="H123" s="5" t="s">
        <v>62</v>
      </c>
      <c r="I123" s="5" t="s">
        <v>56</v>
      </c>
      <c r="J123" s="5" t="s">
        <v>57</v>
      </c>
      <c r="K123" s="5" t="s">
        <v>208</v>
      </c>
      <c r="L123" s="5" t="s">
        <v>58</v>
      </c>
      <c r="M123" s="5" t="s">
        <v>72</v>
      </c>
      <c r="N123" s="5" t="s">
        <v>66</v>
      </c>
      <c r="O123" s="5" t="s">
        <v>47</v>
      </c>
      <c r="P123" s="5" t="s">
        <v>70</v>
      </c>
      <c r="Q123" s="5" t="s">
        <v>53</v>
      </c>
      <c r="R123" s="5" t="s">
        <v>71</v>
      </c>
      <c r="S123" s="5" t="s">
        <v>74</v>
      </c>
      <c r="T123" s="1">
        <v>6</v>
      </c>
      <c r="U123" s="1">
        <v>6</v>
      </c>
      <c r="V123" s="1">
        <v>43</v>
      </c>
    </row>
    <row r="124" spans="1:28" x14ac:dyDescent="0.3">
      <c r="A124" s="3">
        <v>109</v>
      </c>
      <c r="B124" s="4"/>
      <c r="C124" s="6" t="s">
        <v>101</v>
      </c>
      <c r="D124" s="5"/>
      <c r="E124" s="5"/>
      <c r="F124" s="5" t="s">
        <v>67</v>
      </c>
      <c r="G124" s="5" t="s">
        <v>55</v>
      </c>
      <c r="H124" s="5" t="s">
        <v>62</v>
      </c>
      <c r="I124" s="5" t="s">
        <v>56</v>
      </c>
      <c r="J124" s="5" t="s">
        <v>57</v>
      </c>
      <c r="K124" s="5" t="s">
        <v>208</v>
      </c>
      <c r="L124" s="5" t="s">
        <v>68</v>
      </c>
      <c r="M124" s="5" t="s">
        <v>72</v>
      </c>
      <c r="N124" s="5" t="s">
        <v>65</v>
      </c>
      <c r="O124" s="5" t="s">
        <v>47</v>
      </c>
      <c r="P124" s="5" t="s">
        <v>61</v>
      </c>
      <c r="Q124" s="5" t="s">
        <v>53</v>
      </c>
      <c r="R124" s="5" t="s">
        <v>71</v>
      </c>
      <c r="S124" s="5" t="s">
        <v>74</v>
      </c>
      <c r="T124" s="1">
        <v>6</v>
      </c>
      <c r="U124" s="1">
        <v>6</v>
      </c>
      <c r="V124" s="1">
        <v>43</v>
      </c>
    </row>
    <row r="125" spans="1:28" ht="28.8" x14ac:dyDescent="0.3">
      <c r="A125" s="3">
        <v>110</v>
      </c>
      <c r="B125" s="4"/>
      <c r="C125" s="6" t="s">
        <v>137</v>
      </c>
      <c r="D125" s="5"/>
      <c r="E125" s="5"/>
      <c r="F125" s="5" t="s">
        <v>69</v>
      </c>
      <c r="G125" s="5" t="s">
        <v>55</v>
      </c>
      <c r="H125" s="5" t="s">
        <v>50</v>
      </c>
      <c r="I125" s="5" t="s">
        <v>56</v>
      </c>
      <c r="J125" s="5" t="s">
        <v>57</v>
      </c>
      <c r="K125" s="5" t="s">
        <v>208</v>
      </c>
      <c r="L125" s="5" t="s">
        <v>68</v>
      </c>
      <c r="M125" s="5" t="s">
        <v>72</v>
      </c>
      <c r="N125" s="5" t="s">
        <v>66</v>
      </c>
      <c r="O125" s="5" t="s">
        <v>47</v>
      </c>
      <c r="P125" s="5" t="s">
        <v>70</v>
      </c>
      <c r="Q125" s="5" t="s">
        <v>53</v>
      </c>
      <c r="R125" s="5" t="s">
        <v>71</v>
      </c>
      <c r="S125" s="5" t="s">
        <v>74</v>
      </c>
      <c r="T125" s="1">
        <v>6</v>
      </c>
      <c r="U125" s="1">
        <v>6</v>
      </c>
      <c r="V125" s="1">
        <v>43</v>
      </c>
    </row>
    <row r="126" spans="1:28" x14ac:dyDescent="0.3">
      <c r="A126" s="3">
        <v>111</v>
      </c>
      <c r="B126" s="4"/>
      <c r="C126" s="6" t="s">
        <v>131</v>
      </c>
      <c r="D126" s="5"/>
      <c r="E126" s="5"/>
      <c r="F126" s="5" t="s">
        <v>67</v>
      </c>
      <c r="G126" s="5" t="s">
        <v>75</v>
      </c>
      <c r="H126" s="5" t="s">
        <v>62</v>
      </c>
      <c r="I126" s="5" t="s">
        <v>56</v>
      </c>
      <c r="J126" s="5" t="s">
        <v>63</v>
      </c>
      <c r="K126" s="5" t="s">
        <v>208</v>
      </c>
      <c r="L126" s="5" t="s">
        <v>58</v>
      </c>
      <c r="M126" s="5" t="s">
        <v>207</v>
      </c>
      <c r="N126" s="5" t="s">
        <v>66</v>
      </c>
      <c r="O126" s="5" t="s">
        <v>64</v>
      </c>
      <c r="P126" s="5" t="s">
        <v>61</v>
      </c>
      <c r="Q126" s="5" t="s">
        <v>59</v>
      </c>
      <c r="R126" s="5" t="s">
        <v>209</v>
      </c>
      <c r="S126" s="5" t="s">
        <v>48</v>
      </c>
      <c r="T126" s="1">
        <v>6</v>
      </c>
      <c r="U126" s="1">
        <v>6</v>
      </c>
      <c r="V126" s="1">
        <v>43</v>
      </c>
    </row>
    <row r="127" spans="1:28" x14ac:dyDescent="0.3">
      <c r="A127" s="3">
        <v>112</v>
      </c>
      <c r="B127" s="4"/>
      <c r="C127" s="6" t="s">
        <v>31</v>
      </c>
      <c r="D127" s="5"/>
      <c r="E127" s="5"/>
      <c r="F127" s="5" t="s">
        <v>69</v>
      </c>
      <c r="G127" s="5" t="s">
        <v>75</v>
      </c>
      <c r="H127" s="5" t="s">
        <v>62</v>
      </c>
      <c r="I127" s="5" t="s">
        <v>73</v>
      </c>
      <c r="J127" s="5" t="s">
        <v>63</v>
      </c>
      <c r="K127" s="5" t="s">
        <v>208</v>
      </c>
      <c r="L127" s="5" t="s">
        <v>58</v>
      </c>
      <c r="M127" s="5" t="s">
        <v>207</v>
      </c>
      <c r="N127" s="5" t="s">
        <v>66</v>
      </c>
      <c r="O127" s="5" t="s">
        <v>47</v>
      </c>
      <c r="P127" s="5" t="s">
        <v>70</v>
      </c>
      <c r="Q127" s="5" t="s">
        <v>53</v>
      </c>
      <c r="R127" s="5" t="s">
        <v>71</v>
      </c>
      <c r="S127" s="5" t="s">
        <v>48</v>
      </c>
      <c r="T127" s="1">
        <v>6</v>
      </c>
      <c r="U127" s="1">
        <v>6</v>
      </c>
      <c r="V127" s="1">
        <v>42</v>
      </c>
    </row>
    <row r="128" spans="1:28" x14ac:dyDescent="0.3">
      <c r="A128" s="3">
        <v>113</v>
      </c>
      <c r="B128" s="4"/>
      <c r="C128" s="6" t="s">
        <v>13</v>
      </c>
      <c r="D128" s="5"/>
      <c r="E128" s="5"/>
      <c r="F128" s="5" t="s">
        <v>67</v>
      </c>
      <c r="G128" s="5" t="s">
        <v>55</v>
      </c>
      <c r="H128" s="5" t="s">
        <v>62</v>
      </c>
      <c r="I128" s="5" t="s">
        <v>73</v>
      </c>
      <c r="J128" s="5" t="s">
        <v>63</v>
      </c>
      <c r="K128" s="5" t="s">
        <v>208</v>
      </c>
      <c r="L128" s="5" t="s">
        <v>58</v>
      </c>
      <c r="M128" s="5" t="s">
        <v>207</v>
      </c>
      <c r="N128" s="5" t="s">
        <v>65</v>
      </c>
      <c r="O128" s="5" t="s">
        <v>64</v>
      </c>
      <c r="P128" s="5" t="s">
        <v>61</v>
      </c>
      <c r="Q128" s="5" t="s">
        <v>53</v>
      </c>
      <c r="R128" s="5" t="s">
        <v>71</v>
      </c>
      <c r="S128" s="5" t="s">
        <v>74</v>
      </c>
      <c r="T128" s="1">
        <v>6</v>
      </c>
      <c r="U128" s="1">
        <v>6</v>
      </c>
      <c r="V128" s="1">
        <v>42</v>
      </c>
    </row>
    <row r="129" spans="1:22" ht="28.8" x14ac:dyDescent="0.3">
      <c r="A129" s="3">
        <v>114</v>
      </c>
      <c r="B129" s="4"/>
      <c r="C129" s="6" t="s">
        <v>22</v>
      </c>
      <c r="D129" s="5"/>
      <c r="E129" s="5"/>
      <c r="F129" s="5" t="s">
        <v>69</v>
      </c>
      <c r="G129" s="5" t="s">
        <v>55</v>
      </c>
      <c r="H129" s="5" t="s">
        <v>62</v>
      </c>
      <c r="I129" s="5" t="s">
        <v>73</v>
      </c>
      <c r="J129" s="5" t="s">
        <v>57</v>
      </c>
      <c r="K129" s="5" t="s">
        <v>208</v>
      </c>
      <c r="L129" s="5" t="s">
        <v>58</v>
      </c>
      <c r="M129" s="5" t="s">
        <v>207</v>
      </c>
      <c r="N129" s="5" t="s">
        <v>66</v>
      </c>
      <c r="O129" s="5" t="s">
        <v>47</v>
      </c>
      <c r="P129" s="5" t="s">
        <v>70</v>
      </c>
      <c r="Q129" s="5" t="s">
        <v>53</v>
      </c>
      <c r="R129" s="5" t="s">
        <v>71</v>
      </c>
      <c r="S129" s="5" t="s">
        <v>74</v>
      </c>
      <c r="T129" s="1">
        <v>6</v>
      </c>
      <c r="U129" s="1">
        <v>6</v>
      </c>
      <c r="V129" s="1">
        <v>41</v>
      </c>
    </row>
    <row r="130" spans="1:22" x14ac:dyDescent="0.3">
      <c r="A130" s="3">
        <v>115</v>
      </c>
      <c r="B130" s="4"/>
      <c r="C130" s="6" t="s">
        <v>111</v>
      </c>
      <c r="D130" s="5"/>
      <c r="E130" s="5"/>
      <c r="F130" s="5" t="s">
        <v>67</v>
      </c>
      <c r="G130" s="5" t="s">
        <v>75</v>
      </c>
      <c r="H130" s="5" t="s">
        <v>62</v>
      </c>
      <c r="I130" s="5" t="s">
        <v>56</v>
      </c>
      <c r="J130" s="5" t="s">
        <v>57</v>
      </c>
      <c r="K130" s="5" t="s">
        <v>51</v>
      </c>
      <c r="L130" s="5" t="s">
        <v>58</v>
      </c>
      <c r="M130" s="5" t="s">
        <v>72</v>
      </c>
      <c r="N130" s="5" t="s">
        <v>66</v>
      </c>
      <c r="O130" s="5" t="s">
        <v>47</v>
      </c>
      <c r="P130" s="5" t="s">
        <v>61</v>
      </c>
      <c r="Q130" s="5" t="s">
        <v>59</v>
      </c>
      <c r="R130" s="5" t="s">
        <v>209</v>
      </c>
      <c r="S130" s="5" t="s">
        <v>74</v>
      </c>
      <c r="T130" s="1">
        <v>6</v>
      </c>
      <c r="U130" s="1">
        <v>6</v>
      </c>
      <c r="V130" s="1">
        <v>40</v>
      </c>
    </row>
    <row r="131" spans="1:22" ht="28.8" x14ac:dyDescent="0.3">
      <c r="A131" s="3">
        <v>116</v>
      </c>
      <c r="B131" s="4"/>
      <c r="C131" s="6" t="s">
        <v>10</v>
      </c>
      <c r="D131" s="5"/>
      <c r="E131" s="5"/>
      <c r="F131" s="5" t="s">
        <v>69</v>
      </c>
      <c r="G131" s="5" t="s">
        <v>75</v>
      </c>
      <c r="H131" s="5" t="s">
        <v>62</v>
      </c>
      <c r="I131" s="5" t="s">
        <v>73</v>
      </c>
      <c r="J131" s="5" t="s">
        <v>57</v>
      </c>
      <c r="K131" s="5" t="s">
        <v>51</v>
      </c>
      <c r="L131" s="5" t="s">
        <v>58</v>
      </c>
      <c r="M131" s="5" t="s">
        <v>207</v>
      </c>
      <c r="N131" s="5" t="s">
        <v>65</v>
      </c>
      <c r="O131" s="5" t="s">
        <v>47</v>
      </c>
      <c r="P131" s="5" t="s">
        <v>61</v>
      </c>
      <c r="Q131" s="5" t="s">
        <v>59</v>
      </c>
      <c r="R131" s="5" t="s">
        <v>209</v>
      </c>
      <c r="S131" s="5" t="s">
        <v>74</v>
      </c>
      <c r="T131" s="1">
        <v>6</v>
      </c>
      <c r="U131" s="1">
        <v>6</v>
      </c>
      <c r="V131" s="1">
        <v>40</v>
      </c>
    </row>
    <row r="132" spans="1:22" ht="28.8" x14ac:dyDescent="0.3">
      <c r="A132" s="3">
        <v>117</v>
      </c>
      <c r="B132" s="4"/>
      <c r="C132" s="6" t="s">
        <v>197</v>
      </c>
      <c r="D132" s="5"/>
      <c r="E132" s="5"/>
      <c r="F132" s="5" t="s">
        <v>69</v>
      </c>
      <c r="G132" s="5" t="s">
        <v>75</v>
      </c>
      <c r="H132" s="5" t="s">
        <v>50</v>
      </c>
      <c r="I132" s="5" t="s">
        <v>73</v>
      </c>
      <c r="J132" s="5" t="s">
        <v>57</v>
      </c>
      <c r="K132" s="5" t="s">
        <v>208</v>
      </c>
      <c r="L132" s="5" t="s">
        <v>58</v>
      </c>
      <c r="M132" s="5" t="s">
        <v>72</v>
      </c>
      <c r="N132" s="5" t="s">
        <v>66</v>
      </c>
      <c r="O132" s="5" t="s">
        <v>47</v>
      </c>
      <c r="P132" s="5" t="s">
        <v>61</v>
      </c>
      <c r="Q132" s="5" t="s">
        <v>59</v>
      </c>
      <c r="R132" s="5" t="s">
        <v>71</v>
      </c>
      <c r="S132" s="5" t="s">
        <v>48</v>
      </c>
      <c r="T132" s="1">
        <v>6</v>
      </c>
      <c r="U132" s="1">
        <v>6</v>
      </c>
      <c r="V132" s="1">
        <v>40</v>
      </c>
    </row>
    <row r="133" spans="1:22" ht="28.8" x14ac:dyDescent="0.3">
      <c r="A133" s="3">
        <v>118</v>
      </c>
      <c r="B133" s="4"/>
      <c r="C133" s="6" t="s">
        <v>25</v>
      </c>
      <c r="D133" s="5"/>
      <c r="E133" s="5"/>
      <c r="F133" s="5" t="s">
        <v>69</v>
      </c>
      <c r="G133" s="5" t="s">
        <v>75</v>
      </c>
      <c r="H133" s="5" t="s">
        <v>62</v>
      </c>
      <c r="I133" s="5" t="s">
        <v>56</v>
      </c>
      <c r="J133" s="5" t="s">
        <v>57</v>
      </c>
      <c r="K133" s="5" t="s">
        <v>208</v>
      </c>
      <c r="L133" s="5" t="s">
        <v>58</v>
      </c>
      <c r="M133" s="5" t="s">
        <v>207</v>
      </c>
      <c r="N133" s="5" t="s">
        <v>65</v>
      </c>
      <c r="O133" s="5" t="s">
        <v>47</v>
      </c>
      <c r="P133" s="5" t="s">
        <v>61</v>
      </c>
      <c r="Q133" s="5" t="s">
        <v>53</v>
      </c>
      <c r="R133" s="5" t="s">
        <v>209</v>
      </c>
      <c r="S133" s="5" t="s">
        <v>48</v>
      </c>
      <c r="T133" s="1">
        <v>6</v>
      </c>
      <c r="U133" s="1">
        <v>6</v>
      </c>
      <c r="V133" s="1">
        <v>39</v>
      </c>
    </row>
    <row r="134" spans="1:22" ht="28.8" x14ac:dyDescent="0.3">
      <c r="A134" s="3">
        <v>119</v>
      </c>
      <c r="B134" s="4"/>
      <c r="C134" s="6" t="s">
        <v>103</v>
      </c>
      <c r="D134" s="5"/>
      <c r="E134" s="5"/>
      <c r="F134" s="5" t="s">
        <v>67</v>
      </c>
      <c r="G134" s="5" t="s">
        <v>75</v>
      </c>
      <c r="H134" s="5" t="s">
        <v>62</v>
      </c>
      <c r="I134" s="5" t="s">
        <v>73</v>
      </c>
      <c r="J134" s="5" t="s">
        <v>63</v>
      </c>
      <c r="K134" s="5" t="s">
        <v>208</v>
      </c>
      <c r="L134" s="5" t="s">
        <v>68</v>
      </c>
      <c r="M134" s="5" t="s">
        <v>72</v>
      </c>
      <c r="N134" s="5" t="s">
        <v>65</v>
      </c>
      <c r="O134" s="5" t="s">
        <v>47</v>
      </c>
      <c r="P134" s="5" t="s">
        <v>70</v>
      </c>
      <c r="Q134" s="5" t="s">
        <v>53</v>
      </c>
      <c r="R134" s="5" t="s">
        <v>71</v>
      </c>
      <c r="S134" s="5" t="s">
        <v>48</v>
      </c>
      <c r="T134" s="1">
        <v>6</v>
      </c>
      <c r="U134" s="1">
        <v>6</v>
      </c>
      <c r="V134" s="1">
        <v>37</v>
      </c>
    </row>
    <row r="135" spans="1:22" x14ac:dyDescent="0.3">
      <c r="A135" s="3">
        <v>120</v>
      </c>
      <c r="B135" s="4"/>
      <c r="C135" s="6" t="s">
        <v>128</v>
      </c>
      <c r="D135" s="5"/>
      <c r="E135" s="5"/>
      <c r="F135" s="5" t="s">
        <v>69</v>
      </c>
      <c r="G135" s="5" t="s">
        <v>75</v>
      </c>
      <c r="H135" s="5" t="s">
        <v>50</v>
      </c>
      <c r="I135" s="5" t="s">
        <v>73</v>
      </c>
      <c r="J135" s="5" t="s">
        <v>63</v>
      </c>
      <c r="K135" s="5" t="s">
        <v>208</v>
      </c>
      <c r="L135" s="5" t="s">
        <v>58</v>
      </c>
      <c r="M135" s="5" t="s">
        <v>72</v>
      </c>
      <c r="N135" s="5" t="s">
        <v>66</v>
      </c>
      <c r="O135" s="5" t="s">
        <v>64</v>
      </c>
      <c r="P135" s="5" t="s">
        <v>70</v>
      </c>
      <c r="Q135" s="5" t="s">
        <v>59</v>
      </c>
      <c r="R135" s="5" t="s">
        <v>71</v>
      </c>
      <c r="S135" s="5" t="s">
        <v>48</v>
      </c>
      <c r="T135" s="1">
        <v>6</v>
      </c>
      <c r="U135" s="1">
        <v>6</v>
      </c>
      <c r="V135" s="1">
        <v>35</v>
      </c>
    </row>
    <row r="136" spans="1:22" x14ac:dyDescent="0.3">
      <c r="A136" s="3">
        <v>121</v>
      </c>
      <c r="B136" s="4"/>
      <c r="C136" s="6" t="s">
        <v>201</v>
      </c>
      <c r="D136" s="5"/>
      <c r="E136" s="5"/>
      <c r="F136" s="5" t="s">
        <v>69</v>
      </c>
      <c r="G136" s="5" t="s">
        <v>75</v>
      </c>
      <c r="H136" s="5" t="s">
        <v>50</v>
      </c>
      <c r="I136" s="5" t="s">
        <v>73</v>
      </c>
      <c r="J136" s="5" t="s">
        <v>57</v>
      </c>
      <c r="K136" s="5" t="s">
        <v>208</v>
      </c>
      <c r="L136" s="5" t="s">
        <v>68</v>
      </c>
      <c r="M136" s="5" t="s">
        <v>207</v>
      </c>
      <c r="N136" s="5" t="s">
        <v>65</v>
      </c>
      <c r="O136" s="5" t="s">
        <v>64</v>
      </c>
      <c r="P136" s="5" t="s">
        <v>70</v>
      </c>
      <c r="Q136" s="5" t="s">
        <v>59</v>
      </c>
      <c r="R136" s="5" t="s">
        <v>71</v>
      </c>
      <c r="S136" s="5" t="s">
        <v>74</v>
      </c>
      <c r="T136" s="1">
        <v>6</v>
      </c>
      <c r="U136" s="1">
        <v>6</v>
      </c>
      <c r="V136" s="1">
        <v>35</v>
      </c>
    </row>
    <row r="137" spans="1:22" ht="28.8" x14ac:dyDescent="0.3">
      <c r="A137" s="3">
        <v>122</v>
      </c>
      <c r="B137" s="4"/>
      <c r="C137" s="6" t="s">
        <v>29</v>
      </c>
      <c r="D137" s="5"/>
      <c r="E137" s="5"/>
      <c r="F137" s="5" t="s">
        <v>67</v>
      </c>
      <c r="G137" s="5" t="s">
        <v>75</v>
      </c>
      <c r="H137" s="5" t="s">
        <v>62</v>
      </c>
      <c r="I137" s="5" t="s">
        <v>73</v>
      </c>
      <c r="J137" s="5" t="s">
        <v>63</v>
      </c>
      <c r="K137" s="5" t="s">
        <v>208</v>
      </c>
      <c r="L137" s="5" t="s">
        <v>58</v>
      </c>
      <c r="M137" s="5" t="s">
        <v>72</v>
      </c>
      <c r="N137" s="5" t="s">
        <v>65</v>
      </c>
      <c r="O137" s="5" t="s">
        <v>47</v>
      </c>
      <c r="P137" s="5" t="s">
        <v>61</v>
      </c>
      <c r="Q137" s="5" t="s">
        <v>53</v>
      </c>
      <c r="R137" s="5" t="s">
        <v>71</v>
      </c>
      <c r="S137" s="5" t="s">
        <v>48</v>
      </c>
      <c r="T137" s="1">
        <v>6</v>
      </c>
      <c r="U137" s="1">
        <v>6</v>
      </c>
      <c r="V137" s="1">
        <v>35</v>
      </c>
    </row>
    <row r="138" spans="1:22" x14ac:dyDescent="0.3">
      <c r="A138" s="3">
        <v>123</v>
      </c>
      <c r="B138" s="4"/>
      <c r="C138" s="6" t="s">
        <v>23</v>
      </c>
      <c r="D138" s="5"/>
      <c r="E138" s="5"/>
      <c r="F138" s="5" t="s">
        <v>69</v>
      </c>
      <c r="G138" s="5" t="s">
        <v>75</v>
      </c>
      <c r="H138" s="5" t="s">
        <v>50</v>
      </c>
      <c r="I138" s="5" t="s">
        <v>73</v>
      </c>
      <c r="J138" s="5" t="s">
        <v>57</v>
      </c>
      <c r="K138" s="5" t="s">
        <v>208</v>
      </c>
      <c r="L138" s="5" t="s">
        <v>68</v>
      </c>
      <c r="M138" s="5" t="s">
        <v>72</v>
      </c>
      <c r="N138" s="5" t="s">
        <v>65</v>
      </c>
      <c r="O138" s="5" t="s">
        <v>47</v>
      </c>
      <c r="P138" s="5" t="s">
        <v>70</v>
      </c>
      <c r="Q138" s="5" t="s">
        <v>53</v>
      </c>
      <c r="R138" s="5" t="s">
        <v>71</v>
      </c>
      <c r="S138" s="5" t="s">
        <v>74</v>
      </c>
      <c r="T138" s="1">
        <v>5</v>
      </c>
      <c r="U138" s="1">
        <v>5</v>
      </c>
      <c r="V138" s="1">
        <v>51</v>
      </c>
    </row>
    <row r="139" spans="1:22" ht="28.8" x14ac:dyDescent="0.3">
      <c r="A139" s="3">
        <v>124</v>
      </c>
      <c r="B139" s="4"/>
      <c r="C139" s="6" t="s">
        <v>192</v>
      </c>
      <c r="D139" s="5"/>
      <c r="E139" s="5"/>
      <c r="F139" s="5" t="s">
        <v>69</v>
      </c>
      <c r="G139" s="5" t="s">
        <v>55</v>
      </c>
      <c r="H139" s="5" t="s">
        <v>62</v>
      </c>
      <c r="I139" s="5" t="s">
        <v>73</v>
      </c>
      <c r="J139" s="5" t="s">
        <v>57</v>
      </c>
      <c r="K139" s="5" t="s">
        <v>208</v>
      </c>
      <c r="L139" s="5" t="s">
        <v>68</v>
      </c>
      <c r="M139" s="5" t="s">
        <v>207</v>
      </c>
      <c r="N139" s="5" t="s">
        <v>65</v>
      </c>
      <c r="O139" s="5" t="s">
        <v>47</v>
      </c>
      <c r="P139" s="5" t="s">
        <v>61</v>
      </c>
      <c r="Q139" s="5" t="s">
        <v>59</v>
      </c>
      <c r="R139" s="5" t="s">
        <v>209</v>
      </c>
      <c r="S139" s="5" t="s">
        <v>74</v>
      </c>
      <c r="T139" s="1">
        <v>5</v>
      </c>
      <c r="U139" s="1">
        <v>5</v>
      </c>
      <c r="V139" s="1">
        <v>53</v>
      </c>
    </row>
    <row r="140" spans="1:22" ht="28.8" x14ac:dyDescent="0.3">
      <c r="A140" s="3">
        <v>125</v>
      </c>
      <c r="B140" s="4"/>
      <c r="C140" s="6" t="s">
        <v>102</v>
      </c>
      <c r="D140" s="5"/>
      <c r="E140" s="5"/>
      <c r="F140" s="5" t="s">
        <v>69</v>
      </c>
      <c r="G140" s="5" t="s">
        <v>55</v>
      </c>
      <c r="H140" s="5" t="s">
        <v>62</v>
      </c>
      <c r="I140" s="5" t="s">
        <v>73</v>
      </c>
      <c r="J140" s="5" t="s">
        <v>63</v>
      </c>
      <c r="K140" s="5" t="s">
        <v>208</v>
      </c>
      <c r="L140" s="5" t="s">
        <v>68</v>
      </c>
      <c r="M140" s="5" t="s">
        <v>72</v>
      </c>
      <c r="N140" s="5" t="s">
        <v>65</v>
      </c>
      <c r="O140" s="5" t="s">
        <v>47</v>
      </c>
      <c r="P140" s="5" t="s">
        <v>61</v>
      </c>
      <c r="Q140" s="5" t="s">
        <v>59</v>
      </c>
      <c r="R140" s="5" t="s">
        <v>209</v>
      </c>
      <c r="S140" s="5" t="s">
        <v>48</v>
      </c>
      <c r="T140" s="1">
        <v>5</v>
      </c>
      <c r="U140" s="1">
        <v>5</v>
      </c>
      <c r="V140" s="1">
        <v>48</v>
      </c>
    </row>
    <row r="141" spans="1:22" x14ac:dyDescent="0.3">
      <c r="A141" s="3">
        <v>126</v>
      </c>
      <c r="B141" s="4"/>
      <c r="C141" s="6" t="s">
        <v>189</v>
      </c>
      <c r="D141" s="5"/>
      <c r="E141" s="5"/>
      <c r="F141" s="5" t="s">
        <v>69</v>
      </c>
      <c r="G141" s="5" t="s">
        <v>75</v>
      </c>
      <c r="H141" s="5" t="s">
        <v>62</v>
      </c>
      <c r="I141" s="5" t="s">
        <v>73</v>
      </c>
      <c r="J141" s="5" t="s">
        <v>57</v>
      </c>
      <c r="K141" s="5" t="s">
        <v>208</v>
      </c>
      <c r="L141" s="5" t="s">
        <v>58</v>
      </c>
      <c r="M141" s="5" t="s">
        <v>72</v>
      </c>
      <c r="N141" s="5" t="s">
        <v>65</v>
      </c>
      <c r="O141" s="5" t="s">
        <v>47</v>
      </c>
      <c r="P141" s="5" t="s">
        <v>61</v>
      </c>
      <c r="Q141" s="5" t="s">
        <v>59</v>
      </c>
      <c r="R141" s="5" t="s">
        <v>71</v>
      </c>
      <c r="S141" s="5" t="s">
        <v>74</v>
      </c>
      <c r="T141" s="1">
        <v>5</v>
      </c>
      <c r="U141" s="1">
        <v>5</v>
      </c>
      <c r="V141" s="1">
        <v>46</v>
      </c>
    </row>
    <row r="142" spans="1:22" x14ac:dyDescent="0.3">
      <c r="A142" s="3">
        <v>127</v>
      </c>
      <c r="B142" s="4"/>
      <c r="C142" s="6" t="s">
        <v>79</v>
      </c>
      <c r="D142" s="5"/>
      <c r="E142" s="5"/>
      <c r="F142" s="5" t="s">
        <v>69</v>
      </c>
      <c r="G142" s="5" t="s">
        <v>75</v>
      </c>
      <c r="H142" s="5" t="s">
        <v>50</v>
      </c>
      <c r="I142" s="5" t="s">
        <v>73</v>
      </c>
      <c r="J142" s="5" t="s">
        <v>57</v>
      </c>
      <c r="K142" s="5" t="s">
        <v>208</v>
      </c>
      <c r="L142" s="5" t="s">
        <v>58</v>
      </c>
      <c r="M142" s="5" t="s">
        <v>72</v>
      </c>
      <c r="N142" s="5" t="s">
        <v>66</v>
      </c>
      <c r="O142" s="5" t="s">
        <v>64</v>
      </c>
      <c r="P142" s="5" t="s">
        <v>70</v>
      </c>
      <c r="Q142" s="5" t="s">
        <v>59</v>
      </c>
      <c r="R142" s="5" t="s">
        <v>71</v>
      </c>
      <c r="S142" s="5" t="s">
        <v>74</v>
      </c>
      <c r="T142" s="1">
        <v>5</v>
      </c>
      <c r="U142" s="1">
        <v>5</v>
      </c>
      <c r="V142" s="1">
        <v>45</v>
      </c>
    </row>
    <row r="143" spans="1:22" ht="28.8" x14ac:dyDescent="0.3">
      <c r="A143" s="3">
        <v>128</v>
      </c>
      <c r="B143" s="4"/>
      <c r="C143" s="6" t="s">
        <v>170</v>
      </c>
      <c r="D143" s="5"/>
      <c r="E143" s="5"/>
      <c r="F143" s="5" t="s">
        <v>69</v>
      </c>
      <c r="G143" s="5" t="s">
        <v>75</v>
      </c>
      <c r="H143" s="5" t="s">
        <v>62</v>
      </c>
      <c r="I143" s="5" t="s">
        <v>73</v>
      </c>
      <c r="J143" s="5" t="s">
        <v>63</v>
      </c>
      <c r="K143" s="5" t="s">
        <v>208</v>
      </c>
      <c r="L143" s="5" t="s">
        <v>58</v>
      </c>
      <c r="M143" s="5" t="s">
        <v>207</v>
      </c>
      <c r="N143" s="5" t="s">
        <v>66</v>
      </c>
      <c r="O143" s="5" t="s">
        <v>64</v>
      </c>
      <c r="P143" s="5" t="s">
        <v>61</v>
      </c>
      <c r="Q143" s="5" t="s">
        <v>59</v>
      </c>
      <c r="R143" s="5" t="s">
        <v>71</v>
      </c>
      <c r="S143" s="5" t="s">
        <v>48</v>
      </c>
      <c r="T143" s="1">
        <v>5</v>
      </c>
      <c r="U143" s="1">
        <v>5</v>
      </c>
      <c r="V143" s="1">
        <v>44</v>
      </c>
    </row>
    <row r="144" spans="1:22" x14ac:dyDescent="0.3">
      <c r="A144" s="3">
        <v>129</v>
      </c>
      <c r="B144" s="4"/>
      <c r="C144" s="6" t="s">
        <v>199</v>
      </c>
      <c r="D144" s="5"/>
      <c r="E144" s="5"/>
      <c r="F144" s="5" t="s">
        <v>67</v>
      </c>
      <c r="G144" s="5" t="s">
        <v>55</v>
      </c>
      <c r="H144" s="5" t="s">
        <v>62</v>
      </c>
      <c r="I144" s="5" t="s">
        <v>56</v>
      </c>
      <c r="J144" s="5" t="s">
        <v>57</v>
      </c>
      <c r="K144" s="5" t="s">
        <v>208</v>
      </c>
      <c r="L144" s="5" t="s">
        <v>58</v>
      </c>
      <c r="M144" s="5" t="s">
        <v>72</v>
      </c>
      <c r="N144" s="5" t="s">
        <v>66</v>
      </c>
      <c r="O144" s="5" t="s">
        <v>47</v>
      </c>
      <c r="P144" s="5" t="s">
        <v>61</v>
      </c>
      <c r="Q144" s="5" t="s">
        <v>53</v>
      </c>
      <c r="R144" s="5" t="s">
        <v>209</v>
      </c>
      <c r="S144" s="5" t="s">
        <v>74</v>
      </c>
      <c r="T144" s="1">
        <v>5</v>
      </c>
      <c r="U144" s="1">
        <v>5</v>
      </c>
      <c r="V144" s="1">
        <v>44</v>
      </c>
    </row>
    <row r="145" spans="1:22" ht="28.8" x14ac:dyDescent="0.3">
      <c r="A145" s="3">
        <v>130</v>
      </c>
      <c r="B145" s="4"/>
      <c r="C145" s="6" t="s">
        <v>172</v>
      </c>
      <c r="D145" s="5"/>
      <c r="E145" s="5"/>
      <c r="F145" s="5" t="s">
        <v>69</v>
      </c>
      <c r="G145" s="5" t="s">
        <v>75</v>
      </c>
      <c r="H145" s="5" t="s">
        <v>62</v>
      </c>
      <c r="I145" s="5" t="s">
        <v>73</v>
      </c>
      <c r="J145" s="5" t="s">
        <v>63</v>
      </c>
      <c r="K145" s="5" t="s">
        <v>208</v>
      </c>
      <c r="L145" s="5" t="s">
        <v>68</v>
      </c>
      <c r="M145" s="5" t="s">
        <v>207</v>
      </c>
      <c r="N145" s="5" t="s">
        <v>65</v>
      </c>
      <c r="O145" s="5" t="s">
        <v>47</v>
      </c>
      <c r="P145" s="5" t="s">
        <v>61</v>
      </c>
      <c r="Q145" s="5" t="s">
        <v>53</v>
      </c>
      <c r="R145" s="5" t="s">
        <v>71</v>
      </c>
      <c r="S145" s="5" t="s">
        <v>48</v>
      </c>
      <c r="T145" s="1">
        <v>5</v>
      </c>
      <c r="U145" s="1">
        <v>5</v>
      </c>
      <c r="V145" s="1">
        <v>44</v>
      </c>
    </row>
    <row r="146" spans="1:22" x14ac:dyDescent="0.3">
      <c r="A146" s="3">
        <v>131</v>
      </c>
      <c r="B146" s="4"/>
      <c r="C146" s="6" t="s">
        <v>149</v>
      </c>
      <c r="D146" s="5"/>
      <c r="E146" s="5"/>
      <c r="F146" s="5" t="s">
        <v>69</v>
      </c>
      <c r="G146" s="5" t="s">
        <v>55</v>
      </c>
      <c r="H146" s="5" t="s">
        <v>62</v>
      </c>
      <c r="I146" s="5" t="s">
        <v>56</v>
      </c>
      <c r="J146" s="5" t="s">
        <v>57</v>
      </c>
      <c r="K146" s="5" t="s">
        <v>51</v>
      </c>
      <c r="L146" s="5" t="s">
        <v>68</v>
      </c>
      <c r="M146" s="5" t="s">
        <v>72</v>
      </c>
      <c r="N146" s="5" t="s">
        <v>66</v>
      </c>
      <c r="O146" s="5" t="s">
        <v>47</v>
      </c>
      <c r="P146" s="5" t="s">
        <v>61</v>
      </c>
      <c r="Q146" s="5" t="s">
        <v>53</v>
      </c>
      <c r="R146" s="5" t="s">
        <v>71</v>
      </c>
      <c r="S146" s="5" t="s">
        <v>74</v>
      </c>
      <c r="T146" s="1">
        <v>5</v>
      </c>
      <c r="U146" s="1">
        <v>5</v>
      </c>
      <c r="V146" s="1">
        <v>44</v>
      </c>
    </row>
    <row r="147" spans="1:22" ht="28.8" x14ac:dyDescent="0.3">
      <c r="A147" s="3">
        <v>132</v>
      </c>
      <c r="B147" s="4"/>
      <c r="C147" s="6" t="s">
        <v>115</v>
      </c>
      <c r="D147" s="5"/>
      <c r="E147" s="5"/>
      <c r="F147" s="5" t="s">
        <v>69</v>
      </c>
      <c r="G147" s="5" t="s">
        <v>55</v>
      </c>
      <c r="H147" s="5" t="s">
        <v>62</v>
      </c>
      <c r="I147" s="5" t="s">
        <v>56</v>
      </c>
      <c r="J147" s="5" t="s">
        <v>57</v>
      </c>
      <c r="K147" s="5" t="s">
        <v>208</v>
      </c>
      <c r="L147" s="5" t="s">
        <v>68</v>
      </c>
      <c r="M147" s="5" t="s">
        <v>207</v>
      </c>
      <c r="N147" s="5" t="s">
        <v>66</v>
      </c>
      <c r="O147" s="5" t="s">
        <v>47</v>
      </c>
      <c r="P147" s="5" t="s">
        <v>61</v>
      </c>
      <c r="Q147" s="5" t="s">
        <v>53</v>
      </c>
      <c r="R147" s="5" t="s">
        <v>71</v>
      </c>
      <c r="S147" s="5" t="s">
        <v>74</v>
      </c>
      <c r="T147" s="1">
        <v>5</v>
      </c>
      <c r="U147" s="1">
        <v>5</v>
      </c>
      <c r="V147" s="1">
        <v>44</v>
      </c>
    </row>
    <row r="148" spans="1:22" ht="28.8" x14ac:dyDescent="0.3">
      <c r="A148" s="3">
        <v>133</v>
      </c>
      <c r="B148" s="4"/>
      <c r="C148" s="6" t="s">
        <v>182</v>
      </c>
      <c r="D148" s="5"/>
      <c r="E148" s="5"/>
      <c r="F148" s="5" t="s">
        <v>69</v>
      </c>
      <c r="G148" s="5" t="s">
        <v>75</v>
      </c>
      <c r="H148" s="5" t="s">
        <v>62</v>
      </c>
      <c r="I148" s="5" t="s">
        <v>56</v>
      </c>
      <c r="J148" s="5" t="s">
        <v>57</v>
      </c>
      <c r="K148" s="5" t="s">
        <v>51</v>
      </c>
      <c r="L148" s="5" t="s">
        <v>68</v>
      </c>
      <c r="M148" s="5" t="s">
        <v>72</v>
      </c>
      <c r="N148" s="5" t="s">
        <v>65</v>
      </c>
      <c r="O148" s="5" t="s">
        <v>64</v>
      </c>
      <c r="P148" s="5" t="s">
        <v>61</v>
      </c>
      <c r="Q148" s="5" t="s">
        <v>59</v>
      </c>
      <c r="R148" s="5" t="s">
        <v>209</v>
      </c>
      <c r="S148" s="5" t="s">
        <v>48</v>
      </c>
      <c r="T148" s="1">
        <v>5</v>
      </c>
      <c r="U148" s="1">
        <v>5</v>
      </c>
      <c r="V148" s="1">
        <v>44</v>
      </c>
    </row>
    <row r="149" spans="1:22" ht="28.8" x14ac:dyDescent="0.3">
      <c r="A149" s="3">
        <v>134</v>
      </c>
      <c r="B149" s="4"/>
      <c r="C149" s="6" t="s">
        <v>112</v>
      </c>
      <c r="D149" s="5"/>
      <c r="E149" s="5"/>
      <c r="F149" s="5" t="s">
        <v>69</v>
      </c>
      <c r="G149" s="5" t="s">
        <v>75</v>
      </c>
      <c r="H149" s="5" t="s">
        <v>62</v>
      </c>
      <c r="I149" s="5" t="s">
        <v>73</v>
      </c>
      <c r="J149" s="5" t="s">
        <v>63</v>
      </c>
      <c r="K149" s="5" t="s">
        <v>208</v>
      </c>
      <c r="L149" s="5" t="s">
        <v>58</v>
      </c>
      <c r="M149" s="5" t="s">
        <v>72</v>
      </c>
      <c r="N149" s="5" t="s">
        <v>65</v>
      </c>
      <c r="O149" s="5" t="s">
        <v>47</v>
      </c>
      <c r="P149" s="5" t="s">
        <v>61</v>
      </c>
      <c r="Q149" s="5" t="s">
        <v>59</v>
      </c>
      <c r="R149" s="5" t="s">
        <v>71</v>
      </c>
      <c r="S149" s="5" t="s">
        <v>74</v>
      </c>
      <c r="T149" s="1">
        <v>5</v>
      </c>
      <c r="U149" s="1">
        <v>5</v>
      </c>
      <c r="V149" s="1">
        <v>44</v>
      </c>
    </row>
    <row r="150" spans="1:22" x14ac:dyDescent="0.3">
      <c r="A150" s="3">
        <v>135</v>
      </c>
      <c r="B150" s="4"/>
      <c r="C150" s="6" t="s">
        <v>7</v>
      </c>
      <c r="D150" s="5"/>
      <c r="E150" s="5"/>
      <c r="F150" s="5" t="s">
        <v>69</v>
      </c>
      <c r="G150" s="5" t="s">
        <v>55</v>
      </c>
      <c r="H150" s="5" t="s">
        <v>62</v>
      </c>
      <c r="I150" s="5" t="s">
        <v>56</v>
      </c>
      <c r="J150" s="5" t="s">
        <v>57</v>
      </c>
      <c r="K150" s="5" t="s">
        <v>51</v>
      </c>
      <c r="L150" s="5" t="s">
        <v>68</v>
      </c>
      <c r="M150" s="5" t="s">
        <v>207</v>
      </c>
      <c r="N150" s="5" t="s">
        <v>66</v>
      </c>
      <c r="O150" s="5" t="s">
        <v>47</v>
      </c>
      <c r="P150" s="5" t="s">
        <v>61</v>
      </c>
      <c r="Q150" s="5" t="s">
        <v>53</v>
      </c>
      <c r="R150" s="5" t="s">
        <v>209</v>
      </c>
      <c r="S150" s="5" t="s">
        <v>74</v>
      </c>
      <c r="T150" s="1">
        <v>5</v>
      </c>
      <c r="U150" s="1">
        <v>5</v>
      </c>
      <c r="V150" s="1">
        <v>43</v>
      </c>
    </row>
    <row r="151" spans="1:22" ht="28.8" x14ac:dyDescent="0.3">
      <c r="A151" s="3">
        <v>136</v>
      </c>
      <c r="B151" s="4"/>
      <c r="C151" s="6" t="s">
        <v>32</v>
      </c>
      <c r="D151" s="5"/>
      <c r="E151" s="5"/>
      <c r="F151" s="5" t="s">
        <v>69</v>
      </c>
      <c r="G151" s="5" t="s">
        <v>75</v>
      </c>
      <c r="H151" s="5" t="s">
        <v>50</v>
      </c>
      <c r="I151" s="5" t="s">
        <v>73</v>
      </c>
      <c r="J151" s="5" t="s">
        <v>63</v>
      </c>
      <c r="K151" s="5" t="s">
        <v>208</v>
      </c>
      <c r="L151" s="5" t="s">
        <v>68</v>
      </c>
      <c r="M151" s="5" t="s">
        <v>207</v>
      </c>
      <c r="N151" s="5" t="s">
        <v>65</v>
      </c>
      <c r="O151" s="5" t="s">
        <v>47</v>
      </c>
      <c r="P151" s="5" t="s">
        <v>61</v>
      </c>
      <c r="Q151" s="5" t="s">
        <v>59</v>
      </c>
      <c r="R151" s="5" t="s">
        <v>209</v>
      </c>
      <c r="S151" s="5" t="s">
        <v>74</v>
      </c>
      <c r="T151" s="1">
        <v>5</v>
      </c>
      <c r="U151" s="1">
        <v>5</v>
      </c>
      <c r="V151" s="1">
        <v>42</v>
      </c>
    </row>
    <row r="152" spans="1:22" ht="28.8" x14ac:dyDescent="0.3">
      <c r="A152" s="3">
        <v>137</v>
      </c>
      <c r="B152" s="4"/>
      <c r="C152" s="6" t="s">
        <v>167</v>
      </c>
      <c r="D152" s="5"/>
      <c r="E152" s="5"/>
      <c r="F152" s="5" t="s">
        <v>69</v>
      </c>
      <c r="G152" s="5" t="s">
        <v>75</v>
      </c>
      <c r="H152" s="5" t="s">
        <v>50</v>
      </c>
      <c r="I152" s="5" t="s">
        <v>73</v>
      </c>
      <c r="J152" s="5" t="s">
        <v>63</v>
      </c>
      <c r="K152" s="5" t="s">
        <v>208</v>
      </c>
      <c r="L152" s="5" t="s">
        <v>58</v>
      </c>
      <c r="M152" s="5" t="s">
        <v>207</v>
      </c>
      <c r="N152" s="5" t="s">
        <v>65</v>
      </c>
      <c r="O152" s="5" t="s">
        <v>64</v>
      </c>
      <c r="P152" s="5" t="s">
        <v>70</v>
      </c>
      <c r="Q152" s="5" t="s">
        <v>53</v>
      </c>
      <c r="R152" s="5" t="s">
        <v>209</v>
      </c>
      <c r="S152" s="5" t="s">
        <v>74</v>
      </c>
      <c r="T152" s="1">
        <v>5</v>
      </c>
      <c r="U152" s="1">
        <v>5</v>
      </c>
      <c r="V152" s="1">
        <v>42</v>
      </c>
    </row>
    <row r="153" spans="1:22" ht="28.8" x14ac:dyDescent="0.3">
      <c r="A153" s="3">
        <v>138</v>
      </c>
      <c r="B153" s="4"/>
      <c r="C153" s="6" t="s">
        <v>36</v>
      </c>
      <c r="D153" s="5"/>
      <c r="E153" s="5"/>
      <c r="F153" s="5" t="s">
        <v>67</v>
      </c>
      <c r="G153" s="5" t="s">
        <v>75</v>
      </c>
      <c r="H153" s="5" t="s">
        <v>62</v>
      </c>
      <c r="I153" s="5" t="s">
        <v>73</v>
      </c>
      <c r="J153" s="5" t="s">
        <v>57</v>
      </c>
      <c r="K153" s="5" t="s">
        <v>208</v>
      </c>
      <c r="L153" s="5" t="s">
        <v>58</v>
      </c>
      <c r="M153" s="5" t="s">
        <v>72</v>
      </c>
      <c r="N153" s="5" t="s">
        <v>65</v>
      </c>
      <c r="O153" s="5" t="s">
        <v>64</v>
      </c>
      <c r="P153" s="5" t="s">
        <v>61</v>
      </c>
      <c r="Q153" s="5" t="s">
        <v>53</v>
      </c>
      <c r="R153" s="5" t="s">
        <v>71</v>
      </c>
      <c r="S153" s="5" t="s">
        <v>48</v>
      </c>
      <c r="T153" s="1">
        <v>5</v>
      </c>
      <c r="U153" s="1">
        <v>5</v>
      </c>
      <c r="V153" s="1">
        <v>42</v>
      </c>
    </row>
    <row r="154" spans="1:22" ht="28.8" x14ac:dyDescent="0.3">
      <c r="A154" s="3">
        <v>139</v>
      </c>
      <c r="B154" s="4"/>
      <c r="C154" s="6" t="s">
        <v>179</v>
      </c>
      <c r="D154" s="5"/>
      <c r="E154" s="5"/>
      <c r="F154" s="5" t="s">
        <v>69</v>
      </c>
      <c r="G154" s="5" t="s">
        <v>75</v>
      </c>
      <c r="H154" s="5" t="s">
        <v>62</v>
      </c>
      <c r="I154" s="5" t="s">
        <v>73</v>
      </c>
      <c r="J154" s="5" t="s">
        <v>57</v>
      </c>
      <c r="K154" s="5" t="s">
        <v>208</v>
      </c>
      <c r="L154" s="5" t="s">
        <v>58</v>
      </c>
      <c r="M154" s="5" t="s">
        <v>207</v>
      </c>
      <c r="N154" s="5" t="s">
        <v>66</v>
      </c>
      <c r="O154" s="5" t="s">
        <v>64</v>
      </c>
      <c r="P154" s="5" t="s">
        <v>70</v>
      </c>
      <c r="Q154" s="5" t="s">
        <v>53</v>
      </c>
      <c r="R154" s="5" t="s">
        <v>71</v>
      </c>
      <c r="S154" s="5" t="s">
        <v>48</v>
      </c>
      <c r="T154" s="1">
        <v>5</v>
      </c>
      <c r="U154" s="1">
        <v>5</v>
      </c>
      <c r="V154" s="1">
        <v>41</v>
      </c>
    </row>
    <row r="155" spans="1:22" x14ac:dyDescent="0.3">
      <c r="A155" s="3">
        <v>140</v>
      </c>
      <c r="B155" s="4"/>
      <c r="C155" s="6" t="s">
        <v>136</v>
      </c>
      <c r="D155" s="5"/>
      <c r="E155" s="5"/>
      <c r="F155" s="5" t="s">
        <v>69</v>
      </c>
      <c r="G155" s="5" t="s">
        <v>55</v>
      </c>
      <c r="H155" s="5" t="s">
        <v>62</v>
      </c>
      <c r="I155" s="5" t="s">
        <v>56</v>
      </c>
      <c r="J155" s="5" t="s">
        <v>57</v>
      </c>
      <c r="K155" s="5" t="s">
        <v>208</v>
      </c>
      <c r="L155" s="5" t="s">
        <v>58</v>
      </c>
      <c r="M155" s="5" t="s">
        <v>72</v>
      </c>
      <c r="N155" s="5" t="s">
        <v>66</v>
      </c>
      <c r="O155" s="5" t="s">
        <v>47</v>
      </c>
      <c r="P155" s="5" t="s">
        <v>61</v>
      </c>
      <c r="Q155" s="5" t="s">
        <v>59</v>
      </c>
      <c r="R155" s="5" t="s">
        <v>209</v>
      </c>
      <c r="S155" s="5" t="s">
        <v>74</v>
      </c>
      <c r="T155" s="1">
        <v>5</v>
      </c>
      <c r="U155" s="1">
        <v>5</v>
      </c>
      <c r="V155" s="1">
        <v>41</v>
      </c>
    </row>
    <row r="156" spans="1:22" ht="28.8" x14ac:dyDescent="0.3">
      <c r="A156" s="3">
        <v>141</v>
      </c>
      <c r="B156" s="4"/>
      <c r="C156" s="6" t="s">
        <v>116</v>
      </c>
      <c r="D156" s="5"/>
      <c r="E156" s="5"/>
      <c r="F156" s="5" t="s">
        <v>67</v>
      </c>
      <c r="G156" s="5" t="s">
        <v>75</v>
      </c>
      <c r="H156" s="5" t="s">
        <v>50</v>
      </c>
      <c r="I156" s="5" t="s">
        <v>73</v>
      </c>
      <c r="J156" s="5" t="s">
        <v>57</v>
      </c>
      <c r="K156" s="5" t="s">
        <v>208</v>
      </c>
      <c r="L156" s="5" t="s">
        <v>58</v>
      </c>
      <c r="M156" s="5" t="s">
        <v>72</v>
      </c>
      <c r="N156" s="5" t="s">
        <v>66</v>
      </c>
      <c r="O156" s="5" t="s">
        <v>64</v>
      </c>
      <c r="P156" s="5" t="s">
        <v>70</v>
      </c>
      <c r="Q156" s="5" t="s">
        <v>59</v>
      </c>
      <c r="R156" s="5" t="s">
        <v>209</v>
      </c>
      <c r="S156" s="5" t="s">
        <v>74</v>
      </c>
      <c r="T156" s="1">
        <v>5</v>
      </c>
      <c r="U156" s="1">
        <v>5</v>
      </c>
      <c r="V156" s="1">
        <v>40</v>
      </c>
    </row>
    <row r="157" spans="1:22" x14ac:dyDescent="0.3">
      <c r="A157" s="3">
        <v>142</v>
      </c>
      <c r="B157" s="4"/>
      <c r="C157" s="6" t="s">
        <v>130</v>
      </c>
      <c r="D157" s="5"/>
      <c r="E157" s="5"/>
      <c r="F157" s="5" t="s">
        <v>69</v>
      </c>
      <c r="G157" s="5" t="s">
        <v>55</v>
      </c>
      <c r="H157" s="5" t="s">
        <v>62</v>
      </c>
      <c r="I157" s="5" t="s">
        <v>56</v>
      </c>
      <c r="J157" s="5" t="s">
        <v>63</v>
      </c>
      <c r="K157" s="5" t="s">
        <v>51</v>
      </c>
      <c r="L157" s="5" t="s">
        <v>68</v>
      </c>
      <c r="M157" s="5" t="s">
        <v>207</v>
      </c>
      <c r="N157" s="5" t="s">
        <v>66</v>
      </c>
      <c r="O157" s="5" t="s">
        <v>64</v>
      </c>
      <c r="P157" s="5" t="s">
        <v>70</v>
      </c>
      <c r="Q157" s="5" t="s">
        <v>53</v>
      </c>
      <c r="R157" s="5" t="s">
        <v>209</v>
      </c>
      <c r="S157" s="5" t="s">
        <v>74</v>
      </c>
      <c r="T157" s="1">
        <v>5</v>
      </c>
      <c r="U157" s="1">
        <v>5</v>
      </c>
      <c r="V157" s="1">
        <v>39</v>
      </c>
    </row>
    <row r="158" spans="1:22" ht="28.8" x14ac:dyDescent="0.3">
      <c r="A158" s="3">
        <v>143</v>
      </c>
      <c r="B158" s="4"/>
      <c r="C158" s="6" t="s">
        <v>184</v>
      </c>
      <c r="D158" s="5"/>
      <c r="E158" s="5"/>
      <c r="F158" s="5" t="s">
        <v>69</v>
      </c>
      <c r="G158" s="5" t="s">
        <v>55</v>
      </c>
      <c r="H158" s="5" t="s">
        <v>62</v>
      </c>
      <c r="I158" s="5" t="s">
        <v>56</v>
      </c>
      <c r="J158" s="5" t="s">
        <v>57</v>
      </c>
      <c r="K158" s="5" t="s">
        <v>208</v>
      </c>
      <c r="L158" s="5" t="s">
        <v>68</v>
      </c>
      <c r="M158" s="5" t="s">
        <v>207</v>
      </c>
      <c r="N158" s="5" t="s">
        <v>66</v>
      </c>
      <c r="O158" s="5" t="s">
        <v>47</v>
      </c>
      <c r="P158" s="5" t="s">
        <v>61</v>
      </c>
      <c r="Q158" s="5" t="s">
        <v>53</v>
      </c>
      <c r="R158" s="5" t="s">
        <v>71</v>
      </c>
      <c r="S158" s="5" t="s">
        <v>74</v>
      </c>
      <c r="T158" s="1">
        <v>5</v>
      </c>
      <c r="U158" s="1">
        <v>5</v>
      </c>
      <c r="V158" s="1">
        <v>38</v>
      </c>
    </row>
    <row r="159" spans="1:22" ht="28.8" x14ac:dyDescent="0.3">
      <c r="A159" s="3">
        <v>144</v>
      </c>
      <c r="B159" s="4"/>
      <c r="C159" s="6" t="s">
        <v>134</v>
      </c>
      <c r="D159" s="5"/>
      <c r="E159" s="5"/>
      <c r="F159" s="5" t="s">
        <v>67</v>
      </c>
      <c r="G159" s="5" t="s">
        <v>75</v>
      </c>
      <c r="H159" s="5" t="s">
        <v>62</v>
      </c>
      <c r="I159" s="5" t="s">
        <v>73</v>
      </c>
      <c r="J159" s="5" t="s">
        <v>57</v>
      </c>
      <c r="K159" s="5" t="s">
        <v>208</v>
      </c>
      <c r="L159" s="5" t="s">
        <v>68</v>
      </c>
      <c r="M159" s="5" t="s">
        <v>72</v>
      </c>
      <c r="N159" s="5" t="s">
        <v>66</v>
      </c>
      <c r="O159" s="5" t="s">
        <v>47</v>
      </c>
      <c r="P159" s="5" t="s">
        <v>70</v>
      </c>
      <c r="Q159" s="5" t="s">
        <v>59</v>
      </c>
      <c r="R159" s="5" t="s">
        <v>209</v>
      </c>
      <c r="S159" s="5" t="s">
        <v>48</v>
      </c>
      <c r="T159" s="1">
        <v>5</v>
      </c>
      <c r="U159" s="1">
        <v>5</v>
      </c>
      <c r="V159" s="1">
        <v>37</v>
      </c>
    </row>
    <row r="160" spans="1:22" ht="28.8" x14ac:dyDescent="0.3">
      <c r="A160" s="3">
        <v>145</v>
      </c>
      <c r="B160" s="4"/>
      <c r="C160" s="6" t="s">
        <v>191</v>
      </c>
      <c r="D160" s="5"/>
      <c r="E160" s="5"/>
      <c r="F160" s="5" t="s">
        <v>67</v>
      </c>
      <c r="G160" s="5" t="s">
        <v>75</v>
      </c>
      <c r="H160" s="5" t="s">
        <v>62</v>
      </c>
      <c r="I160" s="5" t="s">
        <v>73</v>
      </c>
      <c r="J160" s="5" t="s">
        <v>63</v>
      </c>
      <c r="K160" s="5" t="s">
        <v>208</v>
      </c>
      <c r="L160" s="5" t="s">
        <v>68</v>
      </c>
      <c r="M160" s="5" t="s">
        <v>207</v>
      </c>
      <c r="N160" s="5" t="s">
        <v>66</v>
      </c>
      <c r="O160" s="5" t="s">
        <v>64</v>
      </c>
      <c r="P160" s="5" t="s">
        <v>70</v>
      </c>
      <c r="Q160" s="5" t="s">
        <v>53</v>
      </c>
      <c r="R160" s="5" t="s">
        <v>71</v>
      </c>
      <c r="S160" s="5" t="s">
        <v>74</v>
      </c>
      <c r="T160" s="1">
        <v>4</v>
      </c>
      <c r="U160" s="1">
        <v>4</v>
      </c>
      <c r="V160" s="1">
        <v>51</v>
      </c>
    </row>
    <row r="161" spans="1:22" x14ac:dyDescent="0.3">
      <c r="A161" s="3">
        <v>146</v>
      </c>
      <c r="B161" s="4"/>
      <c r="C161" s="6" t="s">
        <v>109</v>
      </c>
      <c r="D161" s="5"/>
      <c r="E161" s="5"/>
      <c r="F161" s="5" t="s">
        <v>67</v>
      </c>
      <c r="G161" s="5" t="s">
        <v>75</v>
      </c>
      <c r="H161" s="5" t="s">
        <v>62</v>
      </c>
      <c r="I161" s="5" t="s">
        <v>73</v>
      </c>
      <c r="J161" s="5" t="s">
        <v>63</v>
      </c>
      <c r="K161" s="5" t="s">
        <v>208</v>
      </c>
      <c r="L161" s="5" t="s">
        <v>68</v>
      </c>
      <c r="M161" s="5" t="s">
        <v>72</v>
      </c>
      <c r="N161" s="5" t="s">
        <v>66</v>
      </c>
      <c r="O161" s="5" t="s">
        <v>64</v>
      </c>
      <c r="P161" s="5" t="s">
        <v>61</v>
      </c>
      <c r="Q161" s="5" t="s">
        <v>59</v>
      </c>
      <c r="R161" s="5" t="s">
        <v>71</v>
      </c>
      <c r="S161" s="5" t="s">
        <v>48</v>
      </c>
      <c r="T161" s="1">
        <v>4</v>
      </c>
      <c r="U161" s="1">
        <v>4</v>
      </c>
      <c r="V161" s="1">
        <v>48</v>
      </c>
    </row>
    <row r="162" spans="1:22" x14ac:dyDescent="0.3">
      <c r="A162" s="3">
        <v>147</v>
      </c>
      <c r="B162" s="4"/>
      <c r="C162" s="6" t="s">
        <v>187</v>
      </c>
      <c r="D162" s="5"/>
      <c r="E162" s="5"/>
      <c r="F162" s="5" t="s">
        <v>67</v>
      </c>
      <c r="G162" s="5" t="s">
        <v>75</v>
      </c>
      <c r="H162" s="5" t="s">
        <v>50</v>
      </c>
      <c r="I162" s="5" t="s">
        <v>56</v>
      </c>
      <c r="J162" s="5" t="s">
        <v>63</v>
      </c>
      <c r="K162" s="5" t="s">
        <v>208</v>
      </c>
      <c r="L162" s="5" t="s">
        <v>58</v>
      </c>
      <c r="M162" s="5" t="s">
        <v>72</v>
      </c>
      <c r="N162" s="5" t="s">
        <v>66</v>
      </c>
      <c r="O162" s="5" t="s">
        <v>64</v>
      </c>
      <c r="P162" s="5" t="s">
        <v>61</v>
      </c>
      <c r="Q162" s="5" t="s">
        <v>53</v>
      </c>
      <c r="R162" s="5" t="s">
        <v>209</v>
      </c>
      <c r="S162" s="5" t="s">
        <v>74</v>
      </c>
      <c r="T162" s="1">
        <v>4</v>
      </c>
      <c r="U162" s="1">
        <v>4</v>
      </c>
      <c r="V162" s="1">
        <v>47</v>
      </c>
    </row>
    <row r="163" spans="1:22" ht="28.8" x14ac:dyDescent="0.3">
      <c r="A163" s="3">
        <v>148</v>
      </c>
      <c r="B163" s="4"/>
      <c r="C163" s="6" t="s">
        <v>160</v>
      </c>
      <c r="D163" s="5"/>
      <c r="E163" s="5"/>
      <c r="F163" s="5" t="s">
        <v>69</v>
      </c>
      <c r="G163" s="5" t="s">
        <v>55</v>
      </c>
      <c r="H163" s="5" t="s">
        <v>62</v>
      </c>
      <c r="I163" s="5" t="s">
        <v>56</v>
      </c>
      <c r="J163" s="5" t="s">
        <v>57</v>
      </c>
      <c r="K163" s="5" t="s">
        <v>208</v>
      </c>
      <c r="L163" s="5" t="s">
        <v>68</v>
      </c>
      <c r="M163" s="5" t="s">
        <v>207</v>
      </c>
      <c r="N163" s="5" t="s">
        <v>65</v>
      </c>
      <c r="O163" s="5" t="s">
        <v>64</v>
      </c>
      <c r="P163" s="5" t="s">
        <v>61</v>
      </c>
      <c r="Q163" s="5" t="s">
        <v>53</v>
      </c>
      <c r="R163" s="5" t="s">
        <v>209</v>
      </c>
      <c r="S163" s="5" t="s">
        <v>74</v>
      </c>
      <c r="T163" s="1">
        <v>4</v>
      </c>
      <c r="U163" s="1">
        <v>4</v>
      </c>
      <c r="V163" s="1">
        <v>45</v>
      </c>
    </row>
    <row r="164" spans="1:22" ht="28.8" x14ac:dyDescent="0.3">
      <c r="A164" s="3">
        <v>149</v>
      </c>
      <c r="B164" s="4"/>
      <c r="C164" s="6" t="s">
        <v>20</v>
      </c>
      <c r="D164" s="5"/>
      <c r="E164" s="5"/>
      <c r="F164" s="5" t="s">
        <v>69</v>
      </c>
      <c r="G164" s="5" t="s">
        <v>75</v>
      </c>
      <c r="H164" s="5" t="s">
        <v>62</v>
      </c>
      <c r="I164" s="5" t="s">
        <v>73</v>
      </c>
      <c r="J164" s="5" t="s">
        <v>57</v>
      </c>
      <c r="K164" s="5" t="s">
        <v>208</v>
      </c>
      <c r="L164" s="5" t="s">
        <v>68</v>
      </c>
      <c r="M164" s="5" t="s">
        <v>72</v>
      </c>
      <c r="N164" s="5" t="s">
        <v>66</v>
      </c>
      <c r="O164" s="5" t="s">
        <v>47</v>
      </c>
      <c r="P164" s="5" t="s">
        <v>61</v>
      </c>
      <c r="Q164" s="5" t="s">
        <v>59</v>
      </c>
      <c r="R164" s="5" t="s">
        <v>71</v>
      </c>
      <c r="S164" s="5" t="s">
        <v>48</v>
      </c>
      <c r="T164" s="1">
        <v>4</v>
      </c>
      <c r="U164" s="1">
        <v>4</v>
      </c>
      <c r="V164" s="1">
        <v>45</v>
      </c>
    </row>
    <row r="165" spans="1:22" x14ac:dyDescent="0.3">
      <c r="A165" s="3">
        <v>150</v>
      </c>
      <c r="B165" s="4"/>
      <c r="C165" s="6" t="s">
        <v>85</v>
      </c>
      <c r="D165" s="5"/>
      <c r="E165" s="5"/>
      <c r="F165" s="5" t="s">
        <v>69</v>
      </c>
      <c r="G165" s="5" t="s">
        <v>55</v>
      </c>
      <c r="H165" s="5" t="s">
        <v>62</v>
      </c>
      <c r="I165" s="5" t="s">
        <v>73</v>
      </c>
      <c r="J165" s="5" t="s">
        <v>57</v>
      </c>
      <c r="K165" s="5" t="s">
        <v>208</v>
      </c>
      <c r="L165" s="5" t="s">
        <v>68</v>
      </c>
      <c r="M165" s="5" t="s">
        <v>72</v>
      </c>
      <c r="N165" s="5" t="s">
        <v>66</v>
      </c>
      <c r="O165" s="5" t="s">
        <v>47</v>
      </c>
      <c r="P165" s="5" t="s">
        <v>61</v>
      </c>
      <c r="Q165" s="5" t="s">
        <v>53</v>
      </c>
      <c r="R165" s="5" t="s">
        <v>71</v>
      </c>
      <c r="S165" s="5" t="s">
        <v>48</v>
      </c>
      <c r="T165" s="1">
        <v>4</v>
      </c>
      <c r="U165" s="1">
        <v>4</v>
      </c>
      <c r="V165" s="1">
        <v>45</v>
      </c>
    </row>
    <row r="166" spans="1:22" ht="28.8" x14ac:dyDescent="0.3">
      <c r="A166" s="3">
        <v>151</v>
      </c>
      <c r="B166" s="4"/>
      <c r="C166" s="6" t="s">
        <v>193</v>
      </c>
      <c r="D166" s="5"/>
      <c r="E166" s="5"/>
      <c r="F166" s="5" t="s">
        <v>69</v>
      </c>
      <c r="G166" s="5" t="s">
        <v>55</v>
      </c>
      <c r="H166" s="5" t="s">
        <v>62</v>
      </c>
      <c r="I166" s="5" t="s">
        <v>73</v>
      </c>
      <c r="J166" s="5" t="s">
        <v>57</v>
      </c>
      <c r="K166" s="5" t="s">
        <v>208</v>
      </c>
      <c r="L166" s="5" t="s">
        <v>68</v>
      </c>
      <c r="M166" s="5" t="s">
        <v>207</v>
      </c>
      <c r="N166" s="5" t="s">
        <v>66</v>
      </c>
      <c r="O166" s="5" t="s">
        <v>47</v>
      </c>
      <c r="P166" s="5" t="s">
        <v>61</v>
      </c>
      <c r="Q166" s="5" t="s">
        <v>59</v>
      </c>
      <c r="R166" s="5" t="s">
        <v>209</v>
      </c>
      <c r="S166" s="5" t="s">
        <v>74</v>
      </c>
      <c r="T166" s="1">
        <v>4</v>
      </c>
      <c r="U166" s="1">
        <v>4</v>
      </c>
      <c r="V166" s="1">
        <v>45</v>
      </c>
    </row>
    <row r="167" spans="1:22" x14ac:dyDescent="0.3">
      <c r="A167" s="3">
        <v>152</v>
      </c>
      <c r="B167" s="4"/>
      <c r="C167" s="6" t="s">
        <v>173</v>
      </c>
      <c r="D167" s="5"/>
      <c r="E167" s="5"/>
      <c r="F167" s="5" t="s">
        <v>69</v>
      </c>
      <c r="G167" s="5" t="s">
        <v>75</v>
      </c>
      <c r="H167" s="5" t="s">
        <v>62</v>
      </c>
      <c r="I167" s="5" t="s">
        <v>73</v>
      </c>
      <c r="J167" s="5" t="s">
        <v>57</v>
      </c>
      <c r="K167" s="5" t="s">
        <v>208</v>
      </c>
      <c r="L167" s="5" t="s">
        <v>58</v>
      </c>
      <c r="M167" s="5" t="s">
        <v>72</v>
      </c>
      <c r="N167" s="5" t="s">
        <v>65</v>
      </c>
      <c r="O167" s="5" t="s">
        <v>64</v>
      </c>
      <c r="P167" s="5" t="s">
        <v>61</v>
      </c>
      <c r="Q167" s="5" t="s">
        <v>59</v>
      </c>
      <c r="R167" s="5" t="s">
        <v>71</v>
      </c>
      <c r="S167" s="5" t="s">
        <v>74</v>
      </c>
      <c r="T167" s="1">
        <v>4</v>
      </c>
      <c r="U167" s="1">
        <v>4</v>
      </c>
      <c r="V167" s="1">
        <v>43</v>
      </c>
    </row>
    <row r="168" spans="1:22" x14ac:dyDescent="0.3">
      <c r="A168" s="3">
        <v>153</v>
      </c>
      <c r="B168" s="4"/>
      <c r="C168" s="6" t="s">
        <v>18</v>
      </c>
      <c r="D168" s="5"/>
      <c r="E168" s="5"/>
      <c r="F168" s="5" t="s">
        <v>69</v>
      </c>
      <c r="G168" s="5" t="s">
        <v>75</v>
      </c>
      <c r="H168" s="5" t="s">
        <v>50</v>
      </c>
      <c r="I168" s="5" t="s">
        <v>73</v>
      </c>
      <c r="J168" s="5" t="s">
        <v>63</v>
      </c>
      <c r="K168" s="5" t="s">
        <v>208</v>
      </c>
      <c r="L168" s="5" t="s">
        <v>68</v>
      </c>
      <c r="M168" s="5" t="s">
        <v>72</v>
      </c>
      <c r="N168" s="5" t="s">
        <v>65</v>
      </c>
      <c r="O168" s="5" t="s">
        <v>64</v>
      </c>
      <c r="P168" s="5" t="s">
        <v>61</v>
      </c>
      <c r="Q168" s="5" t="s">
        <v>53</v>
      </c>
      <c r="R168" s="5" t="s">
        <v>71</v>
      </c>
      <c r="S168" s="5" t="s">
        <v>48</v>
      </c>
      <c r="T168" s="1">
        <v>4</v>
      </c>
      <c r="U168" s="1">
        <v>4</v>
      </c>
      <c r="V168" s="1">
        <v>43</v>
      </c>
    </row>
    <row r="169" spans="1:22" x14ac:dyDescent="0.3">
      <c r="A169" s="3">
        <v>154</v>
      </c>
      <c r="B169" s="4"/>
      <c r="C169" s="6" t="s">
        <v>110</v>
      </c>
      <c r="D169" s="5"/>
      <c r="E169" s="5"/>
      <c r="F169" s="5" t="s">
        <v>69</v>
      </c>
      <c r="G169" s="5" t="s">
        <v>55</v>
      </c>
      <c r="H169" s="5" t="s">
        <v>62</v>
      </c>
      <c r="I169" s="5" t="s">
        <v>73</v>
      </c>
      <c r="J169" s="5" t="s">
        <v>57</v>
      </c>
      <c r="K169" s="5" t="s">
        <v>208</v>
      </c>
      <c r="L169" s="5" t="s">
        <v>68</v>
      </c>
      <c r="M169" s="5" t="s">
        <v>72</v>
      </c>
      <c r="N169" s="5" t="s">
        <v>66</v>
      </c>
      <c r="O169" s="5" t="s">
        <v>64</v>
      </c>
      <c r="P169" s="5" t="s">
        <v>70</v>
      </c>
      <c r="Q169" s="5" t="s">
        <v>59</v>
      </c>
      <c r="R169" s="5" t="s">
        <v>71</v>
      </c>
      <c r="S169" s="5" t="s">
        <v>74</v>
      </c>
      <c r="T169" s="1">
        <v>4</v>
      </c>
      <c r="U169" s="1">
        <v>4</v>
      </c>
      <c r="V169" s="1">
        <v>42</v>
      </c>
    </row>
    <row r="170" spans="1:22" ht="28.8" x14ac:dyDescent="0.3">
      <c r="A170" s="3">
        <v>155</v>
      </c>
      <c r="B170" s="4"/>
      <c r="C170" s="6" t="s">
        <v>41</v>
      </c>
      <c r="D170" s="5"/>
      <c r="E170" s="5"/>
      <c r="F170" s="5" t="s">
        <v>67</v>
      </c>
      <c r="G170" s="5" t="s">
        <v>55</v>
      </c>
      <c r="H170" s="5" t="s">
        <v>50</v>
      </c>
      <c r="I170" s="5" t="s">
        <v>73</v>
      </c>
      <c r="J170" s="5" t="s">
        <v>63</v>
      </c>
      <c r="K170" s="5" t="s">
        <v>208</v>
      </c>
      <c r="L170" s="5" t="s">
        <v>68</v>
      </c>
      <c r="M170" s="5" t="s">
        <v>72</v>
      </c>
      <c r="N170" s="5" t="s">
        <v>66</v>
      </c>
      <c r="O170" s="5" t="s">
        <v>64</v>
      </c>
      <c r="P170" s="5" t="s">
        <v>61</v>
      </c>
      <c r="Q170" s="5" t="s">
        <v>53</v>
      </c>
      <c r="R170" s="5" t="s">
        <v>209</v>
      </c>
      <c r="S170" s="5" t="s">
        <v>48</v>
      </c>
      <c r="T170" s="1">
        <v>4</v>
      </c>
      <c r="U170" s="1">
        <v>4</v>
      </c>
      <c r="V170" s="1">
        <v>37</v>
      </c>
    </row>
    <row r="171" spans="1:22" x14ac:dyDescent="0.3">
      <c r="A171" s="3">
        <v>156</v>
      </c>
      <c r="B171" s="4"/>
      <c r="C171" s="6" t="s">
        <v>43</v>
      </c>
      <c r="D171" s="5"/>
      <c r="E171" s="5"/>
      <c r="F171" s="5" t="s">
        <v>69</v>
      </c>
      <c r="G171" s="5" t="s">
        <v>75</v>
      </c>
      <c r="H171" s="5" t="s">
        <v>62</v>
      </c>
      <c r="I171" s="5" t="s">
        <v>73</v>
      </c>
      <c r="J171" s="5" t="s">
        <v>57</v>
      </c>
      <c r="K171" s="5" t="s">
        <v>51</v>
      </c>
      <c r="L171" s="5" t="s">
        <v>58</v>
      </c>
      <c r="M171" s="5" t="s">
        <v>72</v>
      </c>
      <c r="N171" s="5" t="s">
        <v>66</v>
      </c>
      <c r="O171" s="5" t="s">
        <v>47</v>
      </c>
      <c r="P171" s="5" t="s">
        <v>61</v>
      </c>
      <c r="Q171" s="5" t="s">
        <v>59</v>
      </c>
      <c r="R171" s="5" t="s">
        <v>209</v>
      </c>
      <c r="S171" s="5" t="s">
        <v>74</v>
      </c>
      <c r="T171" s="1">
        <v>4</v>
      </c>
      <c r="U171" s="1">
        <v>4</v>
      </c>
      <c r="V171" s="1">
        <v>37</v>
      </c>
    </row>
    <row r="172" spans="1:22" x14ac:dyDescent="0.3">
      <c r="A172" s="3">
        <v>157</v>
      </c>
      <c r="B172" s="4"/>
      <c r="C172" s="6" t="s">
        <v>127</v>
      </c>
      <c r="D172" s="5"/>
      <c r="E172" s="5"/>
      <c r="F172" s="5" t="s">
        <v>69</v>
      </c>
      <c r="G172" s="5" t="s">
        <v>75</v>
      </c>
      <c r="H172" s="5" t="s">
        <v>62</v>
      </c>
      <c r="I172" s="5" t="s">
        <v>73</v>
      </c>
      <c r="J172" s="5" t="s">
        <v>57</v>
      </c>
      <c r="K172" s="5" t="s">
        <v>208</v>
      </c>
      <c r="L172" s="5" t="s">
        <v>58</v>
      </c>
      <c r="M172" s="5" t="s">
        <v>72</v>
      </c>
      <c r="N172" s="5" t="s">
        <v>66</v>
      </c>
      <c r="O172" s="5" t="s">
        <v>47</v>
      </c>
      <c r="P172" s="5" t="s">
        <v>61</v>
      </c>
      <c r="Q172" s="5" t="s">
        <v>53</v>
      </c>
      <c r="R172" s="5" t="s">
        <v>71</v>
      </c>
      <c r="S172" s="5" t="s">
        <v>48</v>
      </c>
      <c r="T172" s="1">
        <v>4</v>
      </c>
      <c r="U172" s="1">
        <v>4</v>
      </c>
      <c r="V172" s="1">
        <v>66</v>
      </c>
    </row>
    <row r="173" spans="1:22" x14ac:dyDescent="0.3">
      <c r="A173" s="3">
        <v>158</v>
      </c>
      <c r="B173" s="4"/>
      <c r="C173" s="6" t="s">
        <v>169</v>
      </c>
      <c r="D173" s="5"/>
      <c r="E173" s="5"/>
      <c r="F173" s="5" t="s">
        <v>69</v>
      </c>
      <c r="G173" s="5" t="s">
        <v>55</v>
      </c>
      <c r="H173" s="5" t="s">
        <v>62</v>
      </c>
      <c r="I173" s="5" t="s">
        <v>73</v>
      </c>
      <c r="J173" s="5" t="s">
        <v>63</v>
      </c>
      <c r="K173" s="5" t="s">
        <v>208</v>
      </c>
      <c r="L173" s="5" t="s">
        <v>58</v>
      </c>
      <c r="M173" s="5" t="s">
        <v>207</v>
      </c>
      <c r="N173" s="5" t="s">
        <v>66</v>
      </c>
      <c r="O173" s="5" t="s">
        <v>64</v>
      </c>
      <c r="P173" s="5" t="s">
        <v>70</v>
      </c>
      <c r="Q173" s="5" t="s">
        <v>53</v>
      </c>
      <c r="R173" s="5" t="s">
        <v>209</v>
      </c>
      <c r="S173" s="5" t="s">
        <v>74</v>
      </c>
      <c r="T173" s="1">
        <v>4</v>
      </c>
      <c r="U173" s="1">
        <v>4</v>
      </c>
      <c r="V173" s="1">
        <v>34</v>
      </c>
    </row>
    <row r="174" spans="1:22" x14ac:dyDescent="0.3">
      <c r="A174" s="3">
        <v>159</v>
      </c>
      <c r="B174" s="4"/>
      <c r="C174" s="6" t="s">
        <v>166</v>
      </c>
      <c r="D174" s="5"/>
      <c r="E174" s="5"/>
      <c r="F174" s="5" t="s">
        <v>69</v>
      </c>
      <c r="G174" s="5" t="s">
        <v>75</v>
      </c>
      <c r="H174" s="5" t="s">
        <v>50</v>
      </c>
      <c r="I174" s="5" t="s">
        <v>73</v>
      </c>
      <c r="J174" s="5" t="s">
        <v>57</v>
      </c>
      <c r="K174" s="5" t="s">
        <v>208</v>
      </c>
      <c r="L174" s="5" t="s">
        <v>68</v>
      </c>
      <c r="M174" s="5" t="s">
        <v>72</v>
      </c>
      <c r="N174" s="5" t="s">
        <v>66</v>
      </c>
      <c r="O174" s="5" t="s">
        <v>64</v>
      </c>
      <c r="P174" s="5" t="s">
        <v>61</v>
      </c>
      <c r="Q174" s="5" t="s">
        <v>59</v>
      </c>
      <c r="R174" s="5" t="s">
        <v>71</v>
      </c>
      <c r="S174" s="5" t="s">
        <v>74</v>
      </c>
      <c r="T174" s="1">
        <v>3</v>
      </c>
      <c r="U174" s="1">
        <v>3</v>
      </c>
      <c r="V174" s="1">
        <v>44</v>
      </c>
    </row>
    <row r="175" spans="1:22" x14ac:dyDescent="0.3">
      <c r="A175" s="3">
        <v>160</v>
      </c>
      <c r="B175" s="4"/>
      <c r="C175" s="6" t="s">
        <v>150</v>
      </c>
      <c r="D175" s="5"/>
      <c r="E175" s="5"/>
      <c r="F175" s="5" t="s">
        <v>69</v>
      </c>
      <c r="G175" s="5" t="s">
        <v>75</v>
      </c>
      <c r="H175" s="5" t="s">
        <v>62</v>
      </c>
      <c r="I175" s="5" t="s">
        <v>73</v>
      </c>
      <c r="J175" s="5" t="s">
        <v>57</v>
      </c>
      <c r="K175" s="5" t="s">
        <v>208</v>
      </c>
      <c r="L175" s="5" t="s">
        <v>68</v>
      </c>
      <c r="M175" s="5" t="s">
        <v>207</v>
      </c>
      <c r="N175" s="5" t="s">
        <v>66</v>
      </c>
      <c r="O175" s="5" t="s">
        <v>47</v>
      </c>
      <c r="P175" s="5" t="s">
        <v>61</v>
      </c>
      <c r="Q175" s="5" t="s">
        <v>53</v>
      </c>
      <c r="R175" s="5" t="s">
        <v>71</v>
      </c>
      <c r="S175" s="5" t="s">
        <v>74</v>
      </c>
      <c r="T175" s="1">
        <v>3</v>
      </c>
      <c r="U175" s="1">
        <v>3</v>
      </c>
      <c r="V175" s="1">
        <v>41</v>
      </c>
    </row>
    <row r="176" spans="1:22" ht="28.8" x14ac:dyDescent="0.3">
      <c r="A176" s="3">
        <v>161</v>
      </c>
      <c r="B176" s="4"/>
      <c r="C176" s="6" t="s">
        <v>124</v>
      </c>
      <c r="D176" s="5"/>
      <c r="E176" s="5"/>
      <c r="F176" s="5" t="s">
        <v>67</v>
      </c>
      <c r="G176" s="5" t="s">
        <v>75</v>
      </c>
      <c r="H176" s="5" t="s">
        <v>62</v>
      </c>
      <c r="I176" s="5" t="s">
        <v>73</v>
      </c>
      <c r="J176" s="5" t="s">
        <v>57</v>
      </c>
      <c r="K176" s="5" t="s">
        <v>51</v>
      </c>
      <c r="L176" s="5" t="s">
        <v>68</v>
      </c>
      <c r="M176" s="5" t="s">
        <v>72</v>
      </c>
      <c r="N176" s="5" t="s">
        <v>66</v>
      </c>
      <c r="O176" s="5" t="s">
        <v>64</v>
      </c>
      <c r="P176" s="5" t="s">
        <v>61</v>
      </c>
      <c r="Q176" s="5" t="s">
        <v>53</v>
      </c>
      <c r="R176" s="5" t="s">
        <v>71</v>
      </c>
      <c r="S176" s="5" t="s">
        <v>74</v>
      </c>
      <c r="T176" s="1">
        <v>3</v>
      </c>
      <c r="U176" s="1">
        <v>3</v>
      </c>
      <c r="V176" s="1">
        <v>39</v>
      </c>
    </row>
    <row r="177" spans="1:22" ht="28.8" x14ac:dyDescent="0.3">
      <c r="A177" s="3">
        <v>162</v>
      </c>
      <c r="B177" s="4"/>
      <c r="C177" s="6" t="s">
        <v>175</v>
      </c>
      <c r="D177" s="5"/>
      <c r="E177" s="5"/>
      <c r="F177" s="5" t="s">
        <v>69</v>
      </c>
      <c r="G177" s="5" t="s">
        <v>75</v>
      </c>
      <c r="H177" s="5" t="s">
        <v>62</v>
      </c>
      <c r="I177" s="5" t="s">
        <v>56</v>
      </c>
      <c r="J177" s="5" t="s">
        <v>57</v>
      </c>
      <c r="K177" s="5" t="s">
        <v>208</v>
      </c>
      <c r="L177" s="5" t="s">
        <v>68</v>
      </c>
      <c r="M177" s="5" t="s">
        <v>72</v>
      </c>
      <c r="N177" s="5" t="s">
        <v>66</v>
      </c>
      <c r="O177" s="5" t="s">
        <v>47</v>
      </c>
      <c r="P177" s="5" t="s">
        <v>61</v>
      </c>
      <c r="Q177" s="5" t="s">
        <v>53</v>
      </c>
      <c r="R177" s="5" t="s">
        <v>209</v>
      </c>
      <c r="S177" s="5" t="s">
        <v>74</v>
      </c>
      <c r="T177" s="1">
        <v>2</v>
      </c>
      <c r="U177" s="1">
        <v>2</v>
      </c>
      <c r="V177" s="1">
        <v>43</v>
      </c>
    </row>
    <row r="178" spans="1:22" ht="28.8" x14ac:dyDescent="0.3">
      <c r="A178" s="3">
        <v>163</v>
      </c>
      <c r="B178" s="4"/>
      <c r="C178" s="6" t="s">
        <v>87</v>
      </c>
      <c r="D178" s="5"/>
      <c r="E178" s="5"/>
      <c r="F178" s="5" t="s">
        <v>69</v>
      </c>
      <c r="G178" s="5" t="s">
        <v>55</v>
      </c>
      <c r="H178" s="5" t="s">
        <v>62</v>
      </c>
      <c r="I178" s="5" t="s">
        <v>73</v>
      </c>
      <c r="J178" s="5" t="s">
        <v>63</v>
      </c>
      <c r="K178" s="5" t="s">
        <v>208</v>
      </c>
      <c r="L178" s="5" t="s">
        <v>68</v>
      </c>
      <c r="M178" s="5" t="s">
        <v>72</v>
      </c>
      <c r="N178" s="5" t="s">
        <v>66</v>
      </c>
      <c r="O178" s="5" t="s">
        <v>64</v>
      </c>
      <c r="P178" s="5" t="s">
        <v>61</v>
      </c>
      <c r="Q178" s="5" t="s">
        <v>53</v>
      </c>
      <c r="R178" s="5" t="s">
        <v>209</v>
      </c>
      <c r="S178" s="5" t="s">
        <v>74</v>
      </c>
      <c r="T178" s="1">
        <v>1</v>
      </c>
      <c r="U178" s="1">
        <v>1</v>
      </c>
      <c r="V178" s="1">
        <v>41</v>
      </c>
    </row>
    <row r="179" spans="1:22" x14ac:dyDescent="0.3">
      <c r="A179" s="3"/>
      <c r="B179" s="4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1"/>
      <c r="U179" s="1"/>
      <c r="V179" s="1"/>
    </row>
    <row r="180" spans="1:22" x14ac:dyDescent="0.3">
      <c r="A180" s="3"/>
      <c r="B180" s="4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1"/>
      <c r="U180" s="1"/>
      <c r="V180" s="1"/>
    </row>
    <row r="181" spans="1:22" x14ac:dyDescent="0.3">
      <c r="A181" s="3"/>
      <c r="B181" s="4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1"/>
      <c r="U181" s="1"/>
      <c r="V181" s="1"/>
    </row>
    <row r="182" spans="1:22" x14ac:dyDescent="0.3">
      <c r="A182" s="3"/>
      <c r="B182" s="4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1"/>
      <c r="U182" s="1"/>
      <c r="V182" s="1"/>
    </row>
    <row r="183" spans="1:22" x14ac:dyDescent="0.3">
      <c r="A183" s="3"/>
      <c r="B183" s="4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1"/>
      <c r="U183" s="1"/>
      <c r="V183" s="1"/>
    </row>
    <row r="184" spans="1:22" x14ac:dyDescent="0.3">
      <c r="A184" s="3"/>
      <c r="B184" s="4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1"/>
      <c r="U184" s="1"/>
      <c r="V184" s="1"/>
    </row>
  </sheetData>
  <mergeCells count="4">
    <mergeCell ref="A9:A15"/>
    <mergeCell ref="B9:B15"/>
    <mergeCell ref="T9:T15"/>
    <mergeCell ref="U9:U15"/>
  </mergeCells>
  <conditionalFormatting sqref="E4:S4">
    <cfRule type="colorScale" priority="11">
      <colorScale>
        <cfvo type="min"/>
        <cfvo type="max"/>
        <color rgb="FFFF7128"/>
        <color rgb="FFFFEF9C"/>
      </colorScale>
    </cfRule>
  </conditionalFormatting>
  <conditionalFormatting sqref="E7 S7">
    <cfRule type="cellIs" dxfId="145" priority="9" operator="equal">
      <formula>"Y"</formula>
    </cfRule>
    <cfRule type="cellIs" dxfId="144" priority="10" operator="equal">
      <formula>"N"</formula>
    </cfRule>
  </conditionalFormatting>
  <conditionalFormatting sqref="E2:I3 K2:S3">
    <cfRule type="cellIs" dxfId="143" priority="7" operator="equal">
      <formula>"Y"</formula>
    </cfRule>
    <cfRule type="cellIs" dxfId="142" priority="8" operator="equal">
      <formula>"N"</formula>
    </cfRule>
  </conditionalFormatting>
  <conditionalFormatting sqref="U7">
    <cfRule type="cellIs" dxfId="141" priority="5" operator="equal">
      <formula>"Y"</formula>
    </cfRule>
    <cfRule type="cellIs" dxfId="140" priority="6" operator="equal">
      <formula>"N"</formula>
    </cfRule>
  </conditionalFormatting>
  <conditionalFormatting sqref="F7:S7">
    <cfRule type="cellIs" dxfId="139" priority="3" operator="equal">
      <formula>"Y"</formula>
    </cfRule>
    <cfRule type="cellIs" dxfId="138" priority="4" operator="equal">
      <formula>"N"</formula>
    </cfRule>
  </conditionalFormatting>
  <conditionalFormatting sqref="J2">
    <cfRule type="cellIs" dxfId="137" priority="1" operator="equal">
      <formula>"Y"</formula>
    </cfRule>
    <cfRule type="cellIs" dxfId="136" priority="2" operator="equal">
      <formula>"N"</formula>
    </cfRule>
  </conditionalFormatting>
  <hyperlinks>
    <hyperlink ref="C16" r:id="rId1" display="https://poolhost.com/profootball/playerstats/1659558"/>
    <hyperlink ref="C17" r:id="rId2" display="https://poolhost.com/profootball/playerstats/1732411"/>
    <hyperlink ref="C18" r:id="rId3" display="https://poolhost.com/profootball/playerstats/1668461"/>
    <hyperlink ref="C19" r:id="rId4" display="https://poolhost.com/profootball/playerstats/1694354"/>
    <hyperlink ref="C20" r:id="rId5" display="https://poolhost.com/profootball/playerstats/1668628"/>
    <hyperlink ref="C21" r:id="rId6" display="https://poolhost.com/profootball/playerstats/1673761"/>
    <hyperlink ref="C22" r:id="rId7" display="https://poolhost.com/profootball/playerstats/1666034"/>
    <hyperlink ref="C23" r:id="rId8" display="https://poolhost.com/profootball/playerstats/1682884"/>
    <hyperlink ref="C24" r:id="rId9" display="https://poolhost.com/profootball/playerstats/1686915"/>
    <hyperlink ref="C25" r:id="rId10" display="https://poolhost.com/profootball/playerstats/1654500"/>
    <hyperlink ref="C26" r:id="rId11" display="https://poolhost.com/profootball/playerstats/1708312"/>
    <hyperlink ref="C27" r:id="rId12" display="https://poolhost.com/profootball/playerstats/1695492"/>
    <hyperlink ref="C28" r:id="rId13" display="https://poolhost.com/profootball/playerstats/1663641"/>
    <hyperlink ref="C29" r:id="rId14" display="https://poolhost.com/profootball/playerstats/1679667"/>
    <hyperlink ref="C30" r:id="rId15" display="https://poolhost.com/profootball/playerstats/1730270"/>
    <hyperlink ref="C31" r:id="rId16" display="https://poolhost.com/profootball/playerstats/1727170"/>
    <hyperlink ref="C32" r:id="rId17" display="https://poolhost.com/profootball/playerstats/1727817"/>
    <hyperlink ref="C33" r:id="rId18" display="https://poolhost.com/profootball/playerstats/1733218"/>
    <hyperlink ref="C34" r:id="rId19" display="https://poolhost.com/profootball/playerstats/1708805"/>
    <hyperlink ref="C35" r:id="rId20" display="https://poolhost.com/profootball/playerstats/1723980"/>
    <hyperlink ref="C36" r:id="rId21" display="https://poolhost.com/profootball/playerstats/1705029"/>
    <hyperlink ref="C37" r:id="rId22" display="https://poolhost.com/profootball/playerstats/1731690"/>
    <hyperlink ref="C38" r:id="rId23" display="https://poolhost.com/profootball/playerstats/1732788"/>
    <hyperlink ref="C39" r:id="rId24" display="https://poolhost.com/profootball/playerstats/1696717"/>
    <hyperlink ref="C40" r:id="rId25" display="https://poolhost.com/profootball/playerstats/1657103"/>
    <hyperlink ref="C41" r:id="rId26" display="https://poolhost.com/profootball/playerstats/1697912"/>
    <hyperlink ref="C42" r:id="rId27" display="https://poolhost.com/profootball/playerstats/1673222"/>
    <hyperlink ref="C43" r:id="rId28" display="https://poolhost.com/profootball/playerstats/1702170"/>
    <hyperlink ref="C44" r:id="rId29" display="https://poolhost.com/profootball/playerstats/1705249"/>
    <hyperlink ref="C45" r:id="rId30" display="https://poolhost.com/profootball/playerstats/1722286"/>
    <hyperlink ref="C46" r:id="rId31" display="https://poolhost.com/profootball/playerstats/1721401"/>
    <hyperlink ref="C47" r:id="rId32" display="https://poolhost.com/profootball/playerstats/1676125"/>
    <hyperlink ref="C48" r:id="rId33" display="https://poolhost.com/profootball/playerstats/1662306"/>
    <hyperlink ref="C49" r:id="rId34" display="https://poolhost.com/profootball/playerstats/1731780"/>
    <hyperlink ref="C50" r:id="rId35" display="https://poolhost.com/profootball/playerstats/1694017"/>
    <hyperlink ref="C51" r:id="rId36" display="https://poolhost.com/profootball/playerstats/1665614"/>
    <hyperlink ref="C52" r:id="rId37" display="https://poolhost.com/profootball/playerstats/1708448"/>
    <hyperlink ref="C53" r:id="rId38" display="https://poolhost.com/profootball/playerstats/1686727"/>
    <hyperlink ref="C54" r:id="rId39" display="https://poolhost.com/profootball/playerstats/1670484"/>
    <hyperlink ref="C55" r:id="rId40" display="https://poolhost.com/profootball/playerstats/1721307"/>
    <hyperlink ref="C56" r:id="rId41" display="https://poolhost.com/profootball/playerstats/1673248"/>
    <hyperlink ref="C57" r:id="rId42" display="https://poolhost.com/profootball/playerstats/1684266"/>
    <hyperlink ref="C58" r:id="rId43" display="https://poolhost.com/profootball/playerstats/1695716"/>
    <hyperlink ref="C59" r:id="rId44" display="https://poolhost.com/profootball/playerstats/1728787"/>
    <hyperlink ref="C60" r:id="rId45" display="https://poolhost.com/profootball/playerstats/1655488"/>
    <hyperlink ref="C61" r:id="rId46" display="https://poolhost.com/profootball/playerstats/1699295"/>
    <hyperlink ref="C62" r:id="rId47" display="https://poolhost.com/profootball/playerstats/1677370"/>
    <hyperlink ref="C63" r:id="rId48" display="https://poolhost.com/profootball/playerstats/1678377"/>
    <hyperlink ref="C64" r:id="rId49" display="https://poolhost.com/profootball/playerstats/1708505"/>
    <hyperlink ref="C65" r:id="rId50" display="https://poolhost.com/profootball/playerstats/1669212"/>
    <hyperlink ref="C66" r:id="rId51" display="https://poolhost.com/profootball/playerstats/1665631"/>
    <hyperlink ref="C67" r:id="rId52" display="https://poolhost.com/profootball/playerstats/1732254"/>
    <hyperlink ref="C68" r:id="rId53" display="https://poolhost.com/profootball/playerstats/1657214"/>
    <hyperlink ref="C69" r:id="rId54" display="https://poolhost.com/profootball/playerstats/1729491"/>
    <hyperlink ref="C70" r:id="rId55" display="https://poolhost.com/profootball/playerstats/1679009"/>
    <hyperlink ref="C71" r:id="rId56" display="https://poolhost.com/profootball/playerstats/1681946"/>
    <hyperlink ref="C72" r:id="rId57" display="https://poolhost.com/profootball/playerstats/1661981"/>
    <hyperlink ref="C73" r:id="rId58" display="https://poolhost.com/profootball/playerstats/1678667"/>
    <hyperlink ref="C74" r:id="rId59" display="https://poolhost.com/profootball/playerstats/1668687"/>
    <hyperlink ref="C75" r:id="rId60" display="https://poolhost.com/profootball/playerstats/1729314"/>
    <hyperlink ref="C76" r:id="rId61" display="https://poolhost.com/profootball/playerstats/1705049"/>
    <hyperlink ref="C77" r:id="rId62" display="https://poolhost.com/profootball/playerstats/1665979"/>
    <hyperlink ref="C78" r:id="rId63" display="https://poolhost.com/profootball/playerstats/1657583"/>
    <hyperlink ref="C79" r:id="rId64" display="https://poolhost.com/profootball/playerstats/1657024"/>
    <hyperlink ref="C80" r:id="rId65" display="https://poolhost.com/profootball/playerstats/1699810"/>
    <hyperlink ref="C81" r:id="rId66" display="https://poolhost.com/profootball/playerstats/1704294"/>
    <hyperlink ref="C82" r:id="rId67" display="https://poolhost.com/profootball/playerstats/1654634"/>
    <hyperlink ref="C83" r:id="rId68" display="https://poolhost.com/profootball/playerstats/1700157"/>
    <hyperlink ref="C84" r:id="rId69" display="https://poolhost.com/profootball/playerstats/1654623"/>
    <hyperlink ref="C85" r:id="rId70" display="https://poolhost.com/profootball/playerstats/1725535"/>
    <hyperlink ref="C86" r:id="rId71" display="https://poolhost.com/profootball/playerstats/1701354"/>
    <hyperlink ref="C87" r:id="rId72" display="https://poolhost.com/profootball/playerstats/1659846"/>
    <hyperlink ref="C88" r:id="rId73" display="https://poolhost.com/profootball/playerstats/1659875"/>
    <hyperlink ref="C89" r:id="rId74" display="https://poolhost.com/profootball/playerstats/1665910"/>
    <hyperlink ref="C90" r:id="rId75" display="https://poolhost.com/profootball/playerstats/1654603"/>
    <hyperlink ref="C91" r:id="rId76" display="https://poolhost.com/profootball/playerstats/1703435"/>
    <hyperlink ref="C92" r:id="rId77" display="https://poolhost.com/profootball/playerstats/1662606"/>
    <hyperlink ref="C93" r:id="rId78" display="https://poolhost.com/profootball/playerstats/1674086"/>
    <hyperlink ref="C94" r:id="rId79" display="https://poolhost.com/profootball/playerstats/1668682"/>
    <hyperlink ref="C95" r:id="rId80" display="https://poolhost.com/profootball/playerstats/1709552"/>
    <hyperlink ref="C96" r:id="rId81" display="https://poolhost.com/profootball/playerstats/1655447"/>
    <hyperlink ref="C97" r:id="rId82" display="https://poolhost.com/profootball/playerstats/1685256"/>
    <hyperlink ref="C98" r:id="rId83" display="https://poolhost.com/profootball/playerstats/1667866"/>
    <hyperlink ref="C99" r:id="rId84" display="https://poolhost.com/profootball/playerstats/1731755"/>
    <hyperlink ref="C100" r:id="rId85" display="https://poolhost.com/profootball/playerstats/1654485"/>
    <hyperlink ref="C101" r:id="rId86" display="https://poolhost.com/profootball/playerstats/1701053"/>
    <hyperlink ref="C102" r:id="rId87" display="https://poolhost.com/profootball/playerstats/1729262"/>
    <hyperlink ref="C103" r:id="rId88" display="https://poolhost.com/profootball/playerstats/1661711"/>
    <hyperlink ref="C104" r:id="rId89" display="https://poolhost.com/profootball/playerstats/1680041"/>
    <hyperlink ref="C105" r:id="rId90" display="https://poolhost.com/profootball/playerstats/1724223"/>
    <hyperlink ref="C106" r:id="rId91" display="https://poolhost.com/profootball/playerstats/1732953"/>
    <hyperlink ref="C107" r:id="rId92" display="https://poolhost.com/profootball/playerstats/1709781"/>
    <hyperlink ref="C108" r:id="rId93" display="https://poolhost.com/profootball/playerstats/1729617"/>
    <hyperlink ref="C109" r:id="rId94" display="https://poolhost.com/profootball/playerstats/1666473"/>
    <hyperlink ref="C110" r:id="rId95" display="https://poolhost.com/profootball/playerstats/1722233"/>
    <hyperlink ref="C111" r:id="rId96" display="https://poolhost.com/profootball/playerstats/1654448"/>
    <hyperlink ref="C112" r:id="rId97" display="https://poolhost.com/profootball/playerstats/1670025"/>
    <hyperlink ref="C113" r:id="rId98" display="https://poolhost.com/profootball/playerstats/1649126"/>
    <hyperlink ref="C114" r:id="rId99" display="https://poolhost.com/profootball/playerstats/1684491"/>
    <hyperlink ref="C115" r:id="rId100" display="https://poolhost.com/profootball/playerstats/1658459"/>
    <hyperlink ref="C116" r:id="rId101" display="https://poolhost.com/profootball/playerstats/1679300"/>
    <hyperlink ref="C117" r:id="rId102" display="https://poolhost.com/profootball/playerstats/1732851"/>
    <hyperlink ref="C118" r:id="rId103" display="https://poolhost.com/profootball/playerstats/1660811"/>
    <hyperlink ref="C119" r:id="rId104" display="https://poolhost.com/profootball/playerstats/1682523"/>
    <hyperlink ref="C120" r:id="rId105" display="https://poolhost.com/profootball/playerstats/1673234"/>
    <hyperlink ref="C121" r:id="rId106" display="https://poolhost.com/profootball/playerstats/1678632"/>
    <hyperlink ref="C122" r:id="rId107" display="https://poolhost.com/profootball/playerstats/1654484"/>
    <hyperlink ref="C123" r:id="rId108" display="https://poolhost.com/profootball/playerstats/1672298"/>
    <hyperlink ref="C124" r:id="rId109" display="https://poolhost.com/profootball/playerstats/1663101"/>
    <hyperlink ref="C125" r:id="rId110" display="https://poolhost.com/profootball/playerstats/1732290"/>
    <hyperlink ref="C126" r:id="rId111" display="https://poolhost.com/profootball/playerstats/1734172"/>
    <hyperlink ref="C127" r:id="rId112" display="https://poolhost.com/profootball/playerstats/1703401"/>
    <hyperlink ref="C128" r:id="rId113" display="https://poolhost.com/profootball/playerstats/1654791"/>
    <hyperlink ref="C129" r:id="rId114" display="https://poolhost.com/profootball/playerstats/1671837"/>
    <hyperlink ref="C130" r:id="rId115" display="https://poolhost.com/profootball/playerstats/1666449"/>
    <hyperlink ref="C131" r:id="rId116" display="https://poolhost.com/profootball/playerstats/1726632"/>
    <hyperlink ref="C132" r:id="rId117" display="https://poolhost.com/profootball/playerstats/1732996"/>
    <hyperlink ref="C133" r:id="rId118" display="https://poolhost.com/profootball/playerstats/1649341"/>
    <hyperlink ref="C134" r:id="rId119" display="https://poolhost.com/profootball/playerstats/1726326"/>
    <hyperlink ref="C135" r:id="rId120" display="https://poolhost.com/profootball/playerstats/1669323"/>
    <hyperlink ref="C136" r:id="rId121" display="https://poolhost.com/profootball/playerstats/1728782"/>
    <hyperlink ref="C137" r:id="rId122" display="https://poolhost.com/profootball/playerstats/1730676"/>
    <hyperlink ref="C138" r:id="rId123" display="https://poolhost.com/profootball/playerstats/1705346"/>
    <hyperlink ref="C139" r:id="rId124" display="https://poolhost.com/profootball/playerstats/1681958"/>
    <hyperlink ref="C140" r:id="rId125" display="https://poolhost.com/profootball/playerstats/1741250"/>
    <hyperlink ref="C141" r:id="rId126" display="https://poolhost.com/profootball/playerstats/1667937"/>
    <hyperlink ref="C142" r:id="rId127" display="https://poolhost.com/profootball/playerstats/1699660"/>
    <hyperlink ref="C143" r:id="rId128" display="https://poolhost.com/profootball/playerstats/1704026"/>
    <hyperlink ref="C144" r:id="rId129" display="https://poolhost.com/profootball/playerstats/1654649"/>
    <hyperlink ref="C145" r:id="rId130" display="https://poolhost.com/profootball/playerstats/1683531"/>
    <hyperlink ref="C146" r:id="rId131" display="https://poolhost.com/profootball/playerstats/1679156"/>
    <hyperlink ref="C147" r:id="rId132" display="https://poolhost.com/profootball/playerstats/1666092"/>
    <hyperlink ref="C148" r:id="rId133" display="https://poolhost.com/profootball/playerstats/1733415"/>
    <hyperlink ref="C149" r:id="rId134" display="https://poolhost.com/profootball/playerstats/1735486"/>
    <hyperlink ref="C150" r:id="rId135" display="https://poolhost.com/profootball/playerstats/1707988"/>
    <hyperlink ref="C151" r:id="rId136" display="https://poolhost.com/profootball/playerstats/1656464"/>
    <hyperlink ref="C152" r:id="rId137" display="https://poolhost.com/profootball/playerstats/1666027"/>
    <hyperlink ref="C153" r:id="rId138" display="https://poolhost.com/profootball/playerstats/1711169"/>
    <hyperlink ref="C154" r:id="rId139" display="https://poolhost.com/profootball/playerstats/1672167"/>
    <hyperlink ref="C155" r:id="rId140" display="https://poolhost.com/profootball/playerstats/1683389"/>
    <hyperlink ref="C156" r:id="rId141" display="https://poolhost.com/profootball/playerstats/1665810"/>
    <hyperlink ref="C157" r:id="rId142" display="https://poolhost.com/profootball/playerstats/1734363"/>
    <hyperlink ref="C158" r:id="rId143" display="https://poolhost.com/profootball/playerstats/1705272"/>
    <hyperlink ref="C159" r:id="rId144" display="https://poolhost.com/profootball/playerstats/1677049"/>
    <hyperlink ref="C160" r:id="rId145" display="https://poolhost.com/profootball/playerstats/1691673"/>
    <hyperlink ref="C161" r:id="rId146" display="https://poolhost.com/profootball/playerstats/1676654"/>
    <hyperlink ref="C162" r:id="rId147" display="https://poolhost.com/profootball/playerstats/1730347"/>
    <hyperlink ref="C163" r:id="rId148" display="https://poolhost.com/profootball/playerstats/1657241"/>
    <hyperlink ref="C164" r:id="rId149" display="https://poolhost.com/profootball/playerstats/1715552"/>
    <hyperlink ref="C165" r:id="rId150" display="https://poolhost.com/profootball/playerstats/1670226"/>
    <hyperlink ref="C166" r:id="rId151" display="https://poolhost.com/profootball/playerstats/1657801"/>
    <hyperlink ref="C167" r:id="rId152" display="https://poolhost.com/profootball/playerstats/1722206"/>
    <hyperlink ref="C168" r:id="rId153" display="https://poolhost.com/profootball/playerstats/1667376"/>
    <hyperlink ref="C169" r:id="rId154" display="https://poolhost.com/profootball/playerstats/1674022"/>
    <hyperlink ref="C170" r:id="rId155" display="https://poolhost.com/profootball/playerstats/1700155"/>
    <hyperlink ref="C171" r:id="rId156" display="https://poolhost.com/profootball/playerstats/1671748"/>
    <hyperlink ref="C172" r:id="rId157" display="https://poolhost.com/profootball/playerstats/1669305"/>
    <hyperlink ref="C173" r:id="rId158" display="https://poolhost.com/profootball/playerstats/1712780"/>
    <hyperlink ref="C174" r:id="rId159" display="https://poolhost.com/profootball/playerstats/1702449"/>
    <hyperlink ref="C175" r:id="rId160" display="https://poolhost.com/profootball/playerstats/1685066"/>
    <hyperlink ref="C176" r:id="rId161" display="https://poolhost.com/profootball/playerstats/1681897"/>
    <hyperlink ref="C177" r:id="rId162" display="https://poolhost.com/profootball/playerstats/1687892"/>
    <hyperlink ref="C178" r:id="rId163" display="https://poolhost.com/profootball/playerstats/168429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4"/>
  <sheetViews>
    <sheetView topLeftCell="G49" zoomScaleNormal="100" workbookViewId="0">
      <selection activeCell="AA1" sqref="AA1:AB1048576"/>
    </sheetView>
  </sheetViews>
  <sheetFormatPr defaultRowHeight="14.4" x14ac:dyDescent="0.3"/>
  <sheetData>
    <row r="1" spans="1:28" ht="15" thickBot="1" x14ac:dyDescent="0.35">
      <c r="A1" s="2" t="s">
        <v>0</v>
      </c>
      <c r="D1">
        <v>2</v>
      </c>
      <c r="E1">
        <f>D1+1</f>
        <v>3</v>
      </c>
      <c r="F1">
        <f t="shared" ref="F1:S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v>18</v>
      </c>
      <c r="U1">
        <v>19</v>
      </c>
      <c r="W1" s="16">
        <v>0</v>
      </c>
      <c r="X1" s="11">
        <f t="shared" ref="X1:X16" si="1">COUNTIF(T$16:T$199,W1)</f>
        <v>0</v>
      </c>
      <c r="Y1" s="20">
        <f>X1/SUM(X$1:X$14)</f>
        <v>0</v>
      </c>
      <c r="AA1" t="s">
        <v>227</v>
      </c>
    </row>
    <row r="2" spans="1:28" ht="15" thickBot="1" x14ac:dyDescent="0.35">
      <c r="A2" s="2" t="s">
        <v>1</v>
      </c>
      <c r="C2" t="s">
        <v>204</v>
      </c>
      <c r="E2" s="24" t="str">
        <f>IF(VLOOKUP($C2,$C$16:$AA$192,E$1,FALSE)=E$8,"Y","N")</f>
        <v>N</v>
      </c>
      <c r="F2" s="25" t="str">
        <f t="shared" ref="F2:S3" si="2">IF(VLOOKUP($C2,$C$16:$AA$192,F$1,FALSE)=F$8,"Y","N")</f>
        <v>Y</v>
      </c>
      <c r="G2" s="25" t="str">
        <f t="shared" si="2"/>
        <v>Y</v>
      </c>
      <c r="H2" s="25" t="str">
        <f t="shared" si="2"/>
        <v>N</v>
      </c>
      <c r="I2" s="25" t="str">
        <f t="shared" si="2"/>
        <v>N</v>
      </c>
      <c r="J2" s="25" t="str">
        <f t="shared" si="2"/>
        <v>N</v>
      </c>
      <c r="K2" s="25" t="str">
        <f t="shared" si="2"/>
        <v>Y</v>
      </c>
      <c r="L2" s="25" t="str">
        <f t="shared" si="2"/>
        <v>N</v>
      </c>
      <c r="M2" s="25" t="str">
        <f t="shared" si="2"/>
        <v>N</v>
      </c>
      <c r="N2" s="25" t="str">
        <f t="shared" si="2"/>
        <v>Y</v>
      </c>
      <c r="O2" s="25" t="str">
        <f t="shared" si="2"/>
        <v>N</v>
      </c>
      <c r="P2" s="25" t="str">
        <f t="shared" si="2"/>
        <v>Y</v>
      </c>
      <c r="Q2" s="25" t="str">
        <f t="shared" si="2"/>
        <v>N</v>
      </c>
      <c r="R2" s="25" t="str">
        <f t="shared" si="2"/>
        <v>N</v>
      </c>
      <c r="S2" s="26" t="str">
        <f t="shared" si="2"/>
        <v>N</v>
      </c>
      <c r="T2" s="19">
        <f>VLOOKUP($C2,$C$16:$AA$192,T$1,FALSE)</f>
        <v>5</v>
      </c>
      <c r="U2" s="19">
        <f>VLOOKUP($C2,$C$16:$AA$192,U$1,FALSE)</f>
        <v>15</v>
      </c>
      <c r="W2" s="23">
        <v>1</v>
      </c>
      <c r="X2" s="12">
        <f t="shared" si="1"/>
        <v>0</v>
      </c>
      <c r="Y2" s="21">
        <f t="shared" ref="Y2:Y16" si="3">X2/SUM(X$1:X$14)</f>
        <v>0</v>
      </c>
      <c r="AA2">
        <v>0</v>
      </c>
      <c r="AB2">
        <f>COUNTIF(V$16:V$179,AA2)</f>
        <v>0</v>
      </c>
    </row>
    <row r="3" spans="1:28" ht="15" thickBot="1" x14ac:dyDescent="0.35">
      <c r="A3" s="2" t="s">
        <v>2</v>
      </c>
      <c r="C3" t="s">
        <v>162</v>
      </c>
      <c r="E3" s="13" t="str">
        <f t="shared" ref="E3" si="4">IF(VLOOKUP($C3,$C$16:$AA$192,E$1,FALSE)=E$8,"Y","N")</f>
        <v>Y</v>
      </c>
      <c r="F3" s="14" t="str">
        <f t="shared" si="2"/>
        <v>Y</v>
      </c>
      <c r="G3" s="14" t="str">
        <f t="shared" si="2"/>
        <v>Y</v>
      </c>
      <c r="H3" s="14" t="str">
        <f t="shared" si="2"/>
        <v>N</v>
      </c>
      <c r="I3" s="14" t="str">
        <f t="shared" si="2"/>
        <v>Y</v>
      </c>
      <c r="J3" s="14" t="str">
        <f t="shared" si="2"/>
        <v>N</v>
      </c>
      <c r="K3" s="14" t="str">
        <f t="shared" si="2"/>
        <v>Y</v>
      </c>
      <c r="L3" s="14" t="str">
        <f t="shared" si="2"/>
        <v>Y</v>
      </c>
      <c r="M3" s="14" t="str">
        <f t="shared" si="2"/>
        <v>Y</v>
      </c>
      <c r="N3" s="14" t="str">
        <f t="shared" si="2"/>
        <v>Y</v>
      </c>
      <c r="O3" s="14" t="str">
        <f t="shared" si="2"/>
        <v>N</v>
      </c>
      <c r="P3" s="14" t="str">
        <f t="shared" si="2"/>
        <v>N</v>
      </c>
      <c r="Q3" s="14" t="str">
        <f t="shared" si="2"/>
        <v>N</v>
      </c>
      <c r="R3" s="14" t="str">
        <f t="shared" si="2"/>
        <v>Y</v>
      </c>
      <c r="S3" s="15" t="str">
        <f t="shared" si="2"/>
        <v>N</v>
      </c>
      <c r="T3" s="18">
        <f>VLOOKUP($C3,$C$16:$AA$192,T$1,FALSE)</f>
        <v>9</v>
      </c>
      <c r="U3" s="18">
        <f>VLOOKUP($C3,$C$16:$AA$192,U$1,FALSE)</f>
        <v>18</v>
      </c>
      <c r="W3" s="23">
        <v>2</v>
      </c>
      <c r="X3" s="12">
        <f t="shared" si="1"/>
        <v>2</v>
      </c>
      <c r="Y3" s="21">
        <f t="shared" si="3"/>
        <v>1.2269938650306749E-2</v>
      </c>
      <c r="AA3">
        <v>1</v>
      </c>
      <c r="AB3">
        <f t="shared" ref="AB3:AB66" si="5">COUNTIF(V$16:V$179,AA3)</f>
        <v>0</v>
      </c>
    </row>
    <row r="4" spans="1:28" x14ac:dyDescent="0.3">
      <c r="A4" s="2" t="s">
        <v>3</v>
      </c>
      <c r="C4" t="s">
        <v>205</v>
      </c>
      <c r="E4" s="9">
        <f>E5/SUM(E5:E6)</f>
        <v>0.66060606060606064</v>
      </c>
      <c r="F4" s="9">
        <f t="shared" ref="F4:S4" si="6">F5/SUM(F5:F6)</f>
        <v>0.2</v>
      </c>
      <c r="G4" s="9">
        <f t="shared" si="6"/>
        <v>0.63636363636363635</v>
      </c>
      <c r="H4" s="9">
        <f t="shared" si="6"/>
        <v>0.49090909090909091</v>
      </c>
      <c r="I4" s="9">
        <f t="shared" si="6"/>
        <v>0.34545454545454546</v>
      </c>
      <c r="J4" s="9">
        <f t="shared" si="6"/>
        <v>0.64242424242424245</v>
      </c>
      <c r="K4" s="9">
        <f t="shared" si="6"/>
        <v>0.24242424242424243</v>
      </c>
      <c r="L4" s="9">
        <f t="shared" si="6"/>
        <v>0.53333333333333333</v>
      </c>
      <c r="M4" s="9">
        <f t="shared" si="6"/>
        <v>0.3515151515151515</v>
      </c>
      <c r="N4" s="9">
        <f t="shared" si="6"/>
        <v>0.64242424242424245</v>
      </c>
      <c r="O4" s="9">
        <f t="shared" si="6"/>
        <v>0.33333333333333331</v>
      </c>
      <c r="P4" s="9">
        <f t="shared" si="6"/>
        <v>0.39393939393939392</v>
      </c>
      <c r="Q4" s="9">
        <f t="shared" si="6"/>
        <v>0.73333333333333328</v>
      </c>
      <c r="R4" s="9">
        <f t="shared" si="6"/>
        <v>0.69090909090909092</v>
      </c>
      <c r="S4" s="9">
        <f t="shared" si="6"/>
        <v>0.70909090909090911</v>
      </c>
      <c r="T4" s="10" t="s">
        <v>217</v>
      </c>
      <c r="U4" s="10" t="s">
        <v>218</v>
      </c>
      <c r="W4" s="23">
        <v>3</v>
      </c>
      <c r="X4" s="12">
        <f t="shared" si="1"/>
        <v>5</v>
      </c>
      <c r="Y4" s="21">
        <f t="shared" si="3"/>
        <v>3.0674846625766871E-2</v>
      </c>
      <c r="AA4">
        <v>2</v>
      </c>
      <c r="AB4">
        <f t="shared" si="5"/>
        <v>0</v>
      </c>
    </row>
    <row r="5" spans="1:28" x14ac:dyDescent="0.3">
      <c r="A5" s="2" t="s">
        <v>0</v>
      </c>
      <c r="C5" t="s">
        <v>202</v>
      </c>
      <c r="D5">
        <f t="shared" ref="D5:Q5" si="7">COUNTIF(D$16:D$197,D10)</f>
        <v>1</v>
      </c>
      <c r="E5" s="10">
        <f t="shared" si="7"/>
        <v>109</v>
      </c>
      <c r="F5" s="10">
        <f t="shared" si="7"/>
        <v>33</v>
      </c>
      <c r="G5" s="10">
        <f t="shared" si="7"/>
        <v>105</v>
      </c>
      <c r="H5" s="10">
        <f t="shared" si="7"/>
        <v>81</v>
      </c>
      <c r="I5" s="10">
        <f t="shared" si="7"/>
        <v>57</v>
      </c>
      <c r="J5" s="10">
        <f t="shared" si="7"/>
        <v>106</v>
      </c>
      <c r="K5" s="10">
        <f t="shared" si="7"/>
        <v>40</v>
      </c>
      <c r="L5" s="10">
        <f t="shared" si="7"/>
        <v>88</v>
      </c>
      <c r="M5" s="10">
        <f t="shared" si="7"/>
        <v>58</v>
      </c>
      <c r="N5" s="10">
        <f t="shared" si="7"/>
        <v>106</v>
      </c>
      <c r="O5" s="10">
        <f t="shared" si="7"/>
        <v>55</v>
      </c>
      <c r="P5" s="10">
        <f t="shared" si="7"/>
        <v>65</v>
      </c>
      <c r="Q5" s="10">
        <f t="shared" si="7"/>
        <v>121</v>
      </c>
      <c r="R5" s="10">
        <f t="shared" ref="R5:S5" si="8">COUNTIF(R$16:R$197,R10)</f>
        <v>114</v>
      </c>
      <c r="S5" s="10">
        <f t="shared" si="8"/>
        <v>117</v>
      </c>
      <c r="W5" s="23">
        <v>4</v>
      </c>
      <c r="X5" s="12">
        <f t="shared" si="1"/>
        <v>17</v>
      </c>
      <c r="Y5" s="21">
        <f t="shared" si="3"/>
        <v>0.10429447852760736</v>
      </c>
      <c r="AA5">
        <v>3</v>
      </c>
      <c r="AB5">
        <f t="shared" si="5"/>
        <v>0</v>
      </c>
    </row>
    <row r="6" spans="1:28" ht="15" thickBot="1" x14ac:dyDescent="0.35">
      <c r="A6" s="2" t="s">
        <v>4</v>
      </c>
      <c r="C6" t="s">
        <v>203</v>
      </c>
      <c r="D6">
        <f t="shared" ref="D6:Q6" si="9">COUNTIF(D$16:D$197,D12)</f>
        <v>1</v>
      </c>
      <c r="E6" s="10">
        <f t="shared" si="9"/>
        <v>56</v>
      </c>
      <c r="F6" s="10">
        <f t="shared" si="9"/>
        <v>132</v>
      </c>
      <c r="G6" s="10">
        <f t="shared" si="9"/>
        <v>60</v>
      </c>
      <c r="H6" s="10">
        <f t="shared" si="9"/>
        <v>84</v>
      </c>
      <c r="I6" s="10">
        <f t="shared" si="9"/>
        <v>108</v>
      </c>
      <c r="J6" s="10">
        <f t="shared" si="9"/>
        <v>59</v>
      </c>
      <c r="K6" s="10">
        <f t="shared" si="9"/>
        <v>125</v>
      </c>
      <c r="L6" s="10">
        <f t="shared" si="9"/>
        <v>77</v>
      </c>
      <c r="M6" s="10">
        <f t="shared" si="9"/>
        <v>107</v>
      </c>
      <c r="N6" s="10">
        <f t="shared" si="9"/>
        <v>59</v>
      </c>
      <c r="O6" s="10">
        <f t="shared" si="9"/>
        <v>110</v>
      </c>
      <c r="P6" s="10">
        <f t="shared" si="9"/>
        <v>100</v>
      </c>
      <c r="Q6" s="10">
        <f t="shared" si="9"/>
        <v>44</v>
      </c>
      <c r="R6" s="10">
        <f t="shared" ref="R6:S6" si="10">COUNTIF(R$16:R$197,R12)</f>
        <v>51</v>
      </c>
      <c r="S6" s="10">
        <f t="shared" si="10"/>
        <v>48</v>
      </c>
      <c r="W6" s="23">
        <v>5</v>
      </c>
      <c r="X6" s="12">
        <f t="shared" si="1"/>
        <v>26</v>
      </c>
      <c r="Y6" s="21">
        <f t="shared" si="3"/>
        <v>0.15950920245398773</v>
      </c>
      <c r="AA6">
        <f>AA5+1</f>
        <v>4</v>
      </c>
      <c r="AB6">
        <f t="shared" si="5"/>
        <v>0</v>
      </c>
    </row>
    <row r="7" spans="1:28" ht="15" thickBot="1" x14ac:dyDescent="0.35">
      <c r="A7" s="2"/>
      <c r="C7" t="s">
        <v>213</v>
      </c>
      <c r="E7" s="28" t="str">
        <f>IF(AND(E10=E8,E4&gt;0.5),"Y",IF(AND(E10=E8,E4&lt;0.5),"N",IF(E4&gt;0.5,"Y","N")))</f>
        <v>Y</v>
      </c>
      <c r="F7" s="11" t="str">
        <f t="shared" ref="F7" si="11">IF(AND(F10=F8,F4&gt;0.5),"Y",IF(AND(F10=F8,F4&lt;0.5),"N",IF(F4&gt;0.5,"Y","N")))</f>
        <v>N</v>
      </c>
      <c r="G7" s="11" t="str">
        <f>IF(AND(G10=G8,G4&gt;0.5),"Y",IF(AND(G10=G8,G4&lt;0.5),"N",IF(G4&lt;0.5,"Y","N")))</f>
        <v>N</v>
      </c>
      <c r="H7" s="11" t="str">
        <f t="shared" ref="H7:S7" si="12">IF(AND(H10=H8,H4&gt;0.5),"Y",IF(AND(H10=H8,H4&lt;0.5),"N",IF(H4&lt;0.5,"Y","N")))</f>
        <v>Y</v>
      </c>
      <c r="I7" s="11" t="str">
        <f t="shared" si="12"/>
        <v>N</v>
      </c>
      <c r="J7" s="11" t="str">
        <f t="shared" si="12"/>
        <v>N</v>
      </c>
      <c r="K7" s="11" t="str">
        <f t="shared" si="12"/>
        <v>N</v>
      </c>
      <c r="L7" s="11" t="str">
        <f t="shared" si="12"/>
        <v>Y</v>
      </c>
      <c r="M7" s="11" t="str">
        <f t="shared" si="12"/>
        <v>Y</v>
      </c>
      <c r="N7" s="11" t="str">
        <f t="shared" si="12"/>
        <v>Y</v>
      </c>
      <c r="O7" s="11" t="str">
        <f t="shared" si="12"/>
        <v>N</v>
      </c>
      <c r="P7" s="11" t="str">
        <f t="shared" si="12"/>
        <v>Y</v>
      </c>
      <c r="Q7" s="11" t="str">
        <f t="shared" si="12"/>
        <v>N</v>
      </c>
      <c r="R7" s="11" t="str">
        <f t="shared" si="12"/>
        <v>N</v>
      </c>
      <c r="S7" s="29" t="str">
        <f t="shared" si="12"/>
        <v>N</v>
      </c>
      <c r="T7" s="37" t="s">
        <v>220</v>
      </c>
      <c r="U7" s="38">
        <f>COUNTIF(E7:S7,"Y")</f>
        <v>6</v>
      </c>
      <c r="W7" s="23">
        <v>6</v>
      </c>
      <c r="X7" s="12">
        <f t="shared" si="1"/>
        <v>32</v>
      </c>
      <c r="Y7" s="21">
        <f t="shared" si="3"/>
        <v>0.19631901840490798</v>
      </c>
      <c r="AA7">
        <f t="shared" ref="AA7:AA70" si="13">AA6+1</f>
        <v>5</v>
      </c>
      <c r="AB7">
        <f t="shared" si="5"/>
        <v>0</v>
      </c>
    </row>
    <row r="8" spans="1:28" ht="15.6" customHeight="1" thickBot="1" x14ac:dyDescent="0.35">
      <c r="A8" s="2"/>
      <c r="C8" t="s">
        <v>212</v>
      </c>
      <c r="E8" s="30" t="s">
        <v>66</v>
      </c>
      <c r="F8" s="31" t="s">
        <v>65</v>
      </c>
      <c r="G8" s="31" t="s">
        <v>58</v>
      </c>
      <c r="H8" s="31" t="s">
        <v>59</v>
      </c>
      <c r="I8" s="31" t="s">
        <v>54</v>
      </c>
      <c r="J8" s="31" t="s">
        <v>61</v>
      </c>
      <c r="K8" s="31" t="s">
        <v>207</v>
      </c>
      <c r="L8" s="31" t="s">
        <v>56</v>
      </c>
      <c r="M8" s="31" t="s">
        <v>74</v>
      </c>
      <c r="N8" s="31" t="s">
        <v>53</v>
      </c>
      <c r="O8" s="31" t="s">
        <v>55</v>
      </c>
      <c r="P8" s="31" t="s">
        <v>67</v>
      </c>
      <c r="Q8" s="31" t="s">
        <v>73</v>
      </c>
      <c r="R8" s="31" t="s">
        <v>50</v>
      </c>
      <c r="S8" s="32" t="s">
        <v>69</v>
      </c>
      <c r="W8" s="23">
        <v>7</v>
      </c>
      <c r="X8" s="12">
        <f t="shared" si="1"/>
        <v>32</v>
      </c>
      <c r="Y8" s="21">
        <f t="shared" si="3"/>
        <v>0.19631901840490798</v>
      </c>
      <c r="AA8">
        <f t="shared" si="13"/>
        <v>6</v>
      </c>
      <c r="AB8">
        <f t="shared" si="5"/>
        <v>0</v>
      </c>
    </row>
    <row r="9" spans="1:28" x14ac:dyDescent="0.3">
      <c r="A9" s="47" t="s">
        <v>46</v>
      </c>
      <c r="B9" s="47"/>
      <c r="C9" s="2" t="s">
        <v>0</v>
      </c>
      <c r="D9" s="7">
        <v>10</v>
      </c>
      <c r="E9" s="7">
        <v>23</v>
      </c>
      <c r="F9" s="7">
        <v>3</v>
      </c>
      <c r="G9" s="7">
        <v>19</v>
      </c>
      <c r="H9" s="7">
        <v>16</v>
      </c>
      <c r="I9" s="7">
        <v>16</v>
      </c>
      <c r="J9" s="7">
        <v>13</v>
      </c>
      <c r="K9" s="7">
        <v>23</v>
      </c>
      <c r="L9" s="7">
        <v>20</v>
      </c>
      <c r="M9" s="7">
        <v>17</v>
      </c>
      <c r="N9" s="7">
        <v>21</v>
      </c>
      <c r="O9" s="7">
        <v>41</v>
      </c>
      <c r="P9" s="7">
        <v>6</v>
      </c>
      <c r="Q9" s="7">
        <v>26</v>
      </c>
      <c r="R9" s="7">
        <v>19</v>
      </c>
      <c r="S9" s="7">
        <v>21</v>
      </c>
      <c r="T9" s="47" t="s">
        <v>76</v>
      </c>
      <c r="U9" s="47" t="s">
        <v>77</v>
      </c>
      <c r="V9" s="8" t="s">
        <v>216</v>
      </c>
      <c r="W9" s="34">
        <v>8</v>
      </c>
      <c r="X9" s="35">
        <f t="shared" si="1"/>
        <v>22</v>
      </c>
      <c r="Y9" s="36">
        <f t="shared" si="3"/>
        <v>0.13496932515337423</v>
      </c>
      <c r="AA9">
        <f t="shared" si="13"/>
        <v>7</v>
      </c>
      <c r="AB9">
        <f t="shared" si="5"/>
        <v>0</v>
      </c>
    </row>
    <row r="10" spans="1:28" x14ac:dyDescent="0.3">
      <c r="A10" s="47"/>
      <c r="B10" s="47"/>
      <c r="C10" s="2" t="s">
        <v>1</v>
      </c>
      <c r="D10" s="7" t="s">
        <v>208</v>
      </c>
      <c r="E10" s="7" t="s">
        <v>52</v>
      </c>
      <c r="F10" s="7" t="s">
        <v>68</v>
      </c>
      <c r="G10" s="7" t="s">
        <v>70</v>
      </c>
      <c r="H10" s="7" t="s">
        <v>71</v>
      </c>
      <c r="I10" s="7" t="s">
        <v>54</v>
      </c>
      <c r="J10" s="7" t="s">
        <v>51</v>
      </c>
      <c r="K10" s="7" t="s">
        <v>207</v>
      </c>
      <c r="L10" s="7" t="s">
        <v>56</v>
      </c>
      <c r="M10" s="7" t="s">
        <v>62</v>
      </c>
      <c r="N10" s="7" t="s">
        <v>53</v>
      </c>
      <c r="O10" s="7" t="s">
        <v>55</v>
      </c>
      <c r="P10" s="7" t="s">
        <v>64</v>
      </c>
      <c r="Q10" s="7" t="s">
        <v>210</v>
      </c>
      <c r="R10" s="7" t="s">
        <v>57</v>
      </c>
      <c r="S10" s="7" t="s">
        <v>60</v>
      </c>
      <c r="T10" s="47"/>
      <c r="U10" s="47"/>
      <c r="V10" s="8" t="s">
        <v>77</v>
      </c>
      <c r="W10" s="23">
        <v>9</v>
      </c>
      <c r="X10" s="12">
        <f t="shared" si="1"/>
        <v>13</v>
      </c>
      <c r="Y10" s="21">
        <f t="shared" si="3"/>
        <v>7.9754601226993863E-2</v>
      </c>
      <c r="AA10">
        <f t="shared" si="13"/>
        <v>8</v>
      </c>
      <c r="AB10">
        <f t="shared" si="5"/>
        <v>0</v>
      </c>
    </row>
    <row r="11" spans="1:28" x14ac:dyDescent="0.3">
      <c r="A11" s="47"/>
      <c r="B11" s="47"/>
      <c r="C11" s="2" t="s">
        <v>2</v>
      </c>
      <c r="D11" s="7">
        <v>-1.5</v>
      </c>
      <c r="E11" s="7">
        <v>-9.5</v>
      </c>
      <c r="F11" s="7">
        <v>6.5</v>
      </c>
      <c r="G11" s="7">
        <v>-6.5</v>
      </c>
      <c r="H11" s="7">
        <v>-7</v>
      </c>
      <c r="I11" s="7">
        <v>3.5</v>
      </c>
      <c r="J11" s="7">
        <v>-3.5</v>
      </c>
      <c r="K11" s="7">
        <v>6</v>
      </c>
      <c r="L11" s="7">
        <v>3.5</v>
      </c>
      <c r="M11" s="7">
        <v>4</v>
      </c>
      <c r="N11" s="7">
        <v>-2.5</v>
      </c>
      <c r="O11" s="7">
        <v>-1</v>
      </c>
      <c r="P11" s="7">
        <v>3</v>
      </c>
      <c r="Q11" s="7">
        <v>-6</v>
      </c>
      <c r="R11" s="7">
        <v>-6.5</v>
      </c>
      <c r="S11" s="7">
        <v>-6.5</v>
      </c>
      <c r="T11" s="47"/>
      <c r="U11" s="47"/>
      <c r="V11" s="8">
        <v>-43</v>
      </c>
      <c r="W11" s="23">
        <v>10</v>
      </c>
      <c r="X11" s="12">
        <f t="shared" si="1"/>
        <v>9</v>
      </c>
      <c r="Y11" s="21">
        <f t="shared" si="3"/>
        <v>5.5214723926380369E-2</v>
      </c>
      <c r="AA11">
        <f t="shared" si="13"/>
        <v>9</v>
      </c>
      <c r="AB11">
        <f t="shared" si="5"/>
        <v>0</v>
      </c>
    </row>
    <row r="12" spans="1:28" x14ac:dyDescent="0.3">
      <c r="A12" s="47"/>
      <c r="B12" s="47"/>
      <c r="C12" s="2" t="s">
        <v>3</v>
      </c>
      <c r="D12" s="7" t="s">
        <v>75</v>
      </c>
      <c r="E12" s="7" t="s">
        <v>66</v>
      </c>
      <c r="F12" s="7" t="s">
        <v>65</v>
      </c>
      <c r="G12" s="7" t="s">
        <v>58</v>
      </c>
      <c r="H12" s="7" t="s">
        <v>59</v>
      </c>
      <c r="I12" s="7" t="s">
        <v>63</v>
      </c>
      <c r="J12" s="7" t="s">
        <v>61</v>
      </c>
      <c r="K12" s="7" t="s">
        <v>48</v>
      </c>
      <c r="L12" s="7" t="s">
        <v>47</v>
      </c>
      <c r="M12" s="7" t="s">
        <v>74</v>
      </c>
      <c r="N12" s="7" t="s">
        <v>72</v>
      </c>
      <c r="O12" s="7" t="s">
        <v>209</v>
      </c>
      <c r="P12" s="7" t="s">
        <v>67</v>
      </c>
      <c r="Q12" s="7" t="s">
        <v>73</v>
      </c>
      <c r="R12" s="7" t="s">
        <v>50</v>
      </c>
      <c r="S12" s="7" t="s">
        <v>69</v>
      </c>
      <c r="T12" s="47"/>
      <c r="U12" s="47"/>
      <c r="V12" s="8"/>
      <c r="W12" s="23">
        <v>11</v>
      </c>
      <c r="X12" s="12">
        <f t="shared" si="1"/>
        <v>4</v>
      </c>
      <c r="Y12" s="21">
        <f t="shared" si="3"/>
        <v>2.4539877300613498E-2</v>
      </c>
      <c r="AA12">
        <f t="shared" si="13"/>
        <v>10</v>
      </c>
      <c r="AB12">
        <f t="shared" si="5"/>
        <v>0</v>
      </c>
    </row>
    <row r="13" spans="1:28" x14ac:dyDescent="0.3">
      <c r="A13" s="47"/>
      <c r="B13" s="47"/>
      <c r="C13" s="2" t="s">
        <v>0</v>
      </c>
      <c r="D13" s="7">
        <v>31</v>
      </c>
      <c r="E13" s="7">
        <v>26</v>
      </c>
      <c r="F13" s="7">
        <v>26</v>
      </c>
      <c r="G13" s="7">
        <v>44</v>
      </c>
      <c r="H13" s="7">
        <v>20</v>
      </c>
      <c r="I13" s="7">
        <v>10</v>
      </c>
      <c r="J13" s="7">
        <v>18</v>
      </c>
      <c r="K13" s="7">
        <v>17</v>
      </c>
      <c r="L13" s="7">
        <v>23</v>
      </c>
      <c r="M13" s="7">
        <v>24</v>
      </c>
      <c r="N13" s="7">
        <v>18</v>
      </c>
      <c r="O13" s="7">
        <v>10</v>
      </c>
      <c r="P13" s="7">
        <v>13</v>
      </c>
      <c r="Q13" s="7">
        <v>25</v>
      </c>
      <c r="R13" s="7">
        <v>13</v>
      </c>
      <c r="S13" s="7">
        <v>22</v>
      </c>
      <c r="T13" s="47"/>
      <c r="U13" s="47"/>
      <c r="V13" s="8"/>
      <c r="W13" s="23">
        <v>12</v>
      </c>
      <c r="X13" s="12">
        <f t="shared" si="1"/>
        <v>1</v>
      </c>
      <c r="Y13" s="21">
        <f t="shared" si="3"/>
        <v>6.1349693251533744E-3</v>
      </c>
      <c r="AA13">
        <f t="shared" si="13"/>
        <v>11</v>
      </c>
      <c r="AB13">
        <f t="shared" si="5"/>
        <v>0</v>
      </c>
    </row>
    <row r="14" spans="1:28" x14ac:dyDescent="0.3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47"/>
      <c r="U14" s="47"/>
      <c r="V14" s="8"/>
      <c r="W14" s="23">
        <v>13</v>
      </c>
      <c r="X14" s="12">
        <f t="shared" si="1"/>
        <v>0</v>
      </c>
      <c r="Y14" s="21">
        <f t="shared" si="3"/>
        <v>0</v>
      </c>
      <c r="AA14">
        <f t="shared" si="13"/>
        <v>12</v>
      </c>
      <c r="AB14">
        <f t="shared" si="5"/>
        <v>0</v>
      </c>
    </row>
    <row r="15" spans="1:28" ht="28.8" x14ac:dyDescent="0.3">
      <c r="A15" s="47"/>
      <c r="B15" s="47"/>
      <c r="C15" s="2" t="s">
        <v>5</v>
      </c>
      <c r="D15" s="7"/>
      <c r="E15" s="7"/>
      <c r="F15" s="7"/>
      <c r="G15" s="7"/>
      <c r="H15" s="7"/>
      <c r="I15" s="7"/>
      <c r="J15" s="7"/>
      <c r="K15" s="7"/>
      <c r="L15" s="7" t="s">
        <v>206</v>
      </c>
      <c r="M15" s="7"/>
      <c r="N15" s="7"/>
      <c r="O15" s="7"/>
      <c r="P15" s="7"/>
      <c r="Q15" s="7"/>
      <c r="R15" s="7"/>
      <c r="S15" s="7"/>
      <c r="T15" s="47"/>
      <c r="U15" s="47"/>
      <c r="V15" s="8"/>
      <c r="W15" s="23">
        <v>14</v>
      </c>
      <c r="X15" s="12">
        <f t="shared" si="1"/>
        <v>0</v>
      </c>
      <c r="Y15" s="21">
        <f t="shared" si="3"/>
        <v>0</v>
      </c>
      <c r="AA15">
        <f t="shared" si="13"/>
        <v>13</v>
      </c>
      <c r="AB15">
        <f t="shared" si="5"/>
        <v>0</v>
      </c>
    </row>
    <row r="16" spans="1:28" ht="15" thickBot="1" x14ac:dyDescent="0.35">
      <c r="A16" s="3">
        <v>1</v>
      </c>
      <c r="B16" s="4"/>
      <c r="C16" s="6" t="s">
        <v>85</v>
      </c>
      <c r="D16" s="5"/>
      <c r="E16" s="5" t="s">
        <v>66</v>
      </c>
      <c r="F16" s="5" t="s">
        <v>65</v>
      </c>
      <c r="G16" s="5" t="s">
        <v>58</v>
      </c>
      <c r="H16" s="5" t="s">
        <v>59</v>
      </c>
      <c r="I16" s="5" t="s">
        <v>54</v>
      </c>
      <c r="J16" s="5" t="s">
        <v>51</v>
      </c>
      <c r="K16" s="5" t="s">
        <v>48</v>
      </c>
      <c r="L16" s="5" t="s">
        <v>56</v>
      </c>
      <c r="M16" s="5" t="s">
        <v>74</v>
      </c>
      <c r="N16" s="5" t="s">
        <v>53</v>
      </c>
      <c r="O16" s="5" t="s">
        <v>55</v>
      </c>
      <c r="P16" s="5" t="s">
        <v>67</v>
      </c>
      <c r="Q16" s="5" t="s">
        <v>210</v>
      </c>
      <c r="R16" s="5" t="s">
        <v>50</v>
      </c>
      <c r="S16" s="5" t="s">
        <v>69</v>
      </c>
      <c r="T16" s="1">
        <v>12</v>
      </c>
      <c r="U16" s="1">
        <v>16</v>
      </c>
      <c r="V16" s="1">
        <v>42</v>
      </c>
      <c r="W16" s="17">
        <v>15</v>
      </c>
      <c r="X16" s="14">
        <f t="shared" si="1"/>
        <v>0</v>
      </c>
      <c r="Y16" s="22">
        <f t="shared" si="3"/>
        <v>0</v>
      </c>
      <c r="AA16">
        <f t="shared" si="13"/>
        <v>14</v>
      </c>
      <c r="AB16">
        <f t="shared" si="5"/>
        <v>0</v>
      </c>
    </row>
    <row r="17" spans="1:28" x14ac:dyDescent="0.3">
      <c r="A17" s="3">
        <v>2</v>
      </c>
      <c r="B17" s="4"/>
      <c r="C17" s="6" t="s">
        <v>40</v>
      </c>
      <c r="D17" s="5"/>
      <c r="E17" s="5" t="s">
        <v>52</v>
      </c>
      <c r="F17" s="5" t="s">
        <v>65</v>
      </c>
      <c r="G17" s="5" t="s">
        <v>58</v>
      </c>
      <c r="H17" s="5" t="s">
        <v>59</v>
      </c>
      <c r="I17" s="5" t="s">
        <v>63</v>
      </c>
      <c r="J17" s="5" t="s">
        <v>61</v>
      </c>
      <c r="K17" s="5" t="s">
        <v>48</v>
      </c>
      <c r="L17" s="5" t="s">
        <v>56</v>
      </c>
      <c r="M17" s="5" t="s">
        <v>62</v>
      </c>
      <c r="N17" s="5" t="s">
        <v>53</v>
      </c>
      <c r="O17" s="5" t="s">
        <v>55</v>
      </c>
      <c r="P17" s="5" t="s">
        <v>67</v>
      </c>
      <c r="Q17" s="5" t="s">
        <v>73</v>
      </c>
      <c r="R17" s="5" t="s">
        <v>50</v>
      </c>
      <c r="S17" s="5" t="s">
        <v>69</v>
      </c>
      <c r="T17" s="1">
        <v>11</v>
      </c>
      <c r="U17" s="1">
        <v>18</v>
      </c>
      <c r="V17" s="1">
        <v>44</v>
      </c>
      <c r="AA17">
        <f t="shared" si="13"/>
        <v>15</v>
      </c>
      <c r="AB17">
        <f t="shared" si="5"/>
        <v>0</v>
      </c>
    </row>
    <row r="18" spans="1:28" ht="28.8" x14ac:dyDescent="0.3">
      <c r="A18" s="3">
        <v>3</v>
      </c>
      <c r="B18" s="4"/>
      <c r="C18" s="6" t="s">
        <v>140</v>
      </c>
      <c r="D18" s="5"/>
      <c r="E18" s="5" t="s">
        <v>52</v>
      </c>
      <c r="F18" s="5" t="s">
        <v>65</v>
      </c>
      <c r="G18" s="5" t="s">
        <v>58</v>
      </c>
      <c r="H18" s="5" t="s">
        <v>59</v>
      </c>
      <c r="I18" s="5" t="s">
        <v>63</v>
      </c>
      <c r="J18" s="5" t="s">
        <v>61</v>
      </c>
      <c r="K18" s="5" t="s">
        <v>207</v>
      </c>
      <c r="L18" s="5" t="s">
        <v>56</v>
      </c>
      <c r="M18" s="5" t="s">
        <v>74</v>
      </c>
      <c r="N18" s="5" t="s">
        <v>53</v>
      </c>
      <c r="O18" s="5" t="s">
        <v>55</v>
      </c>
      <c r="P18" s="5" t="s">
        <v>64</v>
      </c>
      <c r="Q18" s="5" t="s">
        <v>73</v>
      </c>
      <c r="R18" s="5" t="s">
        <v>57</v>
      </c>
      <c r="S18" s="5" t="s">
        <v>69</v>
      </c>
      <c r="T18" s="1">
        <v>11</v>
      </c>
      <c r="U18" s="1">
        <v>18</v>
      </c>
      <c r="V18" s="1">
        <v>44</v>
      </c>
      <c r="AA18">
        <f t="shared" si="13"/>
        <v>16</v>
      </c>
      <c r="AB18">
        <f t="shared" si="5"/>
        <v>0</v>
      </c>
    </row>
    <row r="19" spans="1:28" x14ac:dyDescent="0.3">
      <c r="A19" s="3">
        <v>4</v>
      </c>
      <c r="B19" s="4"/>
      <c r="C19" s="6" t="s">
        <v>91</v>
      </c>
      <c r="D19" s="5"/>
      <c r="E19" s="5" t="s">
        <v>66</v>
      </c>
      <c r="F19" s="5" t="s">
        <v>65</v>
      </c>
      <c r="G19" s="5" t="s">
        <v>58</v>
      </c>
      <c r="H19" s="5" t="s">
        <v>59</v>
      </c>
      <c r="I19" s="5" t="s">
        <v>54</v>
      </c>
      <c r="J19" s="5" t="s">
        <v>51</v>
      </c>
      <c r="K19" s="5" t="s">
        <v>48</v>
      </c>
      <c r="L19" s="5" t="s">
        <v>56</v>
      </c>
      <c r="M19" s="5" t="s">
        <v>62</v>
      </c>
      <c r="N19" s="5" t="s">
        <v>53</v>
      </c>
      <c r="O19" s="5" t="s">
        <v>55</v>
      </c>
      <c r="P19" s="5" t="s">
        <v>64</v>
      </c>
      <c r="Q19" s="5" t="s">
        <v>73</v>
      </c>
      <c r="R19" s="5" t="s">
        <v>50</v>
      </c>
      <c r="S19" s="5" t="s">
        <v>69</v>
      </c>
      <c r="T19" s="1">
        <v>11</v>
      </c>
      <c r="U19" s="1">
        <v>19</v>
      </c>
      <c r="V19" s="1">
        <v>45</v>
      </c>
      <c r="AA19">
        <f t="shared" si="13"/>
        <v>17</v>
      </c>
      <c r="AB19">
        <f t="shared" si="5"/>
        <v>0</v>
      </c>
    </row>
    <row r="20" spans="1:28" x14ac:dyDescent="0.3">
      <c r="A20" s="3">
        <v>5</v>
      </c>
      <c r="B20" s="4"/>
      <c r="C20" s="6" t="s">
        <v>173</v>
      </c>
      <c r="D20" s="5"/>
      <c r="E20" s="5" t="s">
        <v>66</v>
      </c>
      <c r="F20" s="5" t="s">
        <v>65</v>
      </c>
      <c r="G20" s="5" t="s">
        <v>58</v>
      </c>
      <c r="H20" s="5" t="s">
        <v>59</v>
      </c>
      <c r="I20" s="5" t="s">
        <v>54</v>
      </c>
      <c r="J20" s="5" t="s">
        <v>61</v>
      </c>
      <c r="K20" s="5" t="s">
        <v>48</v>
      </c>
      <c r="L20" s="5" t="s">
        <v>56</v>
      </c>
      <c r="M20" s="5" t="s">
        <v>74</v>
      </c>
      <c r="N20" s="5" t="s">
        <v>72</v>
      </c>
      <c r="O20" s="5" t="s">
        <v>209</v>
      </c>
      <c r="P20" s="5" t="s">
        <v>67</v>
      </c>
      <c r="Q20" s="5" t="s">
        <v>210</v>
      </c>
      <c r="R20" s="5" t="s">
        <v>50</v>
      </c>
      <c r="S20" s="5" t="s">
        <v>69</v>
      </c>
      <c r="T20" s="1">
        <v>11</v>
      </c>
      <c r="U20" s="1">
        <v>15</v>
      </c>
      <c r="V20" s="1">
        <v>45</v>
      </c>
      <c r="AA20">
        <f t="shared" si="13"/>
        <v>18</v>
      </c>
      <c r="AB20">
        <f t="shared" si="5"/>
        <v>0</v>
      </c>
    </row>
    <row r="21" spans="1:28" x14ac:dyDescent="0.3">
      <c r="A21" s="3">
        <v>6</v>
      </c>
      <c r="B21" s="4"/>
      <c r="C21" s="6" t="s">
        <v>138</v>
      </c>
      <c r="D21" s="5"/>
      <c r="E21" s="5" t="s">
        <v>66</v>
      </c>
      <c r="F21" s="5" t="s">
        <v>65</v>
      </c>
      <c r="G21" s="5" t="s">
        <v>70</v>
      </c>
      <c r="H21" s="5" t="s">
        <v>59</v>
      </c>
      <c r="I21" s="5" t="s">
        <v>54</v>
      </c>
      <c r="J21" s="5" t="s">
        <v>51</v>
      </c>
      <c r="K21" s="5" t="s">
        <v>48</v>
      </c>
      <c r="L21" s="5" t="s">
        <v>56</v>
      </c>
      <c r="M21" s="5" t="s">
        <v>74</v>
      </c>
      <c r="N21" s="5" t="s">
        <v>53</v>
      </c>
      <c r="O21" s="5" t="s">
        <v>55</v>
      </c>
      <c r="P21" s="5" t="s">
        <v>67</v>
      </c>
      <c r="Q21" s="5" t="s">
        <v>210</v>
      </c>
      <c r="R21" s="5" t="s">
        <v>57</v>
      </c>
      <c r="S21" s="5" t="s">
        <v>69</v>
      </c>
      <c r="T21" s="1">
        <v>10</v>
      </c>
      <c r="U21" s="1">
        <v>17</v>
      </c>
      <c r="V21" s="1">
        <v>43</v>
      </c>
      <c r="AA21">
        <f t="shared" si="13"/>
        <v>19</v>
      </c>
      <c r="AB21">
        <f t="shared" si="5"/>
        <v>0</v>
      </c>
    </row>
    <row r="22" spans="1:28" x14ac:dyDescent="0.3">
      <c r="A22" s="3">
        <v>7</v>
      </c>
      <c r="B22" s="4"/>
      <c r="C22" s="6" t="s">
        <v>141</v>
      </c>
      <c r="D22" s="5"/>
      <c r="E22" s="5" t="s">
        <v>66</v>
      </c>
      <c r="F22" s="5" t="s">
        <v>68</v>
      </c>
      <c r="G22" s="5" t="s">
        <v>58</v>
      </c>
      <c r="H22" s="5" t="s">
        <v>59</v>
      </c>
      <c r="I22" s="5" t="s">
        <v>54</v>
      </c>
      <c r="J22" s="5" t="s">
        <v>51</v>
      </c>
      <c r="K22" s="5" t="s">
        <v>207</v>
      </c>
      <c r="L22" s="5" t="s">
        <v>56</v>
      </c>
      <c r="M22" s="5" t="s">
        <v>62</v>
      </c>
      <c r="N22" s="5" t="s">
        <v>72</v>
      </c>
      <c r="O22" s="5" t="s">
        <v>55</v>
      </c>
      <c r="P22" s="5" t="s">
        <v>67</v>
      </c>
      <c r="Q22" s="5" t="s">
        <v>73</v>
      </c>
      <c r="R22" s="5" t="s">
        <v>50</v>
      </c>
      <c r="S22" s="5" t="s">
        <v>60</v>
      </c>
      <c r="T22" s="1">
        <v>10</v>
      </c>
      <c r="U22" s="1">
        <v>16</v>
      </c>
      <c r="V22" s="1">
        <v>44</v>
      </c>
      <c r="AA22">
        <f t="shared" si="13"/>
        <v>20</v>
      </c>
      <c r="AB22">
        <f t="shared" si="5"/>
        <v>0</v>
      </c>
    </row>
    <row r="23" spans="1:28" x14ac:dyDescent="0.3">
      <c r="A23" s="3">
        <v>8</v>
      </c>
      <c r="B23" s="4"/>
      <c r="C23" s="6" t="s">
        <v>37</v>
      </c>
      <c r="D23" s="5"/>
      <c r="E23" s="5" t="s">
        <v>52</v>
      </c>
      <c r="F23" s="5" t="s">
        <v>65</v>
      </c>
      <c r="G23" s="5" t="s">
        <v>58</v>
      </c>
      <c r="H23" s="5" t="s">
        <v>71</v>
      </c>
      <c r="I23" s="5" t="s">
        <v>54</v>
      </c>
      <c r="J23" s="5" t="s">
        <v>61</v>
      </c>
      <c r="K23" s="5" t="s">
        <v>48</v>
      </c>
      <c r="L23" s="5" t="s">
        <v>56</v>
      </c>
      <c r="M23" s="5" t="s">
        <v>74</v>
      </c>
      <c r="N23" s="5" t="s">
        <v>53</v>
      </c>
      <c r="O23" s="5" t="s">
        <v>55</v>
      </c>
      <c r="P23" s="5" t="s">
        <v>64</v>
      </c>
      <c r="Q23" s="5" t="s">
        <v>73</v>
      </c>
      <c r="R23" s="5" t="s">
        <v>50</v>
      </c>
      <c r="S23" s="5" t="s">
        <v>60</v>
      </c>
      <c r="T23" s="1">
        <v>10</v>
      </c>
      <c r="U23" s="1">
        <v>16</v>
      </c>
      <c r="V23" s="1">
        <v>45</v>
      </c>
      <c r="AA23">
        <f t="shared" si="13"/>
        <v>21</v>
      </c>
      <c r="AB23">
        <f t="shared" si="5"/>
        <v>0</v>
      </c>
    </row>
    <row r="24" spans="1:28" x14ac:dyDescent="0.3">
      <c r="A24" s="3">
        <v>9</v>
      </c>
      <c r="B24" s="4"/>
      <c r="C24" s="6" t="s">
        <v>106</v>
      </c>
      <c r="D24" s="5"/>
      <c r="E24" s="5" t="s">
        <v>66</v>
      </c>
      <c r="F24" s="5" t="s">
        <v>65</v>
      </c>
      <c r="G24" s="5" t="s">
        <v>58</v>
      </c>
      <c r="H24" s="5" t="s">
        <v>59</v>
      </c>
      <c r="I24" s="5" t="s">
        <v>63</v>
      </c>
      <c r="J24" s="5" t="s">
        <v>51</v>
      </c>
      <c r="K24" s="5" t="s">
        <v>48</v>
      </c>
      <c r="L24" s="5" t="s">
        <v>56</v>
      </c>
      <c r="M24" s="5" t="s">
        <v>62</v>
      </c>
      <c r="N24" s="5" t="s">
        <v>72</v>
      </c>
      <c r="O24" s="5" t="s">
        <v>55</v>
      </c>
      <c r="P24" s="5" t="s">
        <v>67</v>
      </c>
      <c r="Q24" s="5" t="s">
        <v>73</v>
      </c>
      <c r="R24" s="5" t="s">
        <v>50</v>
      </c>
      <c r="S24" s="5" t="s">
        <v>69</v>
      </c>
      <c r="T24" s="1">
        <v>10</v>
      </c>
      <c r="U24" s="1">
        <v>16</v>
      </c>
      <c r="V24" s="1">
        <v>45</v>
      </c>
      <c r="AA24">
        <f t="shared" si="13"/>
        <v>22</v>
      </c>
      <c r="AB24">
        <f t="shared" si="5"/>
        <v>0</v>
      </c>
    </row>
    <row r="25" spans="1:28" ht="28.8" x14ac:dyDescent="0.3">
      <c r="A25" s="3">
        <v>10</v>
      </c>
      <c r="B25" s="4"/>
      <c r="C25" s="6" t="s">
        <v>165</v>
      </c>
      <c r="D25" s="5"/>
      <c r="E25" s="5" t="s">
        <v>66</v>
      </c>
      <c r="F25" s="5" t="s">
        <v>65</v>
      </c>
      <c r="G25" s="5" t="s">
        <v>58</v>
      </c>
      <c r="H25" s="5" t="s">
        <v>59</v>
      </c>
      <c r="I25" s="5" t="s">
        <v>63</v>
      </c>
      <c r="J25" s="5" t="s">
        <v>61</v>
      </c>
      <c r="K25" s="5" t="s">
        <v>48</v>
      </c>
      <c r="L25" s="5" t="s">
        <v>47</v>
      </c>
      <c r="M25" s="5" t="s">
        <v>74</v>
      </c>
      <c r="N25" s="5" t="s">
        <v>72</v>
      </c>
      <c r="O25" s="5" t="s">
        <v>209</v>
      </c>
      <c r="P25" s="5" t="s">
        <v>67</v>
      </c>
      <c r="Q25" s="5" t="s">
        <v>73</v>
      </c>
      <c r="R25" s="5" t="s">
        <v>50</v>
      </c>
      <c r="S25" s="5" t="s">
        <v>69</v>
      </c>
      <c r="T25" s="1">
        <v>10</v>
      </c>
      <c r="U25" s="1">
        <v>16</v>
      </c>
      <c r="V25" s="1">
        <v>47</v>
      </c>
      <c r="AA25">
        <f t="shared" si="13"/>
        <v>23</v>
      </c>
      <c r="AB25">
        <f t="shared" si="5"/>
        <v>1</v>
      </c>
    </row>
    <row r="26" spans="1:28" ht="28.8" x14ac:dyDescent="0.3">
      <c r="A26" s="3">
        <v>11</v>
      </c>
      <c r="B26" s="4"/>
      <c r="C26" s="6" t="s">
        <v>147</v>
      </c>
      <c r="D26" s="5"/>
      <c r="E26" s="5" t="s">
        <v>66</v>
      </c>
      <c r="F26" s="5" t="s">
        <v>68</v>
      </c>
      <c r="G26" s="5" t="s">
        <v>58</v>
      </c>
      <c r="H26" s="5" t="s">
        <v>71</v>
      </c>
      <c r="I26" s="5" t="s">
        <v>54</v>
      </c>
      <c r="J26" s="5" t="s">
        <v>61</v>
      </c>
      <c r="K26" s="5" t="s">
        <v>207</v>
      </c>
      <c r="L26" s="5" t="s">
        <v>56</v>
      </c>
      <c r="M26" s="5" t="s">
        <v>62</v>
      </c>
      <c r="N26" s="5" t="s">
        <v>72</v>
      </c>
      <c r="O26" s="5" t="s">
        <v>55</v>
      </c>
      <c r="P26" s="5" t="s">
        <v>64</v>
      </c>
      <c r="Q26" s="5" t="s">
        <v>73</v>
      </c>
      <c r="R26" s="5" t="s">
        <v>50</v>
      </c>
      <c r="S26" s="5" t="s">
        <v>69</v>
      </c>
      <c r="T26" s="1">
        <v>10</v>
      </c>
      <c r="U26" s="1">
        <v>18</v>
      </c>
      <c r="V26" s="1">
        <v>48</v>
      </c>
      <c r="AA26">
        <f t="shared" si="13"/>
        <v>24</v>
      </c>
      <c r="AB26">
        <f t="shared" si="5"/>
        <v>1</v>
      </c>
    </row>
    <row r="27" spans="1:28" ht="28.8" x14ac:dyDescent="0.3">
      <c r="A27" s="3">
        <v>12</v>
      </c>
      <c r="B27" s="4"/>
      <c r="C27" s="6" t="s">
        <v>191</v>
      </c>
      <c r="D27" s="5"/>
      <c r="E27" s="5" t="s">
        <v>66</v>
      </c>
      <c r="F27" s="5" t="s">
        <v>65</v>
      </c>
      <c r="G27" s="5" t="s">
        <v>70</v>
      </c>
      <c r="H27" s="5" t="s">
        <v>71</v>
      </c>
      <c r="I27" s="5" t="s">
        <v>54</v>
      </c>
      <c r="J27" s="5" t="s">
        <v>61</v>
      </c>
      <c r="K27" s="5" t="s">
        <v>207</v>
      </c>
      <c r="L27" s="5" t="s">
        <v>47</v>
      </c>
      <c r="M27" s="5" t="s">
        <v>74</v>
      </c>
      <c r="N27" s="5" t="s">
        <v>72</v>
      </c>
      <c r="O27" s="5" t="s">
        <v>209</v>
      </c>
      <c r="P27" s="5" t="s">
        <v>67</v>
      </c>
      <c r="Q27" s="5" t="s">
        <v>73</v>
      </c>
      <c r="R27" s="5" t="s">
        <v>50</v>
      </c>
      <c r="S27" s="5" t="s">
        <v>69</v>
      </c>
      <c r="T27" s="1">
        <v>10</v>
      </c>
      <c r="U27" s="1">
        <v>14</v>
      </c>
      <c r="V27" s="1">
        <v>49</v>
      </c>
      <c r="AA27">
        <f t="shared" si="13"/>
        <v>25</v>
      </c>
      <c r="AB27">
        <f t="shared" si="5"/>
        <v>0</v>
      </c>
    </row>
    <row r="28" spans="1:28" x14ac:dyDescent="0.3">
      <c r="A28" s="3">
        <v>13</v>
      </c>
      <c r="B28" s="4"/>
      <c r="C28" s="6" t="s">
        <v>13</v>
      </c>
      <c r="D28" s="5"/>
      <c r="E28" s="5" t="s">
        <v>66</v>
      </c>
      <c r="F28" s="5" t="s">
        <v>65</v>
      </c>
      <c r="G28" s="5" t="s">
        <v>70</v>
      </c>
      <c r="H28" s="5" t="s">
        <v>59</v>
      </c>
      <c r="I28" s="5" t="s">
        <v>63</v>
      </c>
      <c r="J28" s="5" t="s">
        <v>51</v>
      </c>
      <c r="K28" s="5" t="s">
        <v>207</v>
      </c>
      <c r="L28" s="5" t="s">
        <v>56</v>
      </c>
      <c r="M28" s="5" t="s">
        <v>62</v>
      </c>
      <c r="N28" s="5" t="s">
        <v>53</v>
      </c>
      <c r="O28" s="5" t="s">
        <v>55</v>
      </c>
      <c r="P28" s="5" t="s">
        <v>67</v>
      </c>
      <c r="Q28" s="5" t="s">
        <v>73</v>
      </c>
      <c r="R28" s="5" t="s">
        <v>57</v>
      </c>
      <c r="S28" s="5" t="s">
        <v>69</v>
      </c>
      <c r="T28" s="1">
        <v>10</v>
      </c>
      <c r="U28" s="1">
        <v>16</v>
      </c>
      <c r="V28" s="1">
        <v>51</v>
      </c>
      <c r="AA28">
        <f t="shared" si="13"/>
        <v>26</v>
      </c>
      <c r="AB28">
        <f t="shared" si="5"/>
        <v>0</v>
      </c>
    </row>
    <row r="29" spans="1:28" ht="28.8" x14ac:dyDescent="0.3">
      <c r="A29" s="3">
        <v>14</v>
      </c>
      <c r="B29" s="4"/>
      <c r="C29" s="6" t="s">
        <v>184</v>
      </c>
      <c r="D29" s="5"/>
      <c r="E29" s="5" t="s">
        <v>66</v>
      </c>
      <c r="F29" s="5" t="s">
        <v>68</v>
      </c>
      <c r="G29" s="5" t="s">
        <v>58</v>
      </c>
      <c r="H29" s="5" t="s">
        <v>71</v>
      </c>
      <c r="I29" s="5" t="s">
        <v>54</v>
      </c>
      <c r="J29" s="5" t="s">
        <v>61</v>
      </c>
      <c r="K29" s="5" t="s">
        <v>207</v>
      </c>
      <c r="L29" s="5" t="s">
        <v>56</v>
      </c>
      <c r="M29" s="5" t="s">
        <v>62</v>
      </c>
      <c r="N29" s="5" t="s">
        <v>72</v>
      </c>
      <c r="O29" s="5" t="s">
        <v>55</v>
      </c>
      <c r="P29" s="5" t="s">
        <v>64</v>
      </c>
      <c r="Q29" s="5" t="s">
        <v>73</v>
      </c>
      <c r="R29" s="5" t="s">
        <v>50</v>
      </c>
      <c r="S29" s="5" t="s">
        <v>69</v>
      </c>
      <c r="T29" s="1">
        <v>10</v>
      </c>
      <c r="U29" s="1">
        <v>15</v>
      </c>
      <c r="V29" s="1">
        <v>52</v>
      </c>
      <c r="AA29">
        <f t="shared" si="13"/>
        <v>27</v>
      </c>
      <c r="AB29">
        <f t="shared" si="5"/>
        <v>0</v>
      </c>
    </row>
    <row r="30" spans="1:28" ht="28.8" x14ac:dyDescent="0.3">
      <c r="A30" s="3">
        <v>15</v>
      </c>
      <c r="B30" s="4"/>
      <c r="C30" s="6" t="s">
        <v>170</v>
      </c>
      <c r="D30" s="5"/>
      <c r="E30" s="5" t="s">
        <v>66</v>
      </c>
      <c r="F30" s="5" t="s">
        <v>65</v>
      </c>
      <c r="G30" s="5" t="s">
        <v>58</v>
      </c>
      <c r="H30" s="5" t="s">
        <v>59</v>
      </c>
      <c r="I30" s="5" t="s">
        <v>54</v>
      </c>
      <c r="J30" s="5" t="s">
        <v>61</v>
      </c>
      <c r="K30" s="5" t="s">
        <v>48</v>
      </c>
      <c r="L30" s="5" t="s">
        <v>56</v>
      </c>
      <c r="M30" s="5" t="s">
        <v>74</v>
      </c>
      <c r="N30" s="5" t="s">
        <v>72</v>
      </c>
      <c r="O30" s="5" t="s">
        <v>209</v>
      </c>
      <c r="P30" s="5" t="s">
        <v>67</v>
      </c>
      <c r="Q30" s="5" t="s">
        <v>210</v>
      </c>
      <c r="R30" s="5" t="s">
        <v>57</v>
      </c>
      <c r="S30" s="5" t="s">
        <v>60</v>
      </c>
      <c r="T30" s="1">
        <v>9</v>
      </c>
      <c r="U30" s="1">
        <v>14</v>
      </c>
      <c r="V30" s="1">
        <v>43</v>
      </c>
      <c r="AA30">
        <f t="shared" si="13"/>
        <v>28</v>
      </c>
      <c r="AB30">
        <f t="shared" si="5"/>
        <v>0</v>
      </c>
    </row>
    <row r="31" spans="1:28" ht="28.8" x14ac:dyDescent="0.3">
      <c r="A31" s="3">
        <v>16</v>
      </c>
      <c r="B31" s="4"/>
      <c r="C31" s="6" t="s">
        <v>36</v>
      </c>
      <c r="D31" s="5"/>
      <c r="E31" s="5" t="s">
        <v>52</v>
      </c>
      <c r="F31" s="5" t="s">
        <v>65</v>
      </c>
      <c r="G31" s="5" t="s">
        <v>70</v>
      </c>
      <c r="H31" s="5" t="s">
        <v>71</v>
      </c>
      <c r="I31" s="5" t="s">
        <v>63</v>
      </c>
      <c r="J31" s="5" t="s">
        <v>61</v>
      </c>
      <c r="K31" s="5" t="s">
        <v>207</v>
      </c>
      <c r="L31" s="5" t="s">
        <v>56</v>
      </c>
      <c r="M31" s="5" t="s">
        <v>62</v>
      </c>
      <c r="N31" s="5" t="s">
        <v>53</v>
      </c>
      <c r="O31" s="5" t="s">
        <v>55</v>
      </c>
      <c r="P31" s="5" t="s">
        <v>67</v>
      </c>
      <c r="Q31" s="5" t="s">
        <v>73</v>
      </c>
      <c r="R31" s="5" t="s">
        <v>50</v>
      </c>
      <c r="S31" s="5" t="s">
        <v>60</v>
      </c>
      <c r="T31" s="1">
        <v>9</v>
      </c>
      <c r="U31" s="1">
        <v>14</v>
      </c>
      <c r="V31" s="1">
        <v>42</v>
      </c>
      <c r="AA31">
        <f t="shared" si="13"/>
        <v>29</v>
      </c>
      <c r="AB31">
        <f t="shared" si="5"/>
        <v>0</v>
      </c>
    </row>
    <row r="32" spans="1:28" x14ac:dyDescent="0.3">
      <c r="A32" s="3">
        <v>17</v>
      </c>
      <c r="B32" s="4"/>
      <c r="C32" s="6" t="s">
        <v>101</v>
      </c>
      <c r="D32" s="5"/>
      <c r="E32" s="5" t="s">
        <v>52</v>
      </c>
      <c r="F32" s="5" t="s">
        <v>65</v>
      </c>
      <c r="G32" s="5" t="s">
        <v>58</v>
      </c>
      <c r="H32" s="5" t="s">
        <v>59</v>
      </c>
      <c r="I32" s="5" t="s">
        <v>63</v>
      </c>
      <c r="J32" s="5" t="s">
        <v>61</v>
      </c>
      <c r="K32" s="5" t="s">
        <v>48</v>
      </c>
      <c r="L32" s="5" t="s">
        <v>56</v>
      </c>
      <c r="M32" s="5" t="s">
        <v>74</v>
      </c>
      <c r="N32" s="5" t="s">
        <v>72</v>
      </c>
      <c r="O32" s="5" t="s">
        <v>209</v>
      </c>
      <c r="P32" s="5" t="s">
        <v>67</v>
      </c>
      <c r="Q32" s="5" t="s">
        <v>73</v>
      </c>
      <c r="R32" s="5" t="s">
        <v>50</v>
      </c>
      <c r="S32" s="5" t="s">
        <v>60</v>
      </c>
      <c r="T32" s="1">
        <v>9</v>
      </c>
      <c r="U32" s="1">
        <v>15</v>
      </c>
      <c r="V32" s="1">
        <v>44</v>
      </c>
      <c r="AA32">
        <f t="shared" si="13"/>
        <v>30</v>
      </c>
      <c r="AB32">
        <f t="shared" si="5"/>
        <v>0</v>
      </c>
    </row>
    <row r="33" spans="1:28" ht="28.8" x14ac:dyDescent="0.3">
      <c r="A33" s="3">
        <v>18</v>
      </c>
      <c r="B33" s="4"/>
      <c r="C33" s="6" t="s">
        <v>114</v>
      </c>
      <c r="D33" s="5"/>
      <c r="E33" s="5" t="s">
        <v>66</v>
      </c>
      <c r="F33" s="5" t="s">
        <v>65</v>
      </c>
      <c r="G33" s="5" t="s">
        <v>70</v>
      </c>
      <c r="H33" s="5" t="s">
        <v>59</v>
      </c>
      <c r="I33" s="5" t="s">
        <v>54</v>
      </c>
      <c r="J33" s="5" t="s">
        <v>51</v>
      </c>
      <c r="K33" s="5" t="s">
        <v>48</v>
      </c>
      <c r="L33" s="5" t="s">
        <v>56</v>
      </c>
      <c r="M33" s="5" t="s">
        <v>74</v>
      </c>
      <c r="N33" s="5" t="s">
        <v>53</v>
      </c>
      <c r="O33" s="5" t="s">
        <v>209</v>
      </c>
      <c r="P33" s="5" t="s">
        <v>67</v>
      </c>
      <c r="Q33" s="5" t="s">
        <v>210</v>
      </c>
      <c r="R33" s="5" t="s">
        <v>50</v>
      </c>
      <c r="S33" s="5" t="s">
        <v>60</v>
      </c>
      <c r="T33" s="1">
        <v>9</v>
      </c>
      <c r="U33" s="1">
        <v>20</v>
      </c>
      <c r="V33" s="1">
        <v>45</v>
      </c>
      <c r="AA33">
        <f t="shared" si="13"/>
        <v>31</v>
      </c>
      <c r="AB33">
        <f t="shared" si="5"/>
        <v>1</v>
      </c>
    </row>
    <row r="34" spans="1:28" x14ac:dyDescent="0.3">
      <c r="A34" s="3">
        <v>19</v>
      </c>
      <c r="B34" s="4"/>
      <c r="C34" s="6" t="s">
        <v>94</v>
      </c>
      <c r="D34" s="5"/>
      <c r="E34" s="5" t="s">
        <v>66</v>
      </c>
      <c r="F34" s="5" t="s">
        <v>65</v>
      </c>
      <c r="G34" s="5" t="s">
        <v>58</v>
      </c>
      <c r="H34" s="5" t="s">
        <v>59</v>
      </c>
      <c r="I34" s="5" t="s">
        <v>63</v>
      </c>
      <c r="J34" s="5" t="s">
        <v>51</v>
      </c>
      <c r="K34" s="5" t="s">
        <v>48</v>
      </c>
      <c r="L34" s="5" t="s">
        <v>56</v>
      </c>
      <c r="M34" s="5" t="s">
        <v>74</v>
      </c>
      <c r="N34" s="5" t="s">
        <v>53</v>
      </c>
      <c r="O34" s="5" t="s">
        <v>209</v>
      </c>
      <c r="P34" s="5" t="s">
        <v>67</v>
      </c>
      <c r="Q34" s="5" t="s">
        <v>73</v>
      </c>
      <c r="R34" s="5" t="s">
        <v>57</v>
      </c>
      <c r="S34" s="5" t="s">
        <v>60</v>
      </c>
      <c r="T34" s="1">
        <v>9</v>
      </c>
      <c r="U34" s="1">
        <v>20</v>
      </c>
      <c r="V34" s="1">
        <v>45</v>
      </c>
      <c r="AA34">
        <f t="shared" si="13"/>
        <v>32</v>
      </c>
      <c r="AB34">
        <f t="shared" si="5"/>
        <v>1</v>
      </c>
    </row>
    <row r="35" spans="1:28" ht="28.8" x14ac:dyDescent="0.3">
      <c r="A35" s="3">
        <v>20</v>
      </c>
      <c r="B35" s="4"/>
      <c r="C35" s="6" t="s">
        <v>17</v>
      </c>
      <c r="D35" s="5"/>
      <c r="E35" s="5" t="s">
        <v>66</v>
      </c>
      <c r="F35" s="5" t="s">
        <v>65</v>
      </c>
      <c r="G35" s="5" t="s">
        <v>70</v>
      </c>
      <c r="H35" s="5" t="s">
        <v>59</v>
      </c>
      <c r="I35" s="5" t="s">
        <v>63</v>
      </c>
      <c r="J35" s="5" t="s">
        <v>61</v>
      </c>
      <c r="K35" s="5" t="s">
        <v>48</v>
      </c>
      <c r="L35" s="5" t="s">
        <v>56</v>
      </c>
      <c r="M35" s="5" t="s">
        <v>62</v>
      </c>
      <c r="N35" s="5" t="s">
        <v>53</v>
      </c>
      <c r="O35" s="5" t="s">
        <v>55</v>
      </c>
      <c r="P35" s="5" t="s">
        <v>67</v>
      </c>
      <c r="Q35" s="5" t="s">
        <v>210</v>
      </c>
      <c r="R35" s="5" t="s">
        <v>50</v>
      </c>
      <c r="S35" s="5" t="s">
        <v>60</v>
      </c>
      <c r="T35" s="1">
        <v>9</v>
      </c>
      <c r="U35" s="1">
        <v>18</v>
      </c>
      <c r="V35" s="1">
        <v>40</v>
      </c>
      <c r="AA35">
        <f t="shared" si="13"/>
        <v>33</v>
      </c>
      <c r="AB35">
        <f t="shared" si="5"/>
        <v>0</v>
      </c>
    </row>
    <row r="36" spans="1:28" ht="28.8" x14ac:dyDescent="0.3">
      <c r="A36" s="3">
        <v>21</v>
      </c>
      <c r="B36" s="4"/>
      <c r="C36" s="6" t="s">
        <v>22</v>
      </c>
      <c r="D36" s="5"/>
      <c r="E36" s="5" t="s">
        <v>52</v>
      </c>
      <c r="F36" s="5" t="s">
        <v>65</v>
      </c>
      <c r="G36" s="5" t="s">
        <v>70</v>
      </c>
      <c r="H36" s="5" t="s">
        <v>59</v>
      </c>
      <c r="I36" s="5" t="s">
        <v>54</v>
      </c>
      <c r="J36" s="5" t="s">
        <v>61</v>
      </c>
      <c r="K36" s="5" t="s">
        <v>48</v>
      </c>
      <c r="L36" s="5" t="s">
        <v>47</v>
      </c>
      <c r="M36" s="5" t="s">
        <v>74</v>
      </c>
      <c r="N36" s="5" t="s">
        <v>53</v>
      </c>
      <c r="O36" s="5" t="s">
        <v>209</v>
      </c>
      <c r="P36" s="5" t="s">
        <v>67</v>
      </c>
      <c r="Q36" s="5" t="s">
        <v>210</v>
      </c>
      <c r="R36" s="5" t="s">
        <v>50</v>
      </c>
      <c r="S36" s="5" t="s">
        <v>69</v>
      </c>
      <c r="T36" s="1">
        <v>9</v>
      </c>
      <c r="U36" s="1">
        <v>15</v>
      </c>
      <c r="V36" s="1">
        <v>47</v>
      </c>
      <c r="AA36">
        <f t="shared" si="13"/>
        <v>34</v>
      </c>
      <c r="AB36">
        <f t="shared" si="5"/>
        <v>1</v>
      </c>
    </row>
    <row r="37" spans="1:28" x14ac:dyDescent="0.3">
      <c r="A37" s="3">
        <v>22</v>
      </c>
      <c r="B37" s="4"/>
      <c r="C37" s="6" t="s">
        <v>183</v>
      </c>
      <c r="D37" s="5"/>
      <c r="E37" s="5" t="s">
        <v>52</v>
      </c>
      <c r="F37" s="5" t="s">
        <v>65</v>
      </c>
      <c r="G37" s="5" t="s">
        <v>58</v>
      </c>
      <c r="H37" s="5" t="s">
        <v>59</v>
      </c>
      <c r="I37" s="5" t="s">
        <v>54</v>
      </c>
      <c r="J37" s="5" t="s">
        <v>51</v>
      </c>
      <c r="K37" s="5" t="s">
        <v>48</v>
      </c>
      <c r="L37" s="5" t="s">
        <v>56</v>
      </c>
      <c r="M37" s="5" t="s">
        <v>74</v>
      </c>
      <c r="N37" s="5" t="s">
        <v>53</v>
      </c>
      <c r="O37" s="5" t="s">
        <v>55</v>
      </c>
      <c r="P37" s="5" t="s">
        <v>67</v>
      </c>
      <c r="Q37" s="5" t="s">
        <v>210</v>
      </c>
      <c r="R37" s="5" t="s">
        <v>57</v>
      </c>
      <c r="S37" s="5" t="s">
        <v>60</v>
      </c>
      <c r="T37" s="1">
        <v>9</v>
      </c>
      <c r="U37" s="1">
        <v>18</v>
      </c>
      <c r="V37" s="1">
        <v>47</v>
      </c>
      <c r="AA37">
        <f t="shared" si="13"/>
        <v>35</v>
      </c>
      <c r="AB37">
        <f t="shared" si="5"/>
        <v>3</v>
      </c>
    </row>
    <row r="38" spans="1:28" x14ac:dyDescent="0.3">
      <c r="A38" s="3">
        <v>23</v>
      </c>
      <c r="B38" s="4"/>
      <c r="C38" s="6" t="s">
        <v>149</v>
      </c>
      <c r="D38" s="5"/>
      <c r="E38" s="5" t="s">
        <v>66</v>
      </c>
      <c r="F38" s="5" t="s">
        <v>68</v>
      </c>
      <c r="G38" s="5" t="s">
        <v>58</v>
      </c>
      <c r="H38" s="5" t="s">
        <v>71</v>
      </c>
      <c r="I38" s="5" t="s">
        <v>54</v>
      </c>
      <c r="J38" s="5" t="s">
        <v>61</v>
      </c>
      <c r="K38" s="5" t="s">
        <v>207</v>
      </c>
      <c r="L38" s="5" t="s">
        <v>56</v>
      </c>
      <c r="M38" s="5" t="s">
        <v>62</v>
      </c>
      <c r="N38" s="5" t="s">
        <v>72</v>
      </c>
      <c r="O38" s="5" t="s">
        <v>55</v>
      </c>
      <c r="P38" s="5" t="s">
        <v>64</v>
      </c>
      <c r="Q38" s="5" t="s">
        <v>73</v>
      </c>
      <c r="R38" s="5" t="s">
        <v>57</v>
      </c>
      <c r="S38" s="5" t="s">
        <v>69</v>
      </c>
      <c r="T38" s="1">
        <v>9</v>
      </c>
      <c r="U38" s="1">
        <v>14</v>
      </c>
      <c r="V38" s="1">
        <v>47</v>
      </c>
      <c r="AA38">
        <f t="shared" si="13"/>
        <v>36</v>
      </c>
      <c r="AB38">
        <f t="shared" si="5"/>
        <v>0</v>
      </c>
    </row>
    <row r="39" spans="1:28" ht="28.8" x14ac:dyDescent="0.3">
      <c r="A39" s="3">
        <v>24</v>
      </c>
      <c r="B39" s="4"/>
      <c r="C39" s="6" t="s">
        <v>162</v>
      </c>
      <c r="D39" s="5"/>
      <c r="E39" s="5" t="s">
        <v>66</v>
      </c>
      <c r="F39" s="5" t="s">
        <v>65</v>
      </c>
      <c r="G39" s="5" t="s">
        <v>58</v>
      </c>
      <c r="H39" s="5" t="s">
        <v>71</v>
      </c>
      <c r="I39" s="5" t="s">
        <v>54</v>
      </c>
      <c r="J39" s="5" t="s">
        <v>51</v>
      </c>
      <c r="K39" s="5" t="s">
        <v>207</v>
      </c>
      <c r="L39" s="5" t="s">
        <v>56</v>
      </c>
      <c r="M39" s="5" t="s">
        <v>74</v>
      </c>
      <c r="N39" s="5" t="s">
        <v>53</v>
      </c>
      <c r="O39" s="5" t="s">
        <v>209</v>
      </c>
      <c r="P39" s="5" t="s">
        <v>64</v>
      </c>
      <c r="Q39" s="5" t="s">
        <v>210</v>
      </c>
      <c r="R39" s="5" t="s">
        <v>50</v>
      </c>
      <c r="S39" s="5" t="s">
        <v>60</v>
      </c>
      <c r="T39" s="1">
        <v>9</v>
      </c>
      <c r="U39" s="1">
        <v>18</v>
      </c>
      <c r="V39" s="1">
        <v>48</v>
      </c>
      <c r="AA39">
        <f t="shared" si="13"/>
        <v>37</v>
      </c>
      <c r="AB39">
        <f t="shared" si="5"/>
        <v>3</v>
      </c>
    </row>
    <row r="40" spans="1:28" x14ac:dyDescent="0.3">
      <c r="A40" s="3">
        <v>25</v>
      </c>
      <c r="B40" s="4"/>
      <c r="C40" s="6" t="s">
        <v>43</v>
      </c>
      <c r="D40" s="5"/>
      <c r="E40" s="5" t="s">
        <v>52</v>
      </c>
      <c r="F40" s="5" t="s">
        <v>65</v>
      </c>
      <c r="G40" s="5" t="s">
        <v>70</v>
      </c>
      <c r="H40" s="5" t="s">
        <v>59</v>
      </c>
      <c r="I40" s="5" t="s">
        <v>63</v>
      </c>
      <c r="J40" s="5" t="s">
        <v>61</v>
      </c>
      <c r="K40" s="5" t="s">
        <v>48</v>
      </c>
      <c r="L40" s="5" t="s">
        <v>47</v>
      </c>
      <c r="M40" s="5" t="s">
        <v>74</v>
      </c>
      <c r="N40" s="5" t="s">
        <v>53</v>
      </c>
      <c r="O40" s="5" t="s">
        <v>209</v>
      </c>
      <c r="P40" s="5" t="s">
        <v>67</v>
      </c>
      <c r="Q40" s="5" t="s">
        <v>73</v>
      </c>
      <c r="R40" s="5" t="s">
        <v>50</v>
      </c>
      <c r="S40" s="5" t="s">
        <v>69</v>
      </c>
      <c r="T40" s="1">
        <v>9</v>
      </c>
      <c r="U40" s="1">
        <v>13</v>
      </c>
      <c r="V40" s="1">
        <v>37</v>
      </c>
      <c r="AA40">
        <f t="shared" si="13"/>
        <v>38</v>
      </c>
      <c r="AB40">
        <f t="shared" si="5"/>
        <v>2</v>
      </c>
    </row>
    <row r="41" spans="1:28" x14ac:dyDescent="0.3">
      <c r="A41" s="3">
        <v>26</v>
      </c>
      <c r="B41" s="4"/>
      <c r="C41" s="6" t="s">
        <v>142</v>
      </c>
      <c r="D41" s="5"/>
      <c r="E41" s="5" t="s">
        <v>66</v>
      </c>
      <c r="F41" s="5" t="s">
        <v>68</v>
      </c>
      <c r="G41" s="5" t="s">
        <v>70</v>
      </c>
      <c r="H41" s="5" t="s">
        <v>71</v>
      </c>
      <c r="I41" s="5" t="s">
        <v>54</v>
      </c>
      <c r="J41" s="5" t="s">
        <v>61</v>
      </c>
      <c r="K41" s="5" t="s">
        <v>207</v>
      </c>
      <c r="L41" s="5" t="s">
        <v>56</v>
      </c>
      <c r="M41" s="5" t="s">
        <v>74</v>
      </c>
      <c r="N41" s="5" t="s">
        <v>72</v>
      </c>
      <c r="O41" s="5" t="s">
        <v>209</v>
      </c>
      <c r="P41" s="5" t="s">
        <v>67</v>
      </c>
      <c r="Q41" s="5" t="s">
        <v>73</v>
      </c>
      <c r="R41" s="5" t="s">
        <v>50</v>
      </c>
      <c r="S41" s="5" t="s">
        <v>60</v>
      </c>
      <c r="T41" s="1">
        <v>9</v>
      </c>
      <c r="U41" s="1">
        <v>15</v>
      </c>
      <c r="V41" s="1">
        <v>50</v>
      </c>
      <c r="AA41">
        <f t="shared" si="13"/>
        <v>39</v>
      </c>
      <c r="AB41">
        <f t="shared" si="5"/>
        <v>2</v>
      </c>
    </row>
    <row r="42" spans="1:28" x14ac:dyDescent="0.3">
      <c r="A42" s="3">
        <v>27</v>
      </c>
      <c r="B42" s="4"/>
      <c r="C42" s="6" t="s">
        <v>145</v>
      </c>
      <c r="D42" s="5"/>
      <c r="E42" s="5" t="s">
        <v>66</v>
      </c>
      <c r="F42" s="5" t="s">
        <v>65</v>
      </c>
      <c r="G42" s="5" t="s">
        <v>58</v>
      </c>
      <c r="H42" s="5" t="s">
        <v>59</v>
      </c>
      <c r="I42" s="5" t="s">
        <v>63</v>
      </c>
      <c r="J42" s="5" t="s">
        <v>51</v>
      </c>
      <c r="K42" s="5" t="s">
        <v>48</v>
      </c>
      <c r="L42" s="5" t="s">
        <v>56</v>
      </c>
      <c r="M42" s="5" t="s">
        <v>74</v>
      </c>
      <c r="N42" s="5" t="s">
        <v>53</v>
      </c>
      <c r="O42" s="5" t="s">
        <v>209</v>
      </c>
      <c r="P42" s="5" t="s">
        <v>64</v>
      </c>
      <c r="Q42" s="5" t="s">
        <v>73</v>
      </c>
      <c r="R42" s="5" t="s">
        <v>50</v>
      </c>
      <c r="S42" s="5" t="s">
        <v>60</v>
      </c>
      <c r="T42" s="1">
        <v>9</v>
      </c>
      <c r="U42" s="1">
        <v>16</v>
      </c>
      <c r="V42" s="1">
        <v>52</v>
      </c>
      <c r="AA42">
        <f t="shared" si="13"/>
        <v>40</v>
      </c>
      <c r="AB42">
        <f t="shared" si="5"/>
        <v>3</v>
      </c>
    </row>
    <row r="43" spans="1:28" x14ac:dyDescent="0.3">
      <c r="A43" s="3">
        <v>28</v>
      </c>
      <c r="B43" s="4"/>
      <c r="C43" s="6" t="s">
        <v>168</v>
      </c>
      <c r="D43" s="5"/>
      <c r="E43" s="5" t="s">
        <v>52</v>
      </c>
      <c r="F43" s="5" t="s">
        <v>68</v>
      </c>
      <c r="G43" s="5" t="s">
        <v>58</v>
      </c>
      <c r="H43" s="5" t="s">
        <v>71</v>
      </c>
      <c r="I43" s="5" t="s">
        <v>54</v>
      </c>
      <c r="J43" s="5" t="s">
        <v>51</v>
      </c>
      <c r="K43" s="5" t="s">
        <v>207</v>
      </c>
      <c r="L43" s="5" t="s">
        <v>56</v>
      </c>
      <c r="M43" s="5" t="s">
        <v>62</v>
      </c>
      <c r="N43" s="5" t="s">
        <v>53</v>
      </c>
      <c r="O43" s="5" t="s">
        <v>55</v>
      </c>
      <c r="P43" s="5" t="s">
        <v>64</v>
      </c>
      <c r="Q43" s="5" t="s">
        <v>73</v>
      </c>
      <c r="R43" s="5" t="s">
        <v>50</v>
      </c>
      <c r="S43" s="5" t="s">
        <v>60</v>
      </c>
      <c r="T43" s="1">
        <v>8</v>
      </c>
      <c r="U43" s="1">
        <v>18</v>
      </c>
      <c r="V43" s="1">
        <v>44</v>
      </c>
      <c r="AA43">
        <f t="shared" si="13"/>
        <v>41</v>
      </c>
      <c r="AB43">
        <f t="shared" si="5"/>
        <v>7</v>
      </c>
    </row>
    <row r="44" spans="1:28" ht="28.8" x14ac:dyDescent="0.3">
      <c r="A44" s="3">
        <v>29</v>
      </c>
      <c r="B44" s="4"/>
      <c r="C44" s="6" t="s">
        <v>146</v>
      </c>
      <c r="D44" s="5"/>
      <c r="E44" s="5" t="s">
        <v>66</v>
      </c>
      <c r="F44" s="5" t="s">
        <v>65</v>
      </c>
      <c r="G44" s="5" t="s">
        <v>58</v>
      </c>
      <c r="H44" s="5" t="s">
        <v>59</v>
      </c>
      <c r="I44" s="5" t="s">
        <v>63</v>
      </c>
      <c r="J44" s="5" t="s">
        <v>61</v>
      </c>
      <c r="K44" s="5" t="s">
        <v>48</v>
      </c>
      <c r="L44" s="5" t="s">
        <v>56</v>
      </c>
      <c r="M44" s="5" t="s">
        <v>74</v>
      </c>
      <c r="N44" s="5" t="s">
        <v>53</v>
      </c>
      <c r="O44" s="5" t="s">
        <v>209</v>
      </c>
      <c r="P44" s="5" t="s">
        <v>64</v>
      </c>
      <c r="Q44" s="5" t="s">
        <v>210</v>
      </c>
      <c r="R44" s="5" t="s">
        <v>57</v>
      </c>
      <c r="S44" s="5" t="s">
        <v>60</v>
      </c>
      <c r="T44" s="1">
        <v>8</v>
      </c>
      <c r="U44" s="1">
        <v>15</v>
      </c>
      <c r="V44" s="1">
        <v>44</v>
      </c>
      <c r="AA44">
        <f t="shared" si="13"/>
        <v>42</v>
      </c>
      <c r="AB44">
        <f t="shared" si="5"/>
        <v>15</v>
      </c>
    </row>
    <row r="45" spans="1:28" ht="28.8" x14ac:dyDescent="0.3">
      <c r="A45" s="3">
        <v>30</v>
      </c>
      <c r="B45" s="4"/>
      <c r="C45" s="6" t="s">
        <v>182</v>
      </c>
      <c r="D45" s="5"/>
      <c r="E45" s="5" t="s">
        <v>66</v>
      </c>
      <c r="F45" s="5" t="s">
        <v>65</v>
      </c>
      <c r="G45" s="5" t="s">
        <v>58</v>
      </c>
      <c r="H45" s="5" t="s">
        <v>59</v>
      </c>
      <c r="I45" s="5" t="s">
        <v>54</v>
      </c>
      <c r="J45" s="5" t="s">
        <v>51</v>
      </c>
      <c r="K45" s="5" t="s">
        <v>48</v>
      </c>
      <c r="L45" s="5" t="s">
        <v>47</v>
      </c>
      <c r="M45" s="5" t="s">
        <v>74</v>
      </c>
      <c r="N45" s="5" t="s">
        <v>72</v>
      </c>
      <c r="O45" s="5" t="s">
        <v>209</v>
      </c>
      <c r="P45" s="5" t="s">
        <v>67</v>
      </c>
      <c r="Q45" s="5" t="s">
        <v>210</v>
      </c>
      <c r="R45" s="5" t="s">
        <v>57</v>
      </c>
      <c r="S45" s="5" t="s">
        <v>69</v>
      </c>
      <c r="T45" s="1">
        <v>8</v>
      </c>
      <c r="U45" s="1">
        <v>13</v>
      </c>
      <c r="V45" s="1">
        <v>42</v>
      </c>
      <c r="AA45">
        <f t="shared" si="13"/>
        <v>43</v>
      </c>
      <c r="AB45">
        <f t="shared" si="5"/>
        <v>5</v>
      </c>
    </row>
    <row r="46" spans="1:28" ht="28.8" x14ac:dyDescent="0.3">
      <c r="A46" s="3">
        <v>31</v>
      </c>
      <c r="B46" s="4"/>
      <c r="C46" s="6" t="s">
        <v>20</v>
      </c>
      <c r="D46" s="5"/>
      <c r="E46" s="5" t="s">
        <v>66</v>
      </c>
      <c r="F46" s="5" t="s">
        <v>65</v>
      </c>
      <c r="G46" s="5" t="s">
        <v>58</v>
      </c>
      <c r="H46" s="5" t="s">
        <v>59</v>
      </c>
      <c r="I46" s="5" t="s">
        <v>54</v>
      </c>
      <c r="J46" s="5" t="s">
        <v>51</v>
      </c>
      <c r="K46" s="5" t="s">
        <v>48</v>
      </c>
      <c r="L46" s="5" t="s">
        <v>47</v>
      </c>
      <c r="M46" s="5" t="s">
        <v>74</v>
      </c>
      <c r="N46" s="5" t="s">
        <v>53</v>
      </c>
      <c r="O46" s="5" t="s">
        <v>209</v>
      </c>
      <c r="P46" s="5" t="s">
        <v>67</v>
      </c>
      <c r="Q46" s="5" t="s">
        <v>210</v>
      </c>
      <c r="R46" s="5" t="s">
        <v>57</v>
      </c>
      <c r="S46" s="5" t="s">
        <v>60</v>
      </c>
      <c r="T46" s="1">
        <v>8</v>
      </c>
      <c r="U46" s="1">
        <v>12</v>
      </c>
      <c r="V46" s="1">
        <v>42</v>
      </c>
      <c r="AA46">
        <f t="shared" si="13"/>
        <v>44</v>
      </c>
      <c r="AB46">
        <f t="shared" si="5"/>
        <v>17</v>
      </c>
    </row>
    <row r="47" spans="1:28" x14ac:dyDescent="0.3">
      <c r="A47" s="3">
        <v>32</v>
      </c>
      <c r="B47" s="4"/>
      <c r="C47" s="6" t="s">
        <v>189</v>
      </c>
      <c r="D47" s="5"/>
      <c r="E47" s="5" t="s">
        <v>66</v>
      </c>
      <c r="F47" s="5" t="s">
        <v>68</v>
      </c>
      <c r="G47" s="5" t="s">
        <v>58</v>
      </c>
      <c r="H47" s="5" t="s">
        <v>59</v>
      </c>
      <c r="I47" s="5" t="s">
        <v>63</v>
      </c>
      <c r="J47" s="5" t="s">
        <v>51</v>
      </c>
      <c r="K47" s="5" t="s">
        <v>207</v>
      </c>
      <c r="L47" s="5" t="s">
        <v>47</v>
      </c>
      <c r="M47" s="5" t="s">
        <v>74</v>
      </c>
      <c r="N47" s="5" t="s">
        <v>72</v>
      </c>
      <c r="O47" s="5" t="s">
        <v>209</v>
      </c>
      <c r="P47" s="5" t="s">
        <v>67</v>
      </c>
      <c r="Q47" s="5" t="s">
        <v>73</v>
      </c>
      <c r="R47" s="5" t="s">
        <v>57</v>
      </c>
      <c r="S47" s="5" t="s">
        <v>69</v>
      </c>
      <c r="T47" s="1">
        <v>8</v>
      </c>
      <c r="U47" s="1">
        <v>13</v>
      </c>
      <c r="V47" s="1">
        <v>41</v>
      </c>
      <c r="AA47">
        <f t="shared" si="13"/>
        <v>45</v>
      </c>
      <c r="AB47">
        <f t="shared" si="5"/>
        <v>24</v>
      </c>
    </row>
    <row r="48" spans="1:28" x14ac:dyDescent="0.3">
      <c r="A48" s="3">
        <v>33</v>
      </c>
      <c r="B48" s="4"/>
      <c r="C48" s="6" t="s">
        <v>195</v>
      </c>
      <c r="D48" s="5"/>
      <c r="E48" s="5" t="s">
        <v>52</v>
      </c>
      <c r="F48" s="5" t="s">
        <v>65</v>
      </c>
      <c r="G48" s="5" t="s">
        <v>58</v>
      </c>
      <c r="H48" s="5" t="s">
        <v>59</v>
      </c>
      <c r="I48" s="5" t="s">
        <v>63</v>
      </c>
      <c r="J48" s="5" t="s">
        <v>61</v>
      </c>
      <c r="K48" s="5" t="s">
        <v>48</v>
      </c>
      <c r="L48" s="5" t="s">
        <v>56</v>
      </c>
      <c r="M48" s="5" t="s">
        <v>74</v>
      </c>
      <c r="N48" s="5" t="s">
        <v>53</v>
      </c>
      <c r="O48" s="5" t="s">
        <v>209</v>
      </c>
      <c r="P48" s="5" t="s">
        <v>67</v>
      </c>
      <c r="Q48" s="5" t="s">
        <v>210</v>
      </c>
      <c r="R48" s="5" t="s">
        <v>57</v>
      </c>
      <c r="S48" s="5" t="s">
        <v>60</v>
      </c>
      <c r="T48" s="1">
        <v>8</v>
      </c>
      <c r="U48" s="1">
        <v>17</v>
      </c>
      <c r="V48" s="1">
        <v>45</v>
      </c>
      <c r="AA48">
        <f t="shared" si="13"/>
        <v>46</v>
      </c>
      <c r="AB48">
        <f t="shared" si="5"/>
        <v>5</v>
      </c>
    </row>
    <row r="49" spans="1:28" x14ac:dyDescent="0.3">
      <c r="A49" s="3">
        <v>34</v>
      </c>
      <c r="B49" s="4"/>
      <c r="C49" s="6" t="s">
        <v>96</v>
      </c>
      <c r="D49" s="5"/>
      <c r="E49" s="5" t="s">
        <v>66</v>
      </c>
      <c r="F49" s="5" t="s">
        <v>68</v>
      </c>
      <c r="G49" s="5" t="s">
        <v>70</v>
      </c>
      <c r="H49" s="5" t="s">
        <v>59</v>
      </c>
      <c r="I49" s="5" t="s">
        <v>54</v>
      </c>
      <c r="J49" s="5" t="s">
        <v>61</v>
      </c>
      <c r="K49" s="5" t="s">
        <v>48</v>
      </c>
      <c r="L49" s="5" t="s">
        <v>47</v>
      </c>
      <c r="M49" s="5" t="s">
        <v>62</v>
      </c>
      <c r="N49" s="5" t="s">
        <v>72</v>
      </c>
      <c r="O49" s="5" t="s">
        <v>209</v>
      </c>
      <c r="P49" s="5" t="s">
        <v>67</v>
      </c>
      <c r="Q49" s="5" t="s">
        <v>73</v>
      </c>
      <c r="R49" s="5" t="s">
        <v>50</v>
      </c>
      <c r="S49" s="5" t="s">
        <v>69</v>
      </c>
      <c r="T49" s="1">
        <v>8</v>
      </c>
      <c r="U49" s="1">
        <v>16</v>
      </c>
      <c r="V49" s="1">
        <v>47</v>
      </c>
      <c r="AA49">
        <f t="shared" si="13"/>
        <v>47</v>
      </c>
      <c r="AB49">
        <f t="shared" si="5"/>
        <v>19</v>
      </c>
    </row>
    <row r="50" spans="1:28" x14ac:dyDescent="0.3">
      <c r="A50" s="3">
        <v>35</v>
      </c>
      <c r="B50" s="4"/>
      <c r="C50" s="6" t="s">
        <v>151</v>
      </c>
      <c r="D50" s="5"/>
      <c r="E50" s="5" t="s">
        <v>66</v>
      </c>
      <c r="F50" s="5" t="s">
        <v>68</v>
      </c>
      <c r="G50" s="5" t="s">
        <v>58</v>
      </c>
      <c r="H50" s="5" t="s">
        <v>71</v>
      </c>
      <c r="I50" s="5" t="s">
        <v>54</v>
      </c>
      <c r="J50" s="5" t="s">
        <v>61</v>
      </c>
      <c r="K50" s="5" t="s">
        <v>207</v>
      </c>
      <c r="L50" s="5" t="s">
        <v>56</v>
      </c>
      <c r="M50" s="5" t="s">
        <v>62</v>
      </c>
      <c r="N50" s="5" t="s">
        <v>72</v>
      </c>
      <c r="O50" s="5" t="s">
        <v>209</v>
      </c>
      <c r="P50" s="5" t="s">
        <v>64</v>
      </c>
      <c r="Q50" s="5" t="s">
        <v>210</v>
      </c>
      <c r="R50" s="5" t="s">
        <v>50</v>
      </c>
      <c r="S50" s="5" t="s">
        <v>69</v>
      </c>
      <c r="T50" s="1">
        <v>8</v>
      </c>
      <c r="U50" s="1">
        <v>14</v>
      </c>
      <c r="V50" s="1">
        <v>47</v>
      </c>
      <c r="AA50">
        <f t="shared" si="13"/>
        <v>48</v>
      </c>
      <c r="AB50">
        <f t="shared" si="5"/>
        <v>12</v>
      </c>
    </row>
    <row r="51" spans="1:28" ht="28.8" x14ac:dyDescent="0.3">
      <c r="A51" s="3">
        <v>36</v>
      </c>
      <c r="B51" s="4"/>
      <c r="C51" s="6" t="s">
        <v>115</v>
      </c>
      <c r="D51" s="5"/>
      <c r="E51" s="5" t="s">
        <v>66</v>
      </c>
      <c r="F51" s="5" t="s">
        <v>65</v>
      </c>
      <c r="G51" s="5" t="s">
        <v>70</v>
      </c>
      <c r="H51" s="5" t="s">
        <v>59</v>
      </c>
      <c r="I51" s="5" t="s">
        <v>63</v>
      </c>
      <c r="J51" s="5" t="s">
        <v>61</v>
      </c>
      <c r="K51" s="5" t="s">
        <v>207</v>
      </c>
      <c r="L51" s="5" t="s">
        <v>47</v>
      </c>
      <c r="M51" s="5" t="s">
        <v>74</v>
      </c>
      <c r="N51" s="5" t="s">
        <v>53</v>
      </c>
      <c r="O51" s="5" t="s">
        <v>209</v>
      </c>
      <c r="P51" s="5" t="s">
        <v>67</v>
      </c>
      <c r="Q51" s="5" t="s">
        <v>210</v>
      </c>
      <c r="R51" s="5" t="s">
        <v>57</v>
      </c>
      <c r="S51" s="5" t="s">
        <v>60</v>
      </c>
      <c r="T51" s="1">
        <v>8</v>
      </c>
      <c r="U51" s="1">
        <v>13</v>
      </c>
      <c r="V51" s="1">
        <v>47</v>
      </c>
      <c r="AA51">
        <f t="shared" si="13"/>
        <v>49</v>
      </c>
      <c r="AB51">
        <f t="shared" si="5"/>
        <v>9</v>
      </c>
    </row>
    <row r="52" spans="1:28" x14ac:dyDescent="0.3">
      <c r="A52" s="3">
        <v>37</v>
      </c>
      <c r="B52" s="4"/>
      <c r="C52" s="6" t="s">
        <v>130</v>
      </c>
      <c r="D52" s="5"/>
      <c r="E52" s="5" t="s">
        <v>66</v>
      </c>
      <c r="F52" s="5" t="s">
        <v>68</v>
      </c>
      <c r="G52" s="5" t="s">
        <v>70</v>
      </c>
      <c r="H52" s="5" t="s">
        <v>71</v>
      </c>
      <c r="I52" s="5" t="s">
        <v>54</v>
      </c>
      <c r="J52" s="5" t="s">
        <v>61</v>
      </c>
      <c r="K52" s="5" t="s">
        <v>207</v>
      </c>
      <c r="L52" s="5" t="s">
        <v>56</v>
      </c>
      <c r="M52" s="5" t="s">
        <v>74</v>
      </c>
      <c r="N52" s="5" t="s">
        <v>72</v>
      </c>
      <c r="O52" s="5" t="s">
        <v>209</v>
      </c>
      <c r="P52" s="5" t="s">
        <v>64</v>
      </c>
      <c r="Q52" s="5" t="s">
        <v>210</v>
      </c>
      <c r="R52" s="5" t="s">
        <v>50</v>
      </c>
      <c r="S52" s="5" t="s">
        <v>69</v>
      </c>
      <c r="T52" s="1">
        <v>8</v>
      </c>
      <c r="U52" s="1">
        <v>13</v>
      </c>
      <c r="V52" s="1">
        <v>38</v>
      </c>
      <c r="AA52">
        <f t="shared" si="13"/>
        <v>50</v>
      </c>
      <c r="AB52">
        <f t="shared" si="5"/>
        <v>3</v>
      </c>
    </row>
    <row r="53" spans="1:28" ht="28.8" x14ac:dyDescent="0.3">
      <c r="A53" s="3">
        <v>38</v>
      </c>
      <c r="B53" s="4"/>
      <c r="C53" s="6" t="s">
        <v>192</v>
      </c>
      <c r="D53" s="5"/>
      <c r="E53" s="5" t="s">
        <v>52</v>
      </c>
      <c r="F53" s="5" t="s">
        <v>65</v>
      </c>
      <c r="G53" s="5" t="s">
        <v>70</v>
      </c>
      <c r="H53" s="5" t="s">
        <v>71</v>
      </c>
      <c r="I53" s="5" t="s">
        <v>54</v>
      </c>
      <c r="J53" s="5" t="s">
        <v>51</v>
      </c>
      <c r="K53" s="5" t="s">
        <v>48</v>
      </c>
      <c r="L53" s="5" t="s">
        <v>56</v>
      </c>
      <c r="M53" s="5" t="s">
        <v>74</v>
      </c>
      <c r="N53" s="5" t="s">
        <v>53</v>
      </c>
      <c r="O53" s="5" t="s">
        <v>55</v>
      </c>
      <c r="P53" s="5" t="s">
        <v>67</v>
      </c>
      <c r="Q53" s="5" t="s">
        <v>210</v>
      </c>
      <c r="R53" s="5" t="s">
        <v>50</v>
      </c>
      <c r="S53" s="5" t="s">
        <v>60</v>
      </c>
      <c r="T53" s="1">
        <v>8</v>
      </c>
      <c r="U53" s="1">
        <v>13</v>
      </c>
      <c r="V53" s="1">
        <v>48</v>
      </c>
      <c r="AA53">
        <f t="shared" si="13"/>
        <v>51</v>
      </c>
      <c r="AB53">
        <f t="shared" si="5"/>
        <v>7</v>
      </c>
    </row>
    <row r="54" spans="1:28" ht="28.8" x14ac:dyDescent="0.3">
      <c r="A54" s="3">
        <v>39</v>
      </c>
      <c r="B54" s="4"/>
      <c r="C54" s="6" t="s">
        <v>80</v>
      </c>
      <c r="D54" s="5"/>
      <c r="E54" s="5" t="s">
        <v>52</v>
      </c>
      <c r="F54" s="5" t="s">
        <v>65</v>
      </c>
      <c r="G54" s="5" t="s">
        <v>58</v>
      </c>
      <c r="H54" s="5" t="s">
        <v>59</v>
      </c>
      <c r="I54" s="5" t="s">
        <v>63</v>
      </c>
      <c r="J54" s="5" t="s">
        <v>51</v>
      </c>
      <c r="K54" s="5" t="s">
        <v>48</v>
      </c>
      <c r="L54" s="5" t="s">
        <v>56</v>
      </c>
      <c r="M54" s="5" t="s">
        <v>74</v>
      </c>
      <c r="N54" s="5" t="s">
        <v>53</v>
      </c>
      <c r="O54" s="5" t="s">
        <v>209</v>
      </c>
      <c r="P54" s="5" t="s">
        <v>67</v>
      </c>
      <c r="Q54" s="5" t="s">
        <v>210</v>
      </c>
      <c r="R54" s="5" t="s">
        <v>57</v>
      </c>
      <c r="S54" s="5" t="s">
        <v>69</v>
      </c>
      <c r="T54" s="1">
        <v>8</v>
      </c>
      <c r="U54" s="1">
        <v>14</v>
      </c>
      <c r="V54" s="1">
        <v>49</v>
      </c>
      <c r="AA54">
        <f t="shared" si="13"/>
        <v>52</v>
      </c>
      <c r="AB54">
        <f t="shared" si="5"/>
        <v>8</v>
      </c>
    </row>
    <row r="55" spans="1:28" x14ac:dyDescent="0.3">
      <c r="A55" s="3">
        <v>40</v>
      </c>
      <c r="B55" s="4"/>
      <c r="C55" s="6" t="s">
        <v>83</v>
      </c>
      <c r="D55" s="5"/>
      <c r="E55" s="5" t="s">
        <v>52</v>
      </c>
      <c r="F55" s="5" t="s">
        <v>68</v>
      </c>
      <c r="G55" s="5" t="s">
        <v>70</v>
      </c>
      <c r="H55" s="5" t="s">
        <v>59</v>
      </c>
      <c r="I55" s="5" t="s">
        <v>54</v>
      </c>
      <c r="J55" s="5" t="s">
        <v>61</v>
      </c>
      <c r="K55" s="5" t="s">
        <v>48</v>
      </c>
      <c r="L55" s="5" t="s">
        <v>47</v>
      </c>
      <c r="M55" s="5" t="s">
        <v>74</v>
      </c>
      <c r="N55" s="5" t="s">
        <v>53</v>
      </c>
      <c r="O55" s="5" t="s">
        <v>55</v>
      </c>
      <c r="P55" s="5" t="s">
        <v>67</v>
      </c>
      <c r="Q55" s="5" t="s">
        <v>210</v>
      </c>
      <c r="R55" s="5" t="s">
        <v>50</v>
      </c>
      <c r="S55" s="5" t="s">
        <v>60</v>
      </c>
      <c r="T55" s="1">
        <v>8</v>
      </c>
      <c r="U55" s="1">
        <v>15</v>
      </c>
      <c r="V55" s="1">
        <v>49</v>
      </c>
      <c r="AA55">
        <f t="shared" si="13"/>
        <v>53</v>
      </c>
      <c r="AB55">
        <f t="shared" si="5"/>
        <v>2</v>
      </c>
    </row>
    <row r="56" spans="1:28" x14ac:dyDescent="0.3">
      <c r="A56" s="47"/>
      <c r="B56" s="47"/>
      <c r="C56" s="2" t="s">
        <v>1</v>
      </c>
      <c r="D56" s="7" t="s">
        <v>208</v>
      </c>
      <c r="E56" s="7" t="s">
        <v>52</v>
      </c>
      <c r="F56" s="7" t="s">
        <v>68</v>
      </c>
      <c r="G56" s="7" t="s">
        <v>70</v>
      </c>
      <c r="H56" s="7" t="s">
        <v>71</v>
      </c>
      <c r="I56" s="7" t="s">
        <v>54</v>
      </c>
      <c r="J56" s="7" t="s">
        <v>51</v>
      </c>
      <c r="K56" s="7" t="s">
        <v>207</v>
      </c>
      <c r="L56" s="7" t="s">
        <v>56</v>
      </c>
      <c r="M56" s="7" t="s">
        <v>62</v>
      </c>
      <c r="N56" s="7" t="s">
        <v>53</v>
      </c>
      <c r="O56" s="7" t="s">
        <v>55</v>
      </c>
      <c r="P56" s="7" t="s">
        <v>64</v>
      </c>
      <c r="Q56" s="7" t="s">
        <v>210</v>
      </c>
      <c r="R56" s="7" t="s">
        <v>57</v>
      </c>
      <c r="S56" s="7" t="s">
        <v>60</v>
      </c>
      <c r="T56" s="47"/>
      <c r="U56" s="47"/>
      <c r="V56" s="8" t="s">
        <v>77</v>
      </c>
      <c r="AA56">
        <f t="shared" si="13"/>
        <v>54</v>
      </c>
      <c r="AB56">
        <f t="shared" si="5"/>
        <v>0</v>
      </c>
    </row>
    <row r="57" spans="1:28" x14ac:dyDescent="0.3">
      <c r="A57" s="47"/>
      <c r="B57" s="47"/>
      <c r="C57" s="2" t="s">
        <v>2</v>
      </c>
      <c r="D57" s="7">
        <v>-1.5</v>
      </c>
      <c r="E57" s="7">
        <v>-9.5</v>
      </c>
      <c r="F57" s="7">
        <v>6.5</v>
      </c>
      <c r="G57" s="7">
        <v>-6.5</v>
      </c>
      <c r="H57" s="7">
        <v>-7</v>
      </c>
      <c r="I57" s="7">
        <v>3.5</v>
      </c>
      <c r="J57" s="7">
        <v>-3.5</v>
      </c>
      <c r="K57" s="7">
        <v>6</v>
      </c>
      <c r="L57" s="7">
        <v>3.5</v>
      </c>
      <c r="M57" s="7">
        <v>4</v>
      </c>
      <c r="N57" s="7">
        <v>-2.5</v>
      </c>
      <c r="O57" s="7">
        <v>-1</v>
      </c>
      <c r="P57" s="7">
        <v>3</v>
      </c>
      <c r="Q57" s="7">
        <v>-6</v>
      </c>
      <c r="R57" s="7">
        <v>-6.5</v>
      </c>
      <c r="S57" s="7">
        <v>-6.5</v>
      </c>
      <c r="T57" s="47"/>
      <c r="U57" s="47"/>
      <c r="V57" s="8">
        <v>-43</v>
      </c>
      <c r="AA57">
        <f t="shared" si="13"/>
        <v>55</v>
      </c>
      <c r="AB57">
        <f t="shared" si="5"/>
        <v>2</v>
      </c>
    </row>
    <row r="58" spans="1:28" x14ac:dyDescent="0.3">
      <c r="A58" s="47"/>
      <c r="B58" s="47"/>
      <c r="C58" s="2" t="s">
        <v>3</v>
      </c>
      <c r="D58" s="7" t="s">
        <v>75</v>
      </c>
      <c r="E58" s="7" t="s">
        <v>66</v>
      </c>
      <c r="F58" s="7" t="s">
        <v>65</v>
      </c>
      <c r="G58" s="7" t="s">
        <v>58</v>
      </c>
      <c r="H58" s="7" t="s">
        <v>59</v>
      </c>
      <c r="I58" s="7" t="s">
        <v>63</v>
      </c>
      <c r="J58" s="7" t="s">
        <v>61</v>
      </c>
      <c r="K58" s="7" t="s">
        <v>48</v>
      </c>
      <c r="L58" s="7" t="s">
        <v>47</v>
      </c>
      <c r="M58" s="7" t="s">
        <v>74</v>
      </c>
      <c r="N58" s="7" t="s">
        <v>72</v>
      </c>
      <c r="O58" s="7" t="s">
        <v>209</v>
      </c>
      <c r="P58" s="7" t="s">
        <v>67</v>
      </c>
      <c r="Q58" s="7" t="s">
        <v>73</v>
      </c>
      <c r="R58" s="7" t="s">
        <v>50</v>
      </c>
      <c r="S58" s="7" t="s">
        <v>69</v>
      </c>
      <c r="T58" s="47"/>
      <c r="U58" s="47"/>
      <c r="V58" s="8"/>
      <c r="AA58">
        <f t="shared" si="13"/>
        <v>56</v>
      </c>
      <c r="AB58">
        <f t="shared" si="5"/>
        <v>2</v>
      </c>
    </row>
    <row r="59" spans="1:28" x14ac:dyDescent="0.3">
      <c r="A59" s="47"/>
      <c r="B59" s="47"/>
      <c r="C59" s="2" t="s">
        <v>0</v>
      </c>
      <c r="D59" s="7">
        <v>31</v>
      </c>
      <c r="E59" s="7">
        <v>26</v>
      </c>
      <c r="F59" s="7">
        <v>26</v>
      </c>
      <c r="G59" s="7">
        <v>44</v>
      </c>
      <c r="H59" s="7">
        <v>20</v>
      </c>
      <c r="I59" s="7">
        <v>10</v>
      </c>
      <c r="J59" s="7">
        <v>18</v>
      </c>
      <c r="K59" s="7">
        <v>17</v>
      </c>
      <c r="L59" s="7">
        <v>23</v>
      </c>
      <c r="M59" s="7">
        <v>24</v>
      </c>
      <c r="N59" s="7">
        <v>18</v>
      </c>
      <c r="O59" s="7">
        <v>10</v>
      </c>
      <c r="P59" s="7">
        <v>13</v>
      </c>
      <c r="Q59" s="7">
        <v>25</v>
      </c>
      <c r="R59" s="7">
        <v>13</v>
      </c>
      <c r="S59" s="7">
        <v>22</v>
      </c>
      <c r="T59" s="47"/>
      <c r="U59" s="47"/>
      <c r="V59" s="8"/>
      <c r="AA59">
        <f t="shared" si="13"/>
        <v>57</v>
      </c>
      <c r="AB59">
        <f t="shared" si="5"/>
        <v>1</v>
      </c>
    </row>
    <row r="60" spans="1:28" x14ac:dyDescent="0.3">
      <c r="A60" s="47"/>
      <c r="B60" s="47"/>
      <c r="C60" s="2" t="s">
        <v>4</v>
      </c>
      <c r="D60" s="7" t="s">
        <v>49</v>
      </c>
      <c r="E60" s="7" t="s">
        <v>49</v>
      </c>
      <c r="F60" s="7" t="s">
        <v>49</v>
      </c>
      <c r="G60" s="7" t="s">
        <v>49</v>
      </c>
      <c r="H60" s="7" t="s">
        <v>49</v>
      </c>
      <c r="I60" s="7" t="s">
        <v>49</v>
      </c>
      <c r="J60" s="7" t="s">
        <v>49</v>
      </c>
      <c r="K60" s="7" t="s">
        <v>49</v>
      </c>
      <c r="L60" s="7" t="s">
        <v>49</v>
      </c>
      <c r="M60" s="7" t="s">
        <v>49</v>
      </c>
      <c r="N60" s="7" t="s">
        <v>49</v>
      </c>
      <c r="O60" s="7" t="s">
        <v>49</v>
      </c>
      <c r="P60" s="7" t="s">
        <v>49</v>
      </c>
      <c r="Q60" s="7" t="s">
        <v>49</v>
      </c>
      <c r="R60" s="7" t="s">
        <v>49</v>
      </c>
      <c r="S60" s="7" t="s">
        <v>49</v>
      </c>
      <c r="T60" s="47"/>
      <c r="U60" s="47"/>
      <c r="V60" s="8"/>
      <c r="AA60">
        <f t="shared" si="13"/>
        <v>58</v>
      </c>
      <c r="AB60">
        <f t="shared" si="5"/>
        <v>0</v>
      </c>
    </row>
    <row r="61" spans="1:28" ht="28.8" x14ac:dyDescent="0.3">
      <c r="A61" s="47"/>
      <c r="B61" s="47"/>
      <c r="C61" s="2" t="s">
        <v>5</v>
      </c>
      <c r="D61" s="7"/>
      <c r="E61" s="7"/>
      <c r="F61" s="7"/>
      <c r="G61" s="7"/>
      <c r="H61" s="7"/>
      <c r="I61" s="7"/>
      <c r="J61" s="7"/>
      <c r="K61" s="7"/>
      <c r="L61" s="7" t="s">
        <v>206</v>
      </c>
      <c r="M61" s="7"/>
      <c r="N61" s="7"/>
      <c r="O61" s="7"/>
      <c r="P61" s="7"/>
      <c r="Q61" s="7"/>
      <c r="R61" s="7"/>
      <c r="S61" s="7"/>
      <c r="T61" s="47"/>
      <c r="U61" s="47"/>
      <c r="V61" s="8"/>
      <c r="AA61">
        <f t="shared" si="13"/>
        <v>59</v>
      </c>
      <c r="AB61">
        <f t="shared" si="5"/>
        <v>0</v>
      </c>
    </row>
    <row r="62" spans="1:28" ht="28.8" x14ac:dyDescent="0.3">
      <c r="A62" s="3">
        <v>41</v>
      </c>
      <c r="B62" s="4"/>
      <c r="C62" s="6" t="s">
        <v>113</v>
      </c>
      <c r="D62" s="5"/>
      <c r="E62" s="5" t="s">
        <v>66</v>
      </c>
      <c r="F62" s="5" t="s">
        <v>65</v>
      </c>
      <c r="G62" s="5" t="s">
        <v>58</v>
      </c>
      <c r="H62" s="5" t="s">
        <v>59</v>
      </c>
      <c r="I62" s="5" t="s">
        <v>63</v>
      </c>
      <c r="J62" s="5" t="s">
        <v>51</v>
      </c>
      <c r="K62" s="5" t="s">
        <v>48</v>
      </c>
      <c r="L62" s="5" t="s">
        <v>56</v>
      </c>
      <c r="M62" s="5" t="s">
        <v>74</v>
      </c>
      <c r="N62" s="5" t="s">
        <v>53</v>
      </c>
      <c r="O62" s="5" t="s">
        <v>209</v>
      </c>
      <c r="P62" s="5" t="s">
        <v>67</v>
      </c>
      <c r="Q62" s="5" t="s">
        <v>210</v>
      </c>
      <c r="R62" s="5" t="s">
        <v>57</v>
      </c>
      <c r="S62" s="5" t="s">
        <v>60</v>
      </c>
      <c r="T62" s="1">
        <v>8</v>
      </c>
      <c r="U62" s="1">
        <v>16</v>
      </c>
      <c r="V62" s="1">
        <v>51</v>
      </c>
      <c r="AA62">
        <f t="shared" si="13"/>
        <v>60</v>
      </c>
      <c r="AB62">
        <f t="shared" si="5"/>
        <v>0</v>
      </c>
    </row>
    <row r="63" spans="1:28" ht="28.8" x14ac:dyDescent="0.3">
      <c r="A63" s="3">
        <v>42</v>
      </c>
      <c r="B63" s="4"/>
      <c r="C63" s="6" t="s">
        <v>172</v>
      </c>
      <c r="D63" s="5"/>
      <c r="E63" s="5" t="s">
        <v>66</v>
      </c>
      <c r="F63" s="5" t="s">
        <v>65</v>
      </c>
      <c r="G63" s="5" t="s">
        <v>58</v>
      </c>
      <c r="H63" s="5" t="s">
        <v>71</v>
      </c>
      <c r="I63" s="5" t="s">
        <v>63</v>
      </c>
      <c r="J63" s="5" t="s">
        <v>61</v>
      </c>
      <c r="K63" s="5" t="s">
        <v>48</v>
      </c>
      <c r="L63" s="5" t="s">
        <v>47</v>
      </c>
      <c r="M63" s="5" t="s">
        <v>62</v>
      </c>
      <c r="N63" s="5" t="s">
        <v>53</v>
      </c>
      <c r="O63" s="5" t="s">
        <v>209</v>
      </c>
      <c r="P63" s="5" t="s">
        <v>67</v>
      </c>
      <c r="Q63" s="5" t="s">
        <v>210</v>
      </c>
      <c r="R63" s="5" t="s">
        <v>50</v>
      </c>
      <c r="S63" s="5" t="s">
        <v>69</v>
      </c>
      <c r="T63" s="1">
        <v>8</v>
      </c>
      <c r="U63" s="1">
        <v>13</v>
      </c>
      <c r="V63" s="1">
        <v>51</v>
      </c>
      <c r="AA63">
        <f t="shared" si="13"/>
        <v>61</v>
      </c>
      <c r="AB63">
        <f t="shared" si="5"/>
        <v>1</v>
      </c>
    </row>
    <row r="64" spans="1:28" x14ac:dyDescent="0.3">
      <c r="A64" s="3">
        <v>43</v>
      </c>
      <c r="B64" s="4"/>
      <c r="C64" s="6" t="s">
        <v>118</v>
      </c>
      <c r="D64" s="5"/>
      <c r="E64" s="5" t="s">
        <v>66</v>
      </c>
      <c r="F64" s="5" t="s">
        <v>68</v>
      </c>
      <c r="G64" s="5" t="s">
        <v>58</v>
      </c>
      <c r="H64" s="5" t="s">
        <v>59</v>
      </c>
      <c r="I64" s="5" t="s">
        <v>63</v>
      </c>
      <c r="J64" s="5" t="s">
        <v>61</v>
      </c>
      <c r="K64" s="5" t="s">
        <v>207</v>
      </c>
      <c r="L64" s="5" t="s">
        <v>56</v>
      </c>
      <c r="M64" s="5" t="s">
        <v>62</v>
      </c>
      <c r="N64" s="5" t="s">
        <v>53</v>
      </c>
      <c r="O64" s="5" t="s">
        <v>209</v>
      </c>
      <c r="P64" s="5" t="s">
        <v>64</v>
      </c>
      <c r="Q64" s="5" t="s">
        <v>73</v>
      </c>
      <c r="R64" s="5" t="s">
        <v>57</v>
      </c>
      <c r="S64" s="5" t="s">
        <v>60</v>
      </c>
      <c r="T64" s="1">
        <v>8</v>
      </c>
      <c r="U64" s="1">
        <v>14</v>
      </c>
      <c r="V64" s="1">
        <v>52</v>
      </c>
      <c r="AA64">
        <f t="shared" si="13"/>
        <v>62</v>
      </c>
      <c r="AB64">
        <f t="shared" si="5"/>
        <v>0</v>
      </c>
    </row>
    <row r="65" spans="1:28" ht="28.8" x14ac:dyDescent="0.3">
      <c r="A65" s="3">
        <v>44</v>
      </c>
      <c r="B65" s="4"/>
      <c r="C65" s="6" t="s">
        <v>102</v>
      </c>
      <c r="D65" s="5"/>
      <c r="E65" s="5" t="s">
        <v>52</v>
      </c>
      <c r="F65" s="5" t="s">
        <v>65</v>
      </c>
      <c r="G65" s="5" t="s">
        <v>58</v>
      </c>
      <c r="H65" s="5" t="s">
        <v>59</v>
      </c>
      <c r="I65" s="5" t="s">
        <v>54</v>
      </c>
      <c r="J65" s="5" t="s">
        <v>51</v>
      </c>
      <c r="K65" s="5" t="s">
        <v>48</v>
      </c>
      <c r="L65" s="5" t="s">
        <v>47</v>
      </c>
      <c r="M65" s="5" t="s">
        <v>74</v>
      </c>
      <c r="N65" s="5" t="s">
        <v>53</v>
      </c>
      <c r="O65" s="5" t="s">
        <v>209</v>
      </c>
      <c r="P65" s="5" t="s">
        <v>67</v>
      </c>
      <c r="Q65" s="5" t="s">
        <v>210</v>
      </c>
      <c r="R65" s="5" t="s">
        <v>57</v>
      </c>
      <c r="S65" s="5" t="s">
        <v>69</v>
      </c>
      <c r="T65" s="1">
        <v>8</v>
      </c>
      <c r="U65" s="1">
        <v>13</v>
      </c>
      <c r="V65" s="1">
        <v>53</v>
      </c>
      <c r="AA65">
        <f t="shared" si="13"/>
        <v>63</v>
      </c>
      <c r="AB65">
        <f t="shared" si="5"/>
        <v>0</v>
      </c>
    </row>
    <row r="66" spans="1:28" x14ac:dyDescent="0.3">
      <c r="A66" s="3">
        <v>45</v>
      </c>
      <c r="B66" s="4"/>
      <c r="C66" s="6" t="s">
        <v>39</v>
      </c>
      <c r="D66" s="5"/>
      <c r="E66" s="5" t="s">
        <v>66</v>
      </c>
      <c r="F66" s="5" t="s">
        <v>65</v>
      </c>
      <c r="G66" s="5" t="s">
        <v>70</v>
      </c>
      <c r="H66" s="5" t="s">
        <v>71</v>
      </c>
      <c r="I66" s="5" t="s">
        <v>54</v>
      </c>
      <c r="J66" s="5" t="s">
        <v>51</v>
      </c>
      <c r="K66" s="5" t="s">
        <v>48</v>
      </c>
      <c r="L66" s="5" t="s">
        <v>56</v>
      </c>
      <c r="M66" s="5" t="s">
        <v>62</v>
      </c>
      <c r="N66" s="5" t="s">
        <v>53</v>
      </c>
      <c r="O66" s="5" t="s">
        <v>209</v>
      </c>
      <c r="P66" s="5" t="s">
        <v>64</v>
      </c>
      <c r="Q66" s="5" t="s">
        <v>73</v>
      </c>
      <c r="R66" s="5" t="s">
        <v>50</v>
      </c>
      <c r="S66" s="5" t="s">
        <v>69</v>
      </c>
      <c r="T66" s="1">
        <v>8</v>
      </c>
      <c r="U66" s="1">
        <v>15</v>
      </c>
      <c r="V66" s="1">
        <v>32</v>
      </c>
      <c r="AA66">
        <f t="shared" si="13"/>
        <v>64</v>
      </c>
      <c r="AB66">
        <f t="shared" si="5"/>
        <v>0</v>
      </c>
    </row>
    <row r="67" spans="1:28" x14ac:dyDescent="0.3">
      <c r="A67" s="3">
        <v>46</v>
      </c>
      <c r="B67" s="4"/>
      <c r="C67" s="6" t="s">
        <v>23</v>
      </c>
      <c r="D67" s="5"/>
      <c r="E67" s="5" t="s">
        <v>52</v>
      </c>
      <c r="F67" s="5" t="s">
        <v>65</v>
      </c>
      <c r="G67" s="5" t="s">
        <v>70</v>
      </c>
      <c r="H67" s="5" t="s">
        <v>71</v>
      </c>
      <c r="I67" s="5" t="s">
        <v>54</v>
      </c>
      <c r="J67" s="5" t="s">
        <v>61</v>
      </c>
      <c r="K67" s="5" t="s">
        <v>48</v>
      </c>
      <c r="L67" s="5" t="s">
        <v>56</v>
      </c>
      <c r="M67" s="5" t="s">
        <v>74</v>
      </c>
      <c r="N67" s="5" t="s">
        <v>72</v>
      </c>
      <c r="O67" s="5" t="s">
        <v>55</v>
      </c>
      <c r="P67" s="5" t="s">
        <v>67</v>
      </c>
      <c r="Q67" s="5" t="s">
        <v>210</v>
      </c>
      <c r="R67" s="5" t="s">
        <v>50</v>
      </c>
      <c r="S67" s="5" t="s">
        <v>60</v>
      </c>
      <c r="T67" s="1">
        <v>8</v>
      </c>
      <c r="U67" s="1">
        <v>13</v>
      </c>
      <c r="V67" s="1">
        <v>55</v>
      </c>
      <c r="AA67">
        <f t="shared" si="13"/>
        <v>65</v>
      </c>
      <c r="AB67">
        <f t="shared" ref="AB67:AB120" si="14">COUNTIF(V$16:V$179,AA67)</f>
        <v>0</v>
      </c>
    </row>
    <row r="68" spans="1:28" ht="28.8" x14ac:dyDescent="0.3">
      <c r="A68" s="3">
        <v>47</v>
      </c>
      <c r="B68" s="4"/>
      <c r="C68" s="6" t="s">
        <v>163</v>
      </c>
      <c r="D68" s="5"/>
      <c r="E68" s="5" t="s">
        <v>66</v>
      </c>
      <c r="F68" s="5" t="s">
        <v>68</v>
      </c>
      <c r="G68" s="5" t="s">
        <v>70</v>
      </c>
      <c r="H68" s="5" t="s">
        <v>59</v>
      </c>
      <c r="I68" s="5" t="s">
        <v>63</v>
      </c>
      <c r="J68" s="5" t="s">
        <v>61</v>
      </c>
      <c r="K68" s="5" t="s">
        <v>48</v>
      </c>
      <c r="L68" s="5" t="s">
        <v>47</v>
      </c>
      <c r="M68" s="5" t="s">
        <v>74</v>
      </c>
      <c r="N68" s="5" t="s">
        <v>53</v>
      </c>
      <c r="O68" s="5" t="s">
        <v>55</v>
      </c>
      <c r="P68" s="5" t="s">
        <v>67</v>
      </c>
      <c r="Q68" s="5" t="s">
        <v>210</v>
      </c>
      <c r="R68" s="5" t="s">
        <v>57</v>
      </c>
      <c r="S68" s="5" t="s">
        <v>69</v>
      </c>
      <c r="T68" s="1">
        <v>8</v>
      </c>
      <c r="U68" s="1">
        <v>15</v>
      </c>
      <c r="V68" s="1">
        <v>55</v>
      </c>
      <c r="AA68">
        <f t="shared" si="13"/>
        <v>66</v>
      </c>
      <c r="AB68">
        <f t="shared" si="14"/>
        <v>0</v>
      </c>
    </row>
    <row r="69" spans="1:28" x14ac:dyDescent="0.3">
      <c r="A69" s="3">
        <v>48</v>
      </c>
      <c r="B69" s="4"/>
      <c r="C69" s="6" t="s">
        <v>127</v>
      </c>
      <c r="D69" s="5"/>
      <c r="E69" s="5" t="s">
        <v>66</v>
      </c>
      <c r="F69" s="5" t="s">
        <v>65</v>
      </c>
      <c r="G69" s="5" t="s">
        <v>58</v>
      </c>
      <c r="H69" s="5" t="s">
        <v>59</v>
      </c>
      <c r="I69" s="5" t="s">
        <v>63</v>
      </c>
      <c r="J69" s="5" t="s">
        <v>51</v>
      </c>
      <c r="K69" s="5" t="s">
        <v>48</v>
      </c>
      <c r="L69" s="5" t="s">
        <v>47</v>
      </c>
      <c r="M69" s="5" t="s">
        <v>74</v>
      </c>
      <c r="N69" s="5" t="s">
        <v>53</v>
      </c>
      <c r="O69" s="5" t="s">
        <v>209</v>
      </c>
      <c r="P69" s="5" t="s">
        <v>64</v>
      </c>
      <c r="Q69" s="5" t="s">
        <v>210</v>
      </c>
      <c r="R69" s="5" t="s">
        <v>50</v>
      </c>
      <c r="S69" s="5" t="s">
        <v>69</v>
      </c>
      <c r="T69" s="1">
        <v>8</v>
      </c>
      <c r="U69" s="1">
        <v>12</v>
      </c>
      <c r="V69" s="1">
        <v>61</v>
      </c>
      <c r="AA69">
        <f t="shared" si="13"/>
        <v>67</v>
      </c>
      <c r="AB69">
        <f t="shared" si="14"/>
        <v>1</v>
      </c>
    </row>
    <row r="70" spans="1:28" x14ac:dyDescent="0.3">
      <c r="A70" s="3">
        <v>49</v>
      </c>
      <c r="B70" s="4"/>
      <c r="C70" s="6" t="s">
        <v>201</v>
      </c>
      <c r="D70" s="5"/>
      <c r="E70" s="5" t="s">
        <v>52</v>
      </c>
      <c r="F70" s="5" t="s">
        <v>65</v>
      </c>
      <c r="G70" s="5" t="s">
        <v>70</v>
      </c>
      <c r="H70" s="5" t="s">
        <v>59</v>
      </c>
      <c r="I70" s="5" t="s">
        <v>54</v>
      </c>
      <c r="J70" s="5" t="s">
        <v>51</v>
      </c>
      <c r="K70" s="5" t="s">
        <v>48</v>
      </c>
      <c r="L70" s="5" t="s">
        <v>56</v>
      </c>
      <c r="M70" s="5" t="s">
        <v>74</v>
      </c>
      <c r="N70" s="5" t="s">
        <v>72</v>
      </c>
      <c r="O70" s="5" t="s">
        <v>209</v>
      </c>
      <c r="P70" s="5" t="s">
        <v>67</v>
      </c>
      <c r="Q70" s="5" t="s">
        <v>73</v>
      </c>
      <c r="R70" s="5" t="s">
        <v>50</v>
      </c>
      <c r="S70" s="5" t="s">
        <v>60</v>
      </c>
      <c r="T70" s="1">
        <v>8</v>
      </c>
      <c r="U70" s="1">
        <v>14</v>
      </c>
      <c r="V70" s="1">
        <v>24</v>
      </c>
      <c r="AA70">
        <f t="shared" si="13"/>
        <v>68</v>
      </c>
      <c r="AB70">
        <f t="shared" si="14"/>
        <v>0</v>
      </c>
    </row>
    <row r="71" spans="1:28" ht="43.2" x14ac:dyDescent="0.3">
      <c r="A71" s="3">
        <v>50</v>
      </c>
      <c r="B71" s="4"/>
      <c r="C71" s="6" t="s">
        <v>132</v>
      </c>
      <c r="D71" s="5"/>
      <c r="E71" s="5" t="s">
        <v>52</v>
      </c>
      <c r="F71" s="5" t="s">
        <v>65</v>
      </c>
      <c r="G71" s="5" t="s">
        <v>70</v>
      </c>
      <c r="H71" s="5" t="s">
        <v>59</v>
      </c>
      <c r="I71" s="5" t="s">
        <v>63</v>
      </c>
      <c r="J71" s="5" t="s">
        <v>61</v>
      </c>
      <c r="K71" s="5" t="s">
        <v>48</v>
      </c>
      <c r="L71" s="5" t="s">
        <v>47</v>
      </c>
      <c r="M71" s="5" t="s">
        <v>74</v>
      </c>
      <c r="N71" s="5" t="s">
        <v>53</v>
      </c>
      <c r="O71" s="5" t="s">
        <v>55</v>
      </c>
      <c r="P71" s="5" t="s">
        <v>67</v>
      </c>
      <c r="Q71" s="5" t="s">
        <v>210</v>
      </c>
      <c r="R71" s="5" t="s">
        <v>57</v>
      </c>
      <c r="S71" s="5" t="s">
        <v>60</v>
      </c>
      <c r="T71" s="1">
        <v>7</v>
      </c>
      <c r="U71" s="1">
        <v>13</v>
      </c>
      <c r="V71" s="1">
        <v>43</v>
      </c>
      <c r="AA71">
        <f t="shared" ref="AA71:AA120" si="15">AA70+1</f>
        <v>69</v>
      </c>
      <c r="AB71">
        <f t="shared" si="14"/>
        <v>0</v>
      </c>
    </row>
    <row r="72" spans="1:28" ht="28.8" x14ac:dyDescent="0.3">
      <c r="A72" s="3">
        <v>51</v>
      </c>
      <c r="B72" s="4"/>
      <c r="C72" s="6" t="s">
        <v>81</v>
      </c>
      <c r="D72" s="5"/>
      <c r="E72" s="5" t="s">
        <v>52</v>
      </c>
      <c r="F72" s="5" t="s">
        <v>65</v>
      </c>
      <c r="G72" s="5" t="s">
        <v>70</v>
      </c>
      <c r="H72" s="5" t="s">
        <v>59</v>
      </c>
      <c r="I72" s="5" t="s">
        <v>63</v>
      </c>
      <c r="J72" s="5" t="s">
        <v>51</v>
      </c>
      <c r="K72" s="5" t="s">
        <v>48</v>
      </c>
      <c r="L72" s="5" t="s">
        <v>47</v>
      </c>
      <c r="M72" s="5" t="s">
        <v>74</v>
      </c>
      <c r="N72" s="5" t="s">
        <v>53</v>
      </c>
      <c r="O72" s="5" t="s">
        <v>209</v>
      </c>
      <c r="P72" s="5" t="s">
        <v>67</v>
      </c>
      <c r="Q72" s="5" t="s">
        <v>210</v>
      </c>
      <c r="R72" s="5" t="s">
        <v>50</v>
      </c>
      <c r="S72" s="5" t="s">
        <v>69</v>
      </c>
      <c r="T72" s="1">
        <v>7</v>
      </c>
      <c r="U72" s="1">
        <v>16</v>
      </c>
      <c r="V72" s="1">
        <v>43</v>
      </c>
      <c r="AA72">
        <f t="shared" si="15"/>
        <v>70</v>
      </c>
      <c r="AB72">
        <f t="shared" si="14"/>
        <v>0</v>
      </c>
    </row>
    <row r="73" spans="1:28" x14ac:dyDescent="0.3">
      <c r="A73" s="3">
        <v>52</v>
      </c>
      <c r="B73" s="4"/>
      <c r="C73" s="6" t="s">
        <v>21</v>
      </c>
      <c r="D73" s="5"/>
      <c r="E73" s="5" t="s">
        <v>66</v>
      </c>
      <c r="F73" s="5" t="s">
        <v>65</v>
      </c>
      <c r="G73" s="5" t="s">
        <v>70</v>
      </c>
      <c r="H73" s="5" t="s">
        <v>71</v>
      </c>
      <c r="I73" s="5" t="s">
        <v>63</v>
      </c>
      <c r="J73" s="5" t="s">
        <v>51</v>
      </c>
      <c r="K73" s="5" t="s">
        <v>207</v>
      </c>
      <c r="L73" s="5" t="s">
        <v>56</v>
      </c>
      <c r="M73" s="5" t="s">
        <v>62</v>
      </c>
      <c r="N73" s="5" t="s">
        <v>53</v>
      </c>
      <c r="O73" s="5" t="s">
        <v>209</v>
      </c>
      <c r="P73" s="5" t="s">
        <v>67</v>
      </c>
      <c r="Q73" s="5" t="s">
        <v>210</v>
      </c>
      <c r="R73" s="5" t="s">
        <v>57</v>
      </c>
      <c r="S73" s="5" t="s">
        <v>69</v>
      </c>
      <c r="T73" s="1">
        <v>7</v>
      </c>
      <c r="U73" s="1">
        <v>15</v>
      </c>
      <c r="V73" s="1">
        <v>43</v>
      </c>
      <c r="AA73">
        <f t="shared" si="15"/>
        <v>71</v>
      </c>
      <c r="AB73">
        <f t="shared" si="14"/>
        <v>0</v>
      </c>
    </row>
    <row r="74" spans="1:28" ht="28.8" x14ac:dyDescent="0.3">
      <c r="A74" s="3">
        <v>53</v>
      </c>
      <c r="B74" s="4"/>
      <c r="C74" s="6" t="s">
        <v>167</v>
      </c>
      <c r="D74" s="5"/>
      <c r="E74" s="5" t="s">
        <v>66</v>
      </c>
      <c r="F74" s="5" t="s">
        <v>65</v>
      </c>
      <c r="G74" s="5" t="s">
        <v>58</v>
      </c>
      <c r="H74" s="5" t="s">
        <v>59</v>
      </c>
      <c r="I74" s="5" t="s">
        <v>63</v>
      </c>
      <c r="J74" s="5" t="s">
        <v>51</v>
      </c>
      <c r="K74" s="5" t="s">
        <v>207</v>
      </c>
      <c r="L74" s="5" t="s">
        <v>47</v>
      </c>
      <c r="M74" s="5" t="s">
        <v>62</v>
      </c>
      <c r="N74" s="5" t="s">
        <v>53</v>
      </c>
      <c r="O74" s="5" t="s">
        <v>209</v>
      </c>
      <c r="P74" s="5" t="s">
        <v>64</v>
      </c>
      <c r="Q74" s="5" t="s">
        <v>73</v>
      </c>
      <c r="R74" s="5" t="s">
        <v>57</v>
      </c>
      <c r="S74" s="5" t="s">
        <v>60</v>
      </c>
      <c r="T74" s="1">
        <v>7</v>
      </c>
      <c r="U74" s="1">
        <v>12</v>
      </c>
      <c r="V74" s="1">
        <v>44</v>
      </c>
      <c r="AA74">
        <f t="shared" si="15"/>
        <v>72</v>
      </c>
      <c r="AB74">
        <f t="shared" si="14"/>
        <v>0</v>
      </c>
    </row>
    <row r="75" spans="1:28" x14ac:dyDescent="0.3">
      <c r="A75" s="3">
        <v>54</v>
      </c>
      <c r="B75" s="4"/>
      <c r="C75" s="6" t="s">
        <v>144</v>
      </c>
      <c r="D75" s="5"/>
      <c r="E75" s="5" t="s">
        <v>52</v>
      </c>
      <c r="F75" s="5" t="s">
        <v>68</v>
      </c>
      <c r="G75" s="5" t="s">
        <v>70</v>
      </c>
      <c r="H75" s="5" t="s">
        <v>71</v>
      </c>
      <c r="I75" s="5" t="s">
        <v>54</v>
      </c>
      <c r="J75" s="5" t="s">
        <v>61</v>
      </c>
      <c r="K75" s="5" t="s">
        <v>207</v>
      </c>
      <c r="L75" s="5" t="s">
        <v>56</v>
      </c>
      <c r="M75" s="5" t="s">
        <v>62</v>
      </c>
      <c r="N75" s="5" t="s">
        <v>53</v>
      </c>
      <c r="O75" s="5" t="s">
        <v>209</v>
      </c>
      <c r="P75" s="5" t="s">
        <v>64</v>
      </c>
      <c r="Q75" s="5" t="s">
        <v>73</v>
      </c>
      <c r="R75" s="5" t="s">
        <v>57</v>
      </c>
      <c r="S75" s="5" t="s">
        <v>69</v>
      </c>
      <c r="T75" s="1">
        <v>7</v>
      </c>
      <c r="U75" s="1">
        <v>13</v>
      </c>
      <c r="V75" s="1">
        <v>44</v>
      </c>
      <c r="AA75">
        <f t="shared" si="15"/>
        <v>73</v>
      </c>
      <c r="AB75">
        <f t="shared" si="14"/>
        <v>0</v>
      </c>
    </row>
    <row r="76" spans="1:28" x14ac:dyDescent="0.3">
      <c r="A76" s="3">
        <v>55</v>
      </c>
      <c r="B76" s="4"/>
      <c r="C76" s="6" t="s">
        <v>19</v>
      </c>
      <c r="D76" s="5"/>
      <c r="E76" s="5" t="s">
        <v>66</v>
      </c>
      <c r="F76" s="5" t="s">
        <v>65</v>
      </c>
      <c r="G76" s="5" t="s">
        <v>58</v>
      </c>
      <c r="H76" s="5" t="s">
        <v>59</v>
      </c>
      <c r="I76" s="5" t="s">
        <v>63</v>
      </c>
      <c r="J76" s="5" t="s">
        <v>51</v>
      </c>
      <c r="K76" s="5" t="s">
        <v>48</v>
      </c>
      <c r="L76" s="5" t="s">
        <v>56</v>
      </c>
      <c r="M76" s="5" t="s">
        <v>62</v>
      </c>
      <c r="N76" s="5" t="s">
        <v>72</v>
      </c>
      <c r="O76" s="5" t="s">
        <v>55</v>
      </c>
      <c r="P76" s="5" t="s">
        <v>67</v>
      </c>
      <c r="Q76" s="5" t="s">
        <v>210</v>
      </c>
      <c r="R76" s="5" t="s">
        <v>57</v>
      </c>
      <c r="S76" s="5" t="s">
        <v>60</v>
      </c>
      <c r="T76" s="1">
        <v>7</v>
      </c>
      <c r="U76" s="1">
        <v>14</v>
      </c>
      <c r="V76" s="1">
        <v>42</v>
      </c>
      <c r="AA76">
        <f t="shared" si="15"/>
        <v>74</v>
      </c>
      <c r="AB76">
        <f t="shared" si="14"/>
        <v>0</v>
      </c>
    </row>
    <row r="77" spans="1:28" ht="28.8" x14ac:dyDescent="0.3">
      <c r="A77" s="3">
        <v>56</v>
      </c>
      <c r="B77" s="4"/>
      <c r="C77" s="6" t="s">
        <v>41</v>
      </c>
      <c r="D77" s="5"/>
      <c r="E77" s="5" t="s">
        <v>52</v>
      </c>
      <c r="F77" s="5" t="s">
        <v>68</v>
      </c>
      <c r="G77" s="5" t="s">
        <v>58</v>
      </c>
      <c r="H77" s="5" t="s">
        <v>71</v>
      </c>
      <c r="I77" s="5" t="s">
        <v>54</v>
      </c>
      <c r="J77" s="5" t="s">
        <v>51</v>
      </c>
      <c r="K77" s="5" t="s">
        <v>48</v>
      </c>
      <c r="L77" s="5" t="s">
        <v>47</v>
      </c>
      <c r="M77" s="5" t="s">
        <v>74</v>
      </c>
      <c r="N77" s="5" t="s">
        <v>72</v>
      </c>
      <c r="O77" s="5" t="s">
        <v>55</v>
      </c>
      <c r="P77" s="5" t="s">
        <v>67</v>
      </c>
      <c r="Q77" s="5" t="s">
        <v>73</v>
      </c>
      <c r="R77" s="5" t="s">
        <v>50</v>
      </c>
      <c r="S77" s="5" t="s">
        <v>60</v>
      </c>
      <c r="T77" s="1">
        <v>7</v>
      </c>
      <c r="U77" s="1">
        <v>11</v>
      </c>
      <c r="V77" s="1">
        <v>44</v>
      </c>
      <c r="AA77">
        <f t="shared" si="15"/>
        <v>75</v>
      </c>
      <c r="AB77">
        <f t="shared" si="14"/>
        <v>0</v>
      </c>
    </row>
    <row r="78" spans="1:28" x14ac:dyDescent="0.3">
      <c r="A78" s="3">
        <v>57</v>
      </c>
      <c r="B78" s="4"/>
      <c r="C78" s="6" t="s">
        <v>7</v>
      </c>
      <c r="D78" s="5"/>
      <c r="E78" s="5" t="s">
        <v>52</v>
      </c>
      <c r="F78" s="5" t="s">
        <v>65</v>
      </c>
      <c r="G78" s="5" t="s">
        <v>58</v>
      </c>
      <c r="H78" s="5" t="s">
        <v>59</v>
      </c>
      <c r="I78" s="5" t="s">
        <v>54</v>
      </c>
      <c r="J78" s="5" t="s">
        <v>51</v>
      </c>
      <c r="K78" s="5" t="s">
        <v>48</v>
      </c>
      <c r="L78" s="5" t="s">
        <v>56</v>
      </c>
      <c r="M78" s="5" t="s">
        <v>62</v>
      </c>
      <c r="N78" s="5" t="s">
        <v>53</v>
      </c>
      <c r="O78" s="5" t="s">
        <v>209</v>
      </c>
      <c r="P78" s="5" t="s">
        <v>67</v>
      </c>
      <c r="Q78" s="5" t="s">
        <v>210</v>
      </c>
      <c r="R78" s="5" t="s">
        <v>57</v>
      </c>
      <c r="S78" s="5" t="s">
        <v>60</v>
      </c>
      <c r="T78" s="1">
        <v>7</v>
      </c>
      <c r="U78" s="1">
        <v>12</v>
      </c>
      <c r="V78" s="1">
        <v>42</v>
      </c>
      <c r="AA78">
        <f t="shared" si="15"/>
        <v>76</v>
      </c>
      <c r="AB78">
        <f t="shared" si="14"/>
        <v>0</v>
      </c>
    </row>
    <row r="79" spans="1:28" x14ac:dyDescent="0.3">
      <c r="A79" s="3">
        <v>58</v>
      </c>
      <c r="B79" s="4"/>
      <c r="C79" s="6" t="s">
        <v>44</v>
      </c>
      <c r="D79" s="5"/>
      <c r="E79" s="5" t="s">
        <v>52</v>
      </c>
      <c r="F79" s="5" t="s">
        <v>65</v>
      </c>
      <c r="G79" s="5" t="s">
        <v>58</v>
      </c>
      <c r="H79" s="5" t="s">
        <v>59</v>
      </c>
      <c r="I79" s="5" t="s">
        <v>63</v>
      </c>
      <c r="J79" s="5" t="s">
        <v>51</v>
      </c>
      <c r="K79" s="5" t="s">
        <v>48</v>
      </c>
      <c r="L79" s="5" t="s">
        <v>47</v>
      </c>
      <c r="M79" s="5" t="s">
        <v>74</v>
      </c>
      <c r="N79" s="5" t="s">
        <v>53</v>
      </c>
      <c r="O79" s="5" t="s">
        <v>55</v>
      </c>
      <c r="P79" s="5" t="s">
        <v>67</v>
      </c>
      <c r="Q79" s="5" t="s">
        <v>210</v>
      </c>
      <c r="R79" s="5" t="s">
        <v>57</v>
      </c>
      <c r="S79" s="5" t="s">
        <v>60</v>
      </c>
      <c r="T79" s="1">
        <v>7</v>
      </c>
      <c r="U79" s="1">
        <v>17</v>
      </c>
      <c r="V79" s="1">
        <v>44</v>
      </c>
      <c r="AA79">
        <f t="shared" si="15"/>
        <v>77</v>
      </c>
      <c r="AB79">
        <f t="shared" si="14"/>
        <v>0</v>
      </c>
    </row>
    <row r="80" spans="1:28" x14ac:dyDescent="0.3">
      <c r="A80" s="3">
        <v>59</v>
      </c>
      <c r="B80" s="4"/>
      <c r="C80" s="6" t="s">
        <v>199</v>
      </c>
      <c r="D80" s="5"/>
      <c r="E80" s="5" t="s">
        <v>52</v>
      </c>
      <c r="F80" s="5" t="s">
        <v>65</v>
      </c>
      <c r="G80" s="5" t="s">
        <v>70</v>
      </c>
      <c r="H80" s="5" t="s">
        <v>59</v>
      </c>
      <c r="I80" s="5" t="s">
        <v>63</v>
      </c>
      <c r="J80" s="5" t="s">
        <v>61</v>
      </c>
      <c r="K80" s="5" t="s">
        <v>48</v>
      </c>
      <c r="L80" s="5" t="s">
        <v>56</v>
      </c>
      <c r="M80" s="5" t="s">
        <v>74</v>
      </c>
      <c r="N80" s="5" t="s">
        <v>53</v>
      </c>
      <c r="O80" s="5" t="s">
        <v>209</v>
      </c>
      <c r="P80" s="5" t="s">
        <v>64</v>
      </c>
      <c r="Q80" s="5" t="s">
        <v>210</v>
      </c>
      <c r="R80" s="5" t="s">
        <v>57</v>
      </c>
      <c r="S80" s="5" t="s">
        <v>69</v>
      </c>
      <c r="T80" s="1">
        <v>7</v>
      </c>
      <c r="U80" s="1">
        <v>12</v>
      </c>
      <c r="V80" s="1">
        <v>44</v>
      </c>
      <c r="AA80">
        <f t="shared" si="15"/>
        <v>78</v>
      </c>
      <c r="AB80">
        <f t="shared" si="14"/>
        <v>0</v>
      </c>
    </row>
    <row r="81" spans="1:28" ht="28.8" x14ac:dyDescent="0.3">
      <c r="A81" s="3">
        <v>60</v>
      </c>
      <c r="B81" s="4"/>
      <c r="C81" s="6" t="s">
        <v>10</v>
      </c>
      <c r="D81" s="5"/>
      <c r="E81" s="5" t="s">
        <v>52</v>
      </c>
      <c r="F81" s="5" t="s">
        <v>65</v>
      </c>
      <c r="G81" s="5" t="s">
        <v>58</v>
      </c>
      <c r="H81" s="5" t="s">
        <v>59</v>
      </c>
      <c r="I81" s="5" t="s">
        <v>63</v>
      </c>
      <c r="J81" s="5" t="s">
        <v>51</v>
      </c>
      <c r="K81" s="5" t="s">
        <v>48</v>
      </c>
      <c r="L81" s="5" t="s">
        <v>56</v>
      </c>
      <c r="M81" s="5" t="s">
        <v>74</v>
      </c>
      <c r="N81" s="5" t="s">
        <v>53</v>
      </c>
      <c r="O81" s="5" t="s">
        <v>209</v>
      </c>
      <c r="P81" s="5" t="s">
        <v>64</v>
      </c>
      <c r="Q81" s="5" t="s">
        <v>210</v>
      </c>
      <c r="R81" s="5" t="s">
        <v>57</v>
      </c>
      <c r="S81" s="5" t="s">
        <v>69</v>
      </c>
      <c r="T81" s="1">
        <v>7</v>
      </c>
      <c r="U81" s="1">
        <v>13</v>
      </c>
      <c r="V81" s="1">
        <v>42</v>
      </c>
      <c r="AA81">
        <f t="shared" si="15"/>
        <v>79</v>
      </c>
      <c r="AB81">
        <f t="shared" si="14"/>
        <v>0</v>
      </c>
    </row>
    <row r="82" spans="1:28" ht="28.8" x14ac:dyDescent="0.3">
      <c r="A82" s="3">
        <v>61</v>
      </c>
      <c r="B82" s="4"/>
      <c r="C82" s="6" t="s">
        <v>30</v>
      </c>
      <c r="D82" s="5"/>
      <c r="E82" s="5" t="s">
        <v>66</v>
      </c>
      <c r="F82" s="5" t="s">
        <v>65</v>
      </c>
      <c r="G82" s="5" t="s">
        <v>70</v>
      </c>
      <c r="H82" s="5" t="s">
        <v>59</v>
      </c>
      <c r="I82" s="5" t="s">
        <v>54</v>
      </c>
      <c r="J82" s="5" t="s">
        <v>51</v>
      </c>
      <c r="K82" s="5" t="s">
        <v>48</v>
      </c>
      <c r="L82" s="5" t="s">
        <v>47</v>
      </c>
      <c r="M82" s="5" t="s">
        <v>74</v>
      </c>
      <c r="N82" s="5" t="s">
        <v>53</v>
      </c>
      <c r="O82" s="5" t="s">
        <v>209</v>
      </c>
      <c r="P82" s="5" t="s">
        <v>67</v>
      </c>
      <c r="Q82" s="5" t="s">
        <v>210</v>
      </c>
      <c r="R82" s="5" t="s">
        <v>57</v>
      </c>
      <c r="S82" s="5" t="s">
        <v>60</v>
      </c>
      <c r="T82" s="1">
        <v>7</v>
      </c>
      <c r="U82" s="1">
        <v>15</v>
      </c>
      <c r="V82" s="1">
        <v>45</v>
      </c>
      <c r="AA82">
        <f t="shared" si="15"/>
        <v>80</v>
      </c>
      <c r="AB82">
        <f t="shared" si="14"/>
        <v>0</v>
      </c>
    </row>
    <row r="83" spans="1:28" ht="28.8" x14ac:dyDescent="0.3">
      <c r="A83" s="3">
        <v>62</v>
      </c>
      <c r="B83" s="4"/>
      <c r="C83" s="6" t="s">
        <v>158</v>
      </c>
      <c r="D83" s="5"/>
      <c r="E83" s="5" t="s">
        <v>52</v>
      </c>
      <c r="F83" s="5" t="s">
        <v>65</v>
      </c>
      <c r="G83" s="5" t="s">
        <v>70</v>
      </c>
      <c r="H83" s="5" t="s">
        <v>59</v>
      </c>
      <c r="I83" s="5" t="s">
        <v>63</v>
      </c>
      <c r="J83" s="5" t="s">
        <v>61</v>
      </c>
      <c r="K83" s="5" t="s">
        <v>48</v>
      </c>
      <c r="L83" s="5" t="s">
        <v>47</v>
      </c>
      <c r="M83" s="5" t="s">
        <v>74</v>
      </c>
      <c r="N83" s="5" t="s">
        <v>72</v>
      </c>
      <c r="O83" s="5" t="s">
        <v>55</v>
      </c>
      <c r="P83" s="5" t="s">
        <v>67</v>
      </c>
      <c r="Q83" s="5" t="s">
        <v>73</v>
      </c>
      <c r="R83" s="5" t="s">
        <v>57</v>
      </c>
      <c r="S83" s="5" t="s">
        <v>60</v>
      </c>
      <c r="T83" s="1">
        <v>7</v>
      </c>
      <c r="U83" s="1">
        <v>13</v>
      </c>
      <c r="V83" s="1">
        <v>45</v>
      </c>
      <c r="AA83">
        <f t="shared" si="15"/>
        <v>81</v>
      </c>
      <c r="AB83">
        <f t="shared" si="14"/>
        <v>0</v>
      </c>
    </row>
    <row r="84" spans="1:28" ht="28.8" x14ac:dyDescent="0.3">
      <c r="A84" s="3">
        <v>63</v>
      </c>
      <c r="B84" s="4"/>
      <c r="C84" s="6" t="s">
        <v>174</v>
      </c>
      <c r="D84" s="5"/>
      <c r="E84" s="5" t="s">
        <v>52</v>
      </c>
      <c r="F84" s="5" t="s">
        <v>68</v>
      </c>
      <c r="G84" s="5" t="s">
        <v>70</v>
      </c>
      <c r="H84" s="5" t="s">
        <v>59</v>
      </c>
      <c r="I84" s="5" t="s">
        <v>63</v>
      </c>
      <c r="J84" s="5" t="s">
        <v>61</v>
      </c>
      <c r="K84" s="5" t="s">
        <v>48</v>
      </c>
      <c r="L84" s="5" t="s">
        <v>56</v>
      </c>
      <c r="M84" s="5" t="s">
        <v>74</v>
      </c>
      <c r="N84" s="5" t="s">
        <v>53</v>
      </c>
      <c r="O84" s="5" t="s">
        <v>209</v>
      </c>
      <c r="P84" s="5" t="s">
        <v>67</v>
      </c>
      <c r="Q84" s="5" t="s">
        <v>73</v>
      </c>
      <c r="R84" s="5" t="s">
        <v>57</v>
      </c>
      <c r="S84" s="5" t="s">
        <v>60</v>
      </c>
      <c r="T84" s="1">
        <v>7</v>
      </c>
      <c r="U84" s="1">
        <v>15</v>
      </c>
      <c r="V84" s="1">
        <v>45</v>
      </c>
      <c r="AA84">
        <f t="shared" si="15"/>
        <v>82</v>
      </c>
      <c r="AB84">
        <f t="shared" si="14"/>
        <v>0</v>
      </c>
    </row>
    <row r="85" spans="1:28" ht="28.8" x14ac:dyDescent="0.3">
      <c r="A85" s="3">
        <v>64</v>
      </c>
      <c r="B85" s="4"/>
      <c r="C85" s="6" t="s">
        <v>89</v>
      </c>
      <c r="D85" s="5"/>
      <c r="E85" s="5" t="s">
        <v>52</v>
      </c>
      <c r="F85" s="5" t="s">
        <v>65</v>
      </c>
      <c r="G85" s="5" t="s">
        <v>70</v>
      </c>
      <c r="H85" s="5" t="s">
        <v>71</v>
      </c>
      <c r="I85" s="5" t="s">
        <v>63</v>
      </c>
      <c r="J85" s="5" t="s">
        <v>61</v>
      </c>
      <c r="K85" s="5" t="s">
        <v>48</v>
      </c>
      <c r="L85" s="5" t="s">
        <v>56</v>
      </c>
      <c r="M85" s="5" t="s">
        <v>74</v>
      </c>
      <c r="N85" s="5" t="s">
        <v>72</v>
      </c>
      <c r="O85" s="5" t="s">
        <v>55</v>
      </c>
      <c r="P85" s="5" t="s">
        <v>64</v>
      </c>
      <c r="Q85" s="5" t="s">
        <v>73</v>
      </c>
      <c r="R85" s="5" t="s">
        <v>50</v>
      </c>
      <c r="S85" s="5" t="s">
        <v>60</v>
      </c>
      <c r="T85" s="1">
        <v>7</v>
      </c>
      <c r="U85" s="1">
        <v>16</v>
      </c>
      <c r="V85" s="1">
        <v>45</v>
      </c>
      <c r="AA85">
        <f t="shared" si="15"/>
        <v>83</v>
      </c>
      <c r="AB85">
        <f t="shared" si="14"/>
        <v>0</v>
      </c>
    </row>
    <row r="86" spans="1:28" ht="28.8" x14ac:dyDescent="0.3">
      <c r="A86" s="3">
        <v>65</v>
      </c>
      <c r="B86" s="4"/>
      <c r="C86" s="6" t="s">
        <v>90</v>
      </c>
      <c r="D86" s="5"/>
      <c r="E86" s="5" t="s">
        <v>52</v>
      </c>
      <c r="F86" s="5" t="s">
        <v>65</v>
      </c>
      <c r="G86" s="5" t="s">
        <v>58</v>
      </c>
      <c r="H86" s="5" t="s">
        <v>59</v>
      </c>
      <c r="I86" s="5" t="s">
        <v>63</v>
      </c>
      <c r="J86" s="5" t="s">
        <v>51</v>
      </c>
      <c r="K86" s="5" t="s">
        <v>48</v>
      </c>
      <c r="L86" s="5" t="s">
        <v>56</v>
      </c>
      <c r="M86" s="5" t="s">
        <v>74</v>
      </c>
      <c r="N86" s="5" t="s">
        <v>72</v>
      </c>
      <c r="O86" s="5" t="s">
        <v>209</v>
      </c>
      <c r="P86" s="5" t="s">
        <v>67</v>
      </c>
      <c r="Q86" s="5" t="s">
        <v>210</v>
      </c>
      <c r="R86" s="5" t="s">
        <v>57</v>
      </c>
      <c r="S86" s="5" t="s">
        <v>69</v>
      </c>
      <c r="T86" s="1">
        <v>7</v>
      </c>
      <c r="U86" s="1">
        <v>13</v>
      </c>
      <c r="V86" s="1">
        <v>45</v>
      </c>
      <c r="AA86">
        <f t="shared" si="15"/>
        <v>84</v>
      </c>
      <c r="AB86">
        <f t="shared" si="14"/>
        <v>0</v>
      </c>
    </row>
    <row r="87" spans="1:28" x14ac:dyDescent="0.3">
      <c r="A87" s="3">
        <v>66</v>
      </c>
      <c r="B87" s="4"/>
      <c r="C87" s="6" t="s">
        <v>93</v>
      </c>
      <c r="D87" s="5"/>
      <c r="E87" s="5" t="s">
        <v>52</v>
      </c>
      <c r="F87" s="5" t="s">
        <v>65</v>
      </c>
      <c r="G87" s="5" t="s">
        <v>70</v>
      </c>
      <c r="H87" s="5" t="s">
        <v>71</v>
      </c>
      <c r="I87" s="5" t="s">
        <v>63</v>
      </c>
      <c r="J87" s="5" t="s">
        <v>51</v>
      </c>
      <c r="K87" s="5" t="s">
        <v>207</v>
      </c>
      <c r="L87" s="5" t="s">
        <v>47</v>
      </c>
      <c r="M87" s="5" t="s">
        <v>74</v>
      </c>
      <c r="N87" s="5" t="s">
        <v>53</v>
      </c>
      <c r="O87" s="5" t="s">
        <v>55</v>
      </c>
      <c r="P87" s="5" t="s">
        <v>67</v>
      </c>
      <c r="Q87" s="5" t="s">
        <v>73</v>
      </c>
      <c r="R87" s="5" t="s">
        <v>57</v>
      </c>
      <c r="S87" s="5" t="s">
        <v>60</v>
      </c>
      <c r="T87" s="1">
        <v>7</v>
      </c>
      <c r="U87" s="1">
        <v>15</v>
      </c>
      <c r="V87" s="1">
        <v>46</v>
      </c>
      <c r="AA87">
        <f t="shared" si="15"/>
        <v>85</v>
      </c>
      <c r="AB87">
        <f t="shared" si="14"/>
        <v>0</v>
      </c>
    </row>
    <row r="88" spans="1:28" ht="28.8" x14ac:dyDescent="0.3">
      <c r="A88" s="3">
        <v>67</v>
      </c>
      <c r="B88" s="4"/>
      <c r="C88" s="6" t="s">
        <v>148</v>
      </c>
      <c r="D88" s="5"/>
      <c r="E88" s="5" t="s">
        <v>66</v>
      </c>
      <c r="F88" s="5" t="s">
        <v>68</v>
      </c>
      <c r="G88" s="5" t="s">
        <v>70</v>
      </c>
      <c r="H88" s="5" t="s">
        <v>71</v>
      </c>
      <c r="I88" s="5" t="s">
        <v>54</v>
      </c>
      <c r="J88" s="5" t="s">
        <v>61</v>
      </c>
      <c r="K88" s="5" t="s">
        <v>207</v>
      </c>
      <c r="L88" s="5" t="s">
        <v>56</v>
      </c>
      <c r="M88" s="5" t="s">
        <v>62</v>
      </c>
      <c r="N88" s="5" t="s">
        <v>72</v>
      </c>
      <c r="O88" s="5" t="s">
        <v>55</v>
      </c>
      <c r="P88" s="5" t="s">
        <v>64</v>
      </c>
      <c r="Q88" s="5" t="s">
        <v>210</v>
      </c>
      <c r="R88" s="5" t="s">
        <v>50</v>
      </c>
      <c r="S88" s="5" t="s">
        <v>60</v>
      </c>
      <c r="T88" s="1">
        <v>7</v>
      </c>
      <c r="U88" s="1">
        <v>16</v>
      </c>
      <c r="V88" s="1">
        <v>47</v>
      </c>
      <c r="AA88">
        <f t="shared" si="15"/>
        <v>86</v>
      </c>
      <c r="AB88">
        <f t="shared" si="14"/>
        <v>0</v>
      </c>
    </row>
    <row r="89" spans="1:28" x14ac:dyDescent="0.3">
      <c r="A89" s="3">
        <v>68</v>
      </c>
      <c r="B89" s="4"/>
      <c r="C89" s="6" t="s">
        <v>187</v>
      </c>
      <c r="D89" s="5"/>
      <c r="E89" s="5" t="s">
        <v>66</v>
      </c>
      <c r="F89" s="5" t="s">
        <v>65</v>
      </c>
      <c r="G89" s="5" t="s">
        <v>70</v>
      </c>
      <c r="H89" s="5" t="s">
        <v>71</v>
      </c>
      <c r="I89" s="5" t="s">
        <v>54</v>
      </c>
      <c r="J89" s="5" t="s">
        <v>51</v>
      </c>
      <c r="K89" s="5" t="s">
        <v>48</v>
      </c>
      <c r="L89" s="5" t="s">
        <v>56</v>
      </c>
      <c r="M89" s="5" t="s">
        <v>74</v>
      </c>
      <c r="N89" s="5" t="s">
        <v>53</v>
      </c>
      <c r="O89" s="5" t="s">
        <v>209</v>
      </c>
      <c r="P89" s="5" t="s">
        <v>67</v>
      </c>
      <c r="Q89" s="5" t="s">
        <v>210</v>
      </c>
      <c r="R89" s="5" t="s">
        <v>57</v>
      </c>
      <c r="S89" s="5" t="s">
        <v>60</v>
      </c>
      <c r="T89" s="1">
        <v>7</v>
      </c>
      <c r="U89" s="1">
        <v>11</v>
      </c>
      <c r="V89" s="1">
        <v>47</v>
      </c>
      <c r="AA89">
        <f t="shared" si="15"/>
        <v>87</v>
      </c>
      <c r="AB89">
        <f t="shared" si="14"/>
        <v>0</v>
      </c>
    </row>
    <row r="90" spans="1:28" x14ac:dyDescent="0.3">
      <c r="A90" s="3">
        <v>69</v>
      </c>
      <c r="B90" s="4"/>
      <c r="C90" s="6" t="s">
        <v>150</v>
      </c>
      <c r="D90" s="5"/>
      <c r="E90" s="5" t="s">
        <v>52</v>
      </c>
      <c r="F90" s="5" t="s">
        <v>68</v>
      </c>
      <c r="G90" s="5" t="s">
        <v>70</v>
      </c>
      <c r="H90" s="5" t="s">
        <v>59</v>
      </c>
      <c r="I90" s="5" t="s">
        <v>63</v>
      </c>
      <c r="J90" s="5" t="s">
        <v>61</v>
      </c>
      <c r="K90" s="5" t="s">
        <v>207</v>
      </c>
      <c r="L90" s="5" t="s">
        <v>56</v>
      </c>
      <c r="M90" s="5" t="s">
        <v>74</v>
      </c>
      <c r="N90" s="5" t="s">
        <v>53</v>
      </c>
      <c r="O90" s="5" t="s">
        <v>209</v>
      </c>
      <c r="P90" s="5" t="s">
        <v>64</v>
      </c>
      <c r="Q90" s="5" t="s">
        <v>73</v>
      </c>
      <c r="R90" s="5" t="s">
        <v>57</v>
      </c>
      <c r="S90" s="5" t="s">
        <v>60</v>
      </c>
      <c r="T90" s="1">
        <v>7</v>
      </c>
      <c r="U90" s="1">
        <v>10</v>
      </c>
      <c r="V90" s="1">
        <v>47</v>
      </c>
      <c r="AA90">
        <f t="shared" si="15"/>
        <v>88</v>
      </c>
      <c r="AB90">
        <f t="shared" si="14"/>
        <v>0</v>
      </c>
    </row>
    <row r="91" spans="1:28" x14ac:dyDescent="0.3">
      <c r="A91" s="3">
        <v>70</v>
      </c>
      <c r="B91" s="4"/>
      <c r="C91" s="6" t="s">
        <v>111</v>
      </c>
      <c r="D91" s="5"/>
      <c r="E91" s="5" t="s">
        <v>52</v>
      </c>
      <c r="F91" s="5" t="s">
        <v>65</v>
      </c>
      <c r="G91" s="5" t="s">
        <v>70</v>
      </c>
      <c r="H91" s="5" t="s">
        <v>71</v>
      </c>
      <c r="I91" s="5" t="s">
        <v>63</v>
      </c>
      <c r="J91" s="5" t="s">
        <v>51</v>
      </c>
      <c r="K91" s="5" t="s">
        <v>207</v>
      </c>
      <c r="L91" s="5" t="s">
        <v>47</v>
      </c>
      <c r="M91" s="5" t="s">
        <v>62</v>
      </c>
      <c r="N91" s="5" t="s">
        <v>53</v>
      </c>
      <c r="O91" s="5" t="s">
        <v>55</v>
      </c>
      <c r="P91" s="5" t="s">
        <v>67</v>
      </c>
      <c r="Q91" s="5" t="s">
        <v>210</v>
      </c>
      <c r="R91" s="5" t="s">
        <v>50</v>
      </c>
      <c r="S91" s="5" t="s">
        <v>69</v>
      </c>
      <c r="T91" s="1">
        <v>7</v>
      </c>
      <c r="U91" s="1">
        <v>13</v>
      </c>
      <c r="V91" s="1">
        <v>48</v>
      </c>
      <c r="AA91">
        <f t="shared" si="15"/>
        <v>89</v>
      </c>
      <c r="AB91">
        <f t="shared" si="14"/>
        <v>0</v>
      </c>
    </row>
    <row r="92" spans="1:28" x14ac:dyDescent="0.3">
      <c r="A92" s="3">
        <v>71</v>
      </c>
      <c r="B92" s="4"/>
      <c r="C92" s="6" t="s">
        <v>84</v>
      </c>
      <c r="D92" s="5"/>
      <c r="E92" s="5" t="s">
        <v>52</v>
      </c>
      <c r="F92" s="5" t="s">
        <v>65</v>
      </c>
      <c r="G92" s="5" t="s">
        <v>70</v>
      </c>
      <c r="H92" s="5" t="s">
        <v>59</v>
      </c>
      <c r="I92" s="5" t="s">
        <v>63</v>
      </c>
      <c r="J92" s="5" t="s">
        <v>51</v>
      </c>
      <c r="K92" s="5" t="s">
        <v>48</v>
      </c>
      <c r="L92" s="5" t="s">
        <v>56</v>
      </c>
      <c r="M92" s="5" t="s">
        <v>74</v>
      </c>
      <c r="N92" s="5" t="s">
        <v>53</v>
      </c>
      <c r="O92" s="5" t="s">
        <v>55</v>
      </c>
      <c r="P92" s="5" t="s">
        <v>64</v>
      </c>
      <c r="Q92" s="5" t="s">
        <v>73</v>
      </c>
      <c r="R92" s="5" t="s">
        <v>57</v>
      </c>
      <c r="S92" s="5" t="s">
        <v>60</v>
      </c>
      <c r="T92" s="1">
        <v>7</v>
      </c>
      <c r="U92" s="1">
        <v>15</v>
      </c>
      <c r="V92" s="1">
        <v>48</v>
      </c>
      <c r="AA92">
        <f t="shared" si="15"/>
        <v>90</v>
      </c>
      <c r="AB92">
        <f t="shared" si="14"/>
        <v>0</v>
      </c>
    </row>
    <row r="93" spans="1:28" ht="28.8" x14ac:dyDescent="0.3">
      <c r="A93" s="3">
        <v>72</v>
      </c>
      <c r="B93" s="4"/>
      <c r="C93" s="6" t="s">
        <v>125</v>
      </c>
      <c r="D93" s="5"/>
      <c r="E93" s="5" t="s">
        <v>66</v>
      </c>
      <c r="F93" s="5" t="s">
        <v>65</v>
      </c>
      <c r="G93" s="5" t="s">
        <v>70</v>
      </c>
      <c r="H93" s="5" t="s">
        <v>59</v>
      </c>
      <c r="I93" s="5" t="s">
        <v>63</v>
      </c>
      <c r="J93" s="5" t="s">
        <v>51</v>
      </c>
      <c r="K93" s="5" t="s">
        <v>48</v>
      </c>
      <c r="L93" s="5" t="s">
        <v>47</v>
      </c>
      <c r="M93" s="5" t="s">
        <v>74</v>
      </c>
      <c r="N93" s="5" t="s">
        <v>53</v>
      </c>
      <c r="O93" s="5" t="s">
        <v>209</v>
      </c>
      <c r="P93" s="5" t="s">
        <v>67</v>
      </c>
      <c r="Q93" s="5" t="s">
        <v>210</v>
      </c>
      <c r="R93" s="5" t="s">
        <v>57</v>
      </c>
      <c r="S93" s="5" t="s">
        <v>69</v>
      </c>
      <c r="T93" s="1">
        <v>7</v>
      </c>
      <c r="U93" s="1">
        <v>14</v>
      </c>
      <c r="V93" s="1">
        <v>48</v>
      </c>
      <c r="AA93">
        <f t="shared" si="15"/>
        <v>91</v>
      </c>
      <c r="AB93">
        <f t="shared" si="14"/>
        <v>0</v>
      </c>
    </row>
    <row r="94" spans="1:28" ht="28.8" x14ac:dyDescent="0.3">
      <c r="A94" s="3">
        <v>73</v>
      </c>
      <c r="B94" s="4"/>
      <c r="C94" s="6" t="s">
        <v>24</v>
      </c>
      <c r="D94" s="5"/>
      <c r="E94" s="5" t="s">
        <v>66</v>
      </c>
      <c r="F94" s="5" t="s">
        <v>65</v>
      </c>
      <c r="G94" s="5" t="s">
        <v>58</v>
      </c>
      <c r="H94" s="5" t="s">
        <v>71</v>
      </c>
      <c r="I94" s="5" t="s">
        <v>63</v>
      </c>
      <c r="J94" s="5" t="s">
        <v>51</v>
      </c>
      <c r="K94" s="5" t="s">
        <v>48</v>
      </c>
      <c r="L94" s="5" t="s">
        <v>56</v>
      </c>
      <c r="M94" s="5" t="s">
        <v>62</v>
      </c>
      <c r="N94" s="5" t="s">
        <v>53</v>
      </c>
      <c r="O94" s="5" t="s">
        <v>209</v>
      </c>
      <c r="P94" s="5" t="s">
        <v>64</v>
      </c>
      <c r="Q94" s="5" t="s">
        <v>210</v>
      </c>
      <c r="R94" s="5" t="s">
        <v>50</v>
      </c>
      <c r="S94" s="5" t="s">
        <v>69</v>
      </c>
      <c r="T94" s="1">
        <v>7</v>
      </c>
      <c r="U94" s="1">
        <v>15</v>
      </c>
      <c r="V94" s="1">
        <v>48</v>
      </c>
      <c r="AA94">
        <f t="shared" si="15"/>
        <v>92</v>
      </c>
      <c r="AB94">
        <f t="shared" si="14"/>
        <v>0</v>
      </c>
    </row>
    <row r="95" spans="1:28" ht="28.8" x14ac:dyDescent="0.3">
      <c r="A95" s="3">
        <v>74</v>
      </c>
      <c r="B95" s="4"/>
      <c r="C95" s="6" t="s">
        <v>92</v>
      </c>
      <c r="D95" s="5"/>
      <c r="E95" s="5" t="s">
        <v>52</v>
      </c>
      <c r="F95" s="5" t="s">
        <v>65</v>
      </c>
      <c r="G95" s="5" t="s">
        <v>70</v>
      </c>
      <c r="H95" s="5" t="s">
        <v>59</v>
      </c>
      <c r="I95" s="5" t="s">
        <v>63</v>
      </c>
      <c r="J95" s="5" t="s">
        <v>61</v>
      </c>
      <c r="K95" s="5" t="s">
        <v>48</v>
      </c>
      <c r="L95" s="5" t="s">
        <v>56</v>
      </c>
      <c r="M95" s="5" t="s">
        <v>74</v>
      </c>
      <c r="N95" s="5" t="s">
        <v>72</v>
      </c>
      <c r="O95" s="5" t="s">
        <v>209</v>
      </c>
      <c r="P95" s="5" t="s">
        <v>64</v>
      </c>
      <c r="Q95" s="5" t="s">
        <v>210</v>
      </c>
      <c r="R95" s="5" t="s">
        <v>50</v>
      </c>
      <c r="S95" s="5" t="s">
        <v>69</v>
      </c>
      <c r="T95" s="1">
        <v>7</v>
      </c>
      <c r="U95" s="1">
        <v>13</v>
      </c>
      <c r="V95" s="1">
        <v>49</v>
      </c>
      <c r="AA95">
        <f t="shared" si="15"/>
        <v>93</v>
      </c>
      <c r="AB95">
        <f t="shared" si="14"/>
        <v>0</v>
      </c>
    </row>
    <row r="96" spans="1:28" ht="28.8" x14ac:dyDescent="0.3">
      <c r="A96" s="3">
        <v>75</v>
      </c>
      <c r="B96" s="4"/>
      <c r="C96" s="6" t="s">
        <v>134</v>
      </c>
      <c r="D96" s="5"/>
      <c r="E96" s="5" t="s">
        <v>66</v>
      </c>
      <c r="F96" s="5" t="s">
        <v>68</v>
      </c>
      <c r="G96" s="5" t="s">
        <v>58</v>
      </c>
      <c r="H96" s="5" t="s">
        <v>71</v>
      </c>
      <c r="I96" s="5" t="s">
        <v>63</v>
      </c>
      <c r="J96" s="5" t="s">
        <v>51</v>
      </c>
      <c r="K96" s="5" t="s">
        <v>48</v>
      </c>
      <c r="L96" s="5" t="s">
        <v>56</v>
      </c>
      <c r="M96" s="5" t="s">
        <v>74</v>
      </c>
      <c r="N96" s="5" t="s">
        <v>53</v>
      </c>
      <c r="O96" s="5" t="s">
        <v>209</v>
      </c>
      <c r="P96" s="5" t="s">
        <v>64</v>
      </c>
      <c r="Q96" s="5" t="s">
        <v>73</v>
      </c>
      <c r="R96" s="5" t="s">
        <v>57</v>
      </c>
      <c r="S96" s="5" t="s">
        <v>69</v>
      </c>
      <c r="T96" s="1">
        <v>7</v>
      </c>
      <c r="U96" s="1">
        <v>12</v>
      </c>
      <c r="V96" s="1">
        <v>37</v>
      </c>
      <c r="AA96">
        <f t="shared" si="15"/>
        <v>94</v>
      </c>
      <c r="AB96">
        <f t="shared" si="14"/>
        <v>0</v>
      </c>
    </row>
    <row r="97" spans="1:28" x14ac:dyDescent="0.3">
      <c r="A97" s="3">
        <v>76</v>
      </c>
      <c r="B97" s="4"/>
      <c r="C97" s="6" t="s">
        <v>169</v>
      </c>
      <c r="D97" s="5"/>
      <c r="E97" s="5" t="s">
        <v>52</v>
      </c>
      <c r="F97" s="5" t="s">
        <v>65</v>
      </c>
      <c r="G97" s="5" t="s">
        <v>70</v>
      </c>
      <c r="H97" s="5" t="s">
        <v>59</v>
      </c>
      <c r="I97" s="5" t="s">
        <v>63</v>
      </c>
      <c r="J97" s="5" t="s">
        <v>51</v>
      </c>
      <c r="K97" s="5" t="s">
        <v>207</v>
      </c>
      <c r="L97" s="5" t="s">
        <v>47</v>
      </c>
      <c r="M97" s="5" t="s">
        <v>74</v>
      </c>
      <c r="N97" s="5" t="s">
        <v>53</v>
      </c>
      <c r="O97" s="5" t="s">
        <v>209</v>
      </c>
      <c r="P97" s="5" t="s">
        <v>67</v>
      </c>
      <c r="Q97" s="5" t="s">
        <v>210</v>
      </c>
      <c r="R97" s="5" t="s">
        <v>57</v>
      </c>
      <c r="S97" s="5" t="s">
        <v>69</v>
      </c>
      <c r="T97" s="1">
        <v>7</v>
      </c>
      <c r="U97" s="1">
        <v>11</v>
      </c>
      <c r="V97" s="1">
        <v>49</v>
      </c>
      <c r="AA97">
        <f t="shared" si="15"/>
        <v>95</v>
      </c>
      <c r="AB97">
        <f t="shared" si="14"/>
        <v>0</v>
      </c>
    </row>
    <row r="98" spans="1:28" ht="28.8" x14ac:dyDescent="0.3">
      <c r="A98" s="3">
        <v>77</v>
      </c>
      <c r="B98" s="4"/>
      <c r="C98" s="6" t="s">
        <v>8</v>
      </c>
      <c r="D98" s="5"/>
      <c r="E98" s="5" t="s">
        <v>66</v>
      </c>
      <c r="F98" s="5" t="s">
        <v>65</v>
      </c>
      <c r="G98" s="5" t="s">
        <v>70</v>
      </c>
      <c r="H98" s="5" t="s">
        <v>59</v>
      </c>
      <c r="I98" s="5" t="s">
        <v>63</v>
      </c>
      <c r="J98" s="5" t="s">
        <v>51</v>
      </c>
      <c r="K98" s="5" t="s">
        <v>48</v>
      </c>
      <c r="L98" s="5" t="s">
        <v>47</v>
      </c>
      <c r="M98" s="5" t="s">
        <v>62</v>
      </c>
      <c r="N98" s="5" t="s">
        <v>53</v>
      </c>
      <c r="O98" s="5" t="s">
        <v>55</v>
      </c>
      <c r="P98" s="5" t="s">
        <v>67</v>
      </c>
      <c r="Q98" s="5" t="s">
        <v>210</v>
      </c>
      <c r="R98" s="5" t="s">
        <v>50</v>
      </c>
      <c r="S98" s="5" t="s">
        <v>60</v>
      </c>
      <c r="T98" s="1">
        <v>7</v>
      </c>
      <c r="U98" s="1">
        <v>16</v>
      </c>
      <c r="V98" s="1">
        <v>34</v>
      </c>
      <c r="AA98">
        <f t="shared" si="15"/>
        <v>96</v>
      </c>
      <c r="AB98">
        <f t="shared" si="14"/>
        <v>0</v>
      </c>
    </row>
    <row r="99" spans="1:28" ht="28.8" x14ac:dyDescent="0.3">
      <c r="A99" s="3">
        <v>78</v>
      </c>
      <c r="B99" s="4"/>
      <c r="C99" s="6" t="s">
        <v>116</v>
      </c>
      <c r="D99" s="5"/>
      <c r="E99" s="5" t="s">
        <v>52</v>
      </c>
      <c r="F99" s="5" t="s">
        <v>65</v>
      </c>
      <c r="G99" s="5" t="s">
        <v>58</v>
      </c>
      <c r="H99" s="5" t="s">
        <v>59</v>
      </c>
      <c r="I99" s="5" t="s">
        <v>63</v>
      </c>
      <c r="J99" s="5" t="s">
        <v>51</v>
      </c>
      <c r="K99" s="5" t="s">
        <v>48</v>
      </c>
      <c r="L99" s="5" t="s">
        <v>56</v>
      </c>
      <c r="M99" s="5" t="s">
        <v>62</v>
      </c>
      <c r="N99" s="5" t="s">
        <v>53</v>
      </c>
      <c r="O99" s="5" t="s">
        <v>209</v>
      </c>
      <c r="P99" s="5" t="s">
        <v>67</v>
      </c>
      <c r="Q99" s="5" t="s">
        <v>210</v>
      </c>
      <c r="R99" s="5" t="s">
        <v>50</v>
      </c>
      <c r="S99" s="5" t="s">
        <v>60</v>
      </c>
      <c r="T99" s="1">
        <v>7</v>
      </c>
      <c r="U99" s="1">
        <v>12</v>
      </c>
      <c r="V99" s="1">
        <v>52</v>
      </c>
      <c r="AA99">
        <f t="shared" si="15"/>
        <v>97</v>
      </c>
      <c r="AB99">
        <f t="shared" si="14"/>
        <v>0</v>
      </c>
    </row>
    <row r="100" spans="1:28" x14ac:dyDescent="0.3">
      <c r="A100" s="3">
        <v>79</v>
      </c>
      <c r="B100" s="4"/>
      <c r="C100" s="6" t="s">
        <v>105</v>
      </c>
      <c r="D100" s="5"/>
      <c r="E100" s="5" t="s">
        <v>52</v>
      </c>
      <c r="F100" s="5" t="s">
        <v>68</v>
      </c>
      <c r="G100" s="5" t="s">
        <v>58</v>
      </c>
      <c r="H100" s="5" t="s">
        <v>71</v>
      </c>
      <c r="I100" s="5" t="s">
        <v>63</v>
      </c>
      <c r="J100" s="5" t="s">
        <v>61</v>
      </c>
      <c r="K100" s="5" t="s">
        <v>48</v>
      </c>
      <c r="L100" s="5" t="s">
        <v>56</v>
      </c>
      <c r="M100" s="5" t="s">
        <v>74</v>
      </c>
      <c r="N100" s="5" t="s">
        <v>53</v>
      </c>
      <c r="O100" s="5" t="s">
        <v>55</v>
      </c>
      <c r="P100" s="5" t="s">
        <v>64</v>
      </c>
      <c r="Q100" s="5" t="s">
        <v>210</v>
      </c>
      <c r="R100" s="5" t="s">
        <v>50</v>
      </c>
      <c r="S100" s="5" t="s">
        <v>60</v>
      </c>
      <c r="T100" s="1">
        <v>7</v>
      </c>
      <c r="U100" s="1">
        <v>14</v>
      </c>
      <c r="V100" s="1">
        <v>52</v>
      </c>
      <c r="AA100">
        <f t="shared" si="15"/>
        <v>98</v>
      </c>
      <c r="AB100">
        <f t="shared" si="14"/>
        <v>0</v>
      </c>
    </row>
    <row r="101" spans="1:28" x14ac:dyDescent="0.3">
      <c r="A101" s="3">
        <v>80</v>
      </c>
      <c r="B101" s="4"/>
      <c r="C101" s="6" t="s">
        <v>156</v>
      </c>
      <c r="D101" s="5"/>
      <c r="E101" s="5" t="s">
        <v>66</v>
      </c>
      <c r="F101" s="5" t="s">
        <v>65</v>
      </c>
      <c r="G101" s="5" t="s">
        <v>70</v>
      </c>
      <c r="H101" s="5" t="s">
        <v>59</v>
      </c>
      <c r="I101" s="5" t="s">
        <v>63</v>
      </c>
      <c r="J101" s="5" t="s">
        <v>61</v>
      </c>
      <c r="K101" s="5" t="s">
        <v>48</v>
      </c>
      <c r="L101" s="5" t="s">
        <v>47</v>
      </c>
      <c r="M101" s="5" t="s">
        <v>74</v>
      </c>
      <c r="N101" s="5" t="s">
        <v>53</v>
      </c>
      <c r="O101" s="5" t="s">
        <v>209</v>
      </c>
      <c r="P101" s="5" t="s">
        <v>67</v>
      </c>
      <c r="Q101" s="5" t="s">
        <v>210</v>
      </c>
      <c r="R101" s="5" t="s">
        <v>57</v>
      </c>
      <c r="S101" s="5" t="s">
        <v>60</v>
      </c>
      <c r="T101" s="1">
        <v>7</v>
      </c>
      <c r="U101" s="1">
        <v>15</v>
      </c>
      <c r="V101" s="1">
        <v>56</v>
      </c>
      <c r="AA101">
        <f t="shared" si="15"/>
        <v>99</v>
      </c>
      <c r="AB101">
        <f t="shared" si="14"/>
        <v>0</v>
      </c>
    </row>
    <row r="102" spans="1:28" ht="28.8" x14ac:dyDescent="0.3">
      <c r="A102" s="3">
        <v>81</v>
      </c>
      <c r="B102" s="4"/>
      <c r="C102" s="6" t="s">
        <v>6</v>
      </c>
      <c r="D102" s="5"/>
      <c r="E102" s="5" t="s">
        <v>52</v>
      </c>
      <c r="F102" s="5" t="s">
        <v>65</v>
      </c>
      <c r="G102" s="5" t="s">
        <v>70</v>
      </c>
      <c r="H102" s="5" t="s">
        <v>71</v>
      </c>
      <c r="I102" s="5" t="s">
        <v>54</v>
      </c>
      <c r="J102" s="5" t="s">
        <v>51</v>
      </c>
      <c r="K102" s="5" t="s">
        <v>207</v>
      </c>
      <c r="L102" s="5" t="s">
        <v>56</v>
      </c>
      <c r="M102" s="5" t="s">
        <v>62</v>
      </c>
      <c r="N102" s="5" t="s">
        <v>53</v>
      </c>
      <c r="O102" s="5" t="s">
        <v>55</v>
      </c>
      <c r="P102" s="5" t="s">
        <v>67</v>
      </c>
      <c r="Q102" s="5" t="s">
        <v>210</v>
      </c>
      <c r="R102" s="5" t="s">
        <v>57</v>
      </c>
      <c r="S102" s="5" t="s">
        <v>60</v>
      </c>
      <c r="T102" s="1">
        <v>7</v>
      </c>
      <c r="U102" s="1">
        <v>15</v>
      </c>
      <c r="V102" s="1">
        <v>23</v>
      </c>
      <c r="AA102">
        <f t="shared" si="15"/>
        <v>100</v>
      </c>
      <c r="AB102">
        <f t="shared" si="14"/>
        <v>0</v>
      </c>
    </row>
    <row r="103" spans="1:28" ht="28.8" x14ac:dyDescent="0.3">
      <c r="A103" s="3">
        <v>82</v>
      </c>
      <c r="B103" s="4"/>
      <c r="C103" s="6" t="s">
        <v>160</v>
      </c>
      <c r="D103" s="5"/>
      <c r="E103" s="5" t="s">
        <v>66</v>
      </c>
      <c r="F103" s="5" t="s">
        <v>65</v>
      </c>
      <c r="G103" s="5" t="s">
        <v>58</v>
      </c>
      <c r="H103" s="5" t="s">
        <v>71</v>
      </c>
      <c r="I103" s="5" t="s">
        <v>63</v>
      </c>
      <c r="J103" s="5" t="s">
        <v>51</v>
      </c>
      <c r="K103" s="5" t="s">
        <v>48</v>
      </c>
      <c r="L103" s="5" t="s">
        <v>56</v>
      </c>
      <c r="M103" s="5" t="s">
        <v>74</v>
      </c>
      <c r="N103" s="5" t="s">
        <v>72</v>
      </c>
      <c r="O103" s="5" t="s">
        <v>209</v>
      </c>
      <c r="P103" s="5" t="s">
        <v>64</v>
      </c>
      <c r="Q103" s="5" t="s">
        <v>210</v>
      </c>
      <c r="R103" s="5" t="s">
        <v>57</v>
      </c>
      <c r="S103" s="5" t="s">
        <v>69</v>
      </c>
      <c r="T103" s="1">
        <v>6</v>
      </c>
      <c r="U103" s="1">
        <v>10</v>
      </c>
      <c r="V103" s="1">
        <v>44</v>
      </c>
      <c r="AA103">
        <f t="shared" si="15"/>
        <v>101</v>
      </c>
      <c r="AB103">
        <f t="shared" si="14"/>
        <v>0</v>
      </c>
    </row>
    <row r="104" spans="1:28" x14ac:dyDescent="0.3">
      <c r="A104" s="3">
        <v>83</v>
      </c>
      <c r="B104" s="4"/>
      <c r="C104" s="6" t="s">
        <v>129</v>
      </c>
      <c r="D104" s="5"/>
      <c r="E104" s="5" t="s">
        <v>52</v>
      </c>
      <c r="F104" s="5" t="s">
        <v>65</v>
      </c>
      <c r="G104" s="5" t="s">
        <v>70</v>
      </c>
      <c r="H104" s="5" t="s">
        <v>59</v>
      </c>
      <c r="I104" s="5" t="s">
        <v>54</v>
      </c>
      <c r="J104" s="5" t="s">
        <v>51</v>
      </c>
      <c r="K104" s="5" t="s">
        <v>48</v>
      </c>
      <c r="L104" s="5" t="s">
        <v>47</v>
      </c>
      <c r="M104" s="5" t="s">
        <v>62</v>
      </c>
      <c r="N104" s="5" t="s">
        <v>53</v>
      </c>
      <c r="O104" s="5" t="s">
        <v>55</v>
      </c>
      <c r="P104" s="5" t="s">
        <v>67</v>
      </c>
      <c r="Q104" s="5" t="s">
        <v>210</v>
      </c>
      <c r="R104" s="5" t="s">
        <v>57</v>
      </c>
      <c r="S104" s="5" t="s">
        <v>60</v>
      </c>
      <c r="T104" s="1">
        <v>6</v>
      </c>
      <c r="U104" s="1">
        <v>15</v>
      </c>
      <c r="V104" s="1">
        <v>42</v>
      </c>
      <c r="AA104">
        <f t="shared" si="15"/>
        <v>102</v>
      </c>
      <c r="AB104">
        <f t="shared" si="14"/>
        <v>0</v>
      </c>
    </row>
    <row r="105" spans="1:28" ht="28.8" x14ac:dyDescent="0.3">
      <c r="A105" s="3">
        <v>84</v>
      </c>
      <c r="B105" s="4"/>
      <c r="C105" s="6" t="s">
        <v>28</v>
      </c>
      <c r="D105" s="5"/>
      <c r="E105" s="5" t="s">
        <v>52</v>
      </c>
      <c r="F105" s="5" t="s">
        <v>65</v>
      </c>
      <c r="G105" s="5" t="s">
        <v>70</v>
      </c>
      <c r="H105" s="5" t="s">
        <v>71</v>
      </c>
      <c r="I105" s="5" t="s">
        <v>63</v>
      </c>
      <c r="J105" s="5" t="s">
        <v>61</v>
      </c>
      <c r="K105" s="5" t="s">
        <v>207</v>
      </c>
      <c r="L105" s="5" t="s">
        <v>56</v>
      </c>
      <c r="M105" s="5" t="s">
        <v>62</v>
      </c>
      <c r="N105" s="5" t="s">
        <v>72</v>
      </c>
      <c r="O105" s="5" t="s">
        <v>209</v>
      </c>
      <c r="P105" s="5" t="s">
        <v>67</v>
      </c>
      <c r="Q105" s="5" t="s">
        <v>210</v>
      </c>
      <c r="R105" s="5" t="s">
        <v>50</v>
      </c>
      <c r="S105" s="5" t="s">
        <v>60</v>
      </c>
      <c r="T105" s="1">
        <v>6</v>
      </c>
      <c r="U105" s="1">
        <v>13</v>
      </c>
      <c r="V105" s="1">
        <v>42</v>
      </c>
      <c r="AA105">
        <f t="shared" si="15"/>
        <v>103</v>
      </c>
      <c r="AB105">
        <f t="shared" si="14"/>
        <v>0</v>
      </c>
    </row>
    <row r="106" spans="1:28" x14ac:dyDescent="0.3">
      <c r="A106" s="3">
        <v>85</v>
      </c>
      <c r="B106" s="4"/>
      <c r="C106" s="6" t="s">
        <v>33</v>
      </c>
      <c r="D106" s="5"/>
      <c r="E106" s="5" t="s">
        <v>52</v>
      </c>
      <c r="F106" s="5" t="s">
        <v>65</v>
      </c>
      <c r="G106" s="5" t="s">
        <v>70</v>
      </c>
      <c r="H106" s="5" t="s">
        <v>71</v>
      </c>
      <c r="I106" s="5" t="s">
        <v>63</v>
      </c>
      <c r="J106" s="5" t="s">
        <v>51</v>
      </c>
      <c r="K106" s="5" t="s">
        <v>207</v>
      </c>
      <c r="L106" s="5" t="s">
        <v>47</v>
      </c>
      <c r="M106" s="5" t="s">
        <v>74</v>
      </c>
      <c r="N106" s="5" t="s">
        <v>53</v>
      </c>
      <c r="O106" s="5" t="s">
        <v>55</v>
      </c>
      <c r="P106" s="5" t="s">
        <v>67</v>
      </c>
      <c r="Q106" s="5" t="s">
        <v>210</v>
      </c>
      <c r="R106" s="5" t="s">
        <v>57</v>
      </c>
      <c r="S106" s="5" t="s">
        <v>60</v>
      </c>
      <c r="T106" s="1">
        <v>6</v>
      </c>
      <c r="U106" s="1">
        <v>15</v>
      </c>
      <c r="V106" s="1">
        <v>42</v>
      </c>
      <c r="AA106">
        <f t="shared" si="15"/>
        <v>104</v>
      </c>
      <c r="AB106">
        <f t="shared" si="14"/>
        <v>0</v>
      </c>
    </row>
    <row r="107" spans="1:28" ht="28.8" x14ac:dyDescent="0.3">
      <c r="A107" s="3">
        <v>86</v>
      </c>
      <c r="B107" s="4"/>
      <c r="C107" s="6" t="s">
        <v>143</v>
      </c>
      <c r="D107" s="5"/>
      <c r="E107" s="5" t="s">
        <v>52</v>
      </c>
      <c r="F107" s="5" t="s">
        <v>65</v>
      </c>
      <c r="G107" s="5" t="s">
        <v>70</v>
      </c>
      <c r="H107" s="5" t="s">
        <v>59</v>
      </c>
      <c r="I107" s="5" t="s">
        <v>63</v>
      </c>
      <c r="J107" s="5" t="s">
        <v>51</v>
      </c>
      <c r="K107" s="5" t="s">
        <v>48</v>
      </c>
      <c r="L107" s="5" t="s">
        <v>56</v>
      </c>
      <c r="M107" s="5" t="s">
        <v>74</v>
      </c>
      <c r="N107" s="5" t="s">
        <v>53</v>
      </c>
      <c r="O107" s="5" t="s">
        <v>209</v>
      </c>
      <c r="P107" s="5" t="s">
        <v>67</v>
      </c>
      <c r="Q107" s="5" t="s">
        <v>210</v>
      </c>
      <c r="R107" s="5" t="s">
        <v>57</v>
      </c>
      <c r="S107" s="5" t="s">
        <v>60</v>
      </c>
      <c r="T107" s="1">
        <v>6</v>
      </c>
      <c r="U107" s="1">
        <v>13</v>
      </c>
      <c r="V107" s="1">
        <v>44</v>
      </c>
      <c r="AA107">
        <f t="shared" si="15"/>
        <v>105</v>
      </c>
      <c r="AB107">
        <f t="shared" si="14"/>
        <v>0</v>
      </c>
    </row>
    <row r="108" spans="1:28" x14ac:dyDescent="0.3">
      <c r="A108" s="3">
        <v>87</v>
      </c>
      <c r="B108" s="4"/>
      <c r="C108" s="6" t="s">
        <v>121</v>
      </c>
      <c r="D108" s="5"/>
      <c r="E108" s="5" t="s">
        <v>52</v>
      </c>
      <c r="F108" s="5" t="s">
        <v>65</v>
      </c>
      <c r="G108" s="5" t="s">
        <v>58</v>
      </c>
      <c r="H108" s="5" t="s">
        <v>59</v>
      </c>
      <c r="I108" s="5" t="s">
        <v>63</v>
      </c>
      <c r="J108" s="5" t="s">
        <v>51</v>
      </c>
      <c r="K108" s="5" t="s">
        <v>48</v>
      </c>
      <c r="L108" s="5" t="s">
        <v>56</v>
      </c>
      <c r="M108" s="5" t="s">
        <v>62</v>
      </c>
      <c r="N108" s="5" t="s">
        <v>53</v>
      </c>
      <c r="O108" s="5" t="s">
        <v>209</v>
      </c>
      <c r="P108" s="5" t="s">
        <v>67</v>
      </c>
      <c r="Q108" s="5" t="s">
        <v>210</v>
      </c>
      <c r="R108" s="5" t="s">
        <v>57</v>
      </c>
      <c r="S108" s="5" t="s">
        <v>60</v>
      </c>
      <c r="T108" s="1">
        <v>6</v>
      </c>
      <c r="U108" s="1">
        <v>15</v>
      </c>
      <c r="V108" s="1">
        <v>42</v>
      </c>
      <c r="AA108">
        <f t="shared" si="15"/>
        <v>106</v>
      </c>
      <c r="AB108">
        <f t="shared" si="14"/>
        <v>0</v>
      </c>
    </row>
    <row r="109" spans="1:28" x14ac:dyDescent="0.3">
      <c r="A109" s="3">
        <v>88</v>
      </c>
      <c r="B109" s="4"/>
      <c r="C109" s="6" t="s">
        <v>82</v>
      </c>
      <c r="D109" s="5"/>
      <c r="E109" s="5" t="s">
        <v>66</v>
      </c>
      <c r="F109" s="5" t="s">
        <v>65</v>
      </c>
      <c r="G109" s="5" t="s">
        <v>70</v>
      </c>
      <c r="H109" s="5" t="s">
        <v>71</v>
      </c>
      <c r="I109" s="5" t="s">
        <v>63</v>
      </c>
      <c r="J109" s="5" t="s">
        <v>61</v>
      </c>
      <c r="K109" s="5" t="s">
        <v>48</v>
      </c>
      <c r="L109" s="5" t="s">
        <v>56</v>
      </c>
      <c r="M109" s="5" t="s">
        <v>74</v>
      </c>
      <c r="N109" s="5" t="s">
        <v>53</v>
      </c>
      <c r="O109" s="5" t="s">
        <v>209</v>
      </c>
      <c r="P109" s="5" t="s">
        <v>64</v>
      </c>
      <c r="Q109" s="5" t="s">
        <v>210</v>
      </c>
      <c r="R109" s="5" t="s">
        <v>57</v>
      </c>
      <c r="S109" s="5" t="s">
        <v>60</v>
      </c>
      <c r="T109" s="1">
        <v>6</v>
      </c>
      <c r="U109" s="1">
        <v>15</v>
      </c>
      <c r="V109" s="1">
        <v>44</v>
      </c>
      <c r="AA109">
        <f t="shared" si="15"/>
        <v>107</v>
      </c>
      <c r="AB109">
        <f t="shared" si="14"/>
        <v>0</v>
      </c>
    </row>
    <row r="110" spans="1:28" ht="43.2" x14ac:dyDescent="0.3">
      <c r="A110" s="3">
        <v>89</v>
      </c>
      <c r="B110" s="4"/>
      <c r="C110" s="6" t="s">
        <v>171</v>
      </c>
      <c r="D110" s="5"/>
      <c r="E110" s="5" t="s">
        <v>52</v>
      </c>
      <c r="F110" s="5" t="s">
        <v>68</v>
      </c>
      <c r="G110" s="5" t="s">
        <v>70</v>
      </c>
      <c r="H110" s="5" t="s">
        <v>59</v>
      </c>
      <c r="I110" s="5" t="s">
        <v>54</v>
      </c>
      <c r="J110" s="5" t="s">
        <v>51</v>
      </c>
      <c r="K110" s="5" t="s">
        <v>48</v>
      </c>
      <c r="L110" s="5" t="s">
        <v>47</v>
      </c>
      <c r="M110" s="5" t="s">
        <v>74</v>
      </c>
      <c r="N110" s="5" t="s">
        <v>53</v>
      </c>
      <c r="O110" s="5" t="s">
        <v>209</v>
      </c>
      <c r="P110" s="5" t="s">
        <v>64</v>
      </c>
      <c r="Q110" s="5" t="s">
        <v>73</v>
      </c>
      <c r="R110" s="5" t="s">
        <v>50</v>
      </c>
      <c r="S110" s="5" t="s">
        <v>60</v>
      </c>
      <c r="T110" s="1">
        <v>6</v>
      </c>
      <c r="U110" s="1">
        <v>14</v>
      </c>
      <c r="V110" s="1">
        <v>44</v>
      </c>
      <c r="AA110">
        <f t="shared" si="15"/>
        <v>108</v>
      </c>
      <c r="AB110">
        <f t="shared" si="14"/>
        <v>0</v>
      </c>
    </row>
    <row r="111" spans="1:28" ht="28.8" x14ac:dyDescent="0.3">
      <c r="A111" s="3">
        <v>90</v>
      </c>
      <c r="B111" s="4"/>
      <c r="C111" s="6" t="s">
        <v>164</v>
      </c>
      <c r="D111" s="5"/>
      <c r="E111" s="5" t="s">
        <v>52</v>
      </c>
      <c r="F111" s="5" t="s">
        <v>65</v>
      </c>
      <c r="G111" s="5" t="s">
        <v>70</v>
      </c>
      <c r="H111" s="5" t="s">
        <v>59</v>
      </c>
      <c r="I111" s="5" t="s">
        <v>63</v>
      </c>
      <c r="J111" s="5" t="s">
        <v>61</v>
      </c>
      <c r="K111" s="5" t="s">
        <v>48</v>
      </c>
      <c r="L111" s="5" t="s">
        <v>56</v>
      </c>
      <c r="M111" s="5" t="s">
        <v>62</v>
      </c>
      <c r="N111" s="5" t="s">
        <v>72</v>
      </c>
      <c r="O111" s="5" t="s">
        <v>55</v>
      </c>
      <c r="P111" s="5" t="s">
        <v>64</v>
      </c>
      <c r="Q111" s="5" t="s">
        <v>73</v>
      </c>
      <c r="R111" s="5" t="s">
        <v>57</v>
      </c>
      <c r="S111" s="5" t="s">
        <v>60</v>
      </c>
      <c r="T111" s="1">
        <v>6</v>
      </c>
      <c r="U111" s="1">
        <v>13</v>
      </c>
      <c r="V111" s="1">
        <v>45</v>
      </c>
      <c r="AA111">
        <f t="shared" si="15"/>
        <v>109</v>
      </c>
      <c r="AB111">
        <f t="shared" si="14"/>
        <v>0</v>
      </c>
    </row>
    <row r="112" spans="1:28" x14ac:dyDescent="0.3">
      <c r="A112" s="3">
        <v>91</v>
      </c>
      <c r="B112" s="4"/>
      <c r="C112" s="6" t="s">
        <v>98</v>
      </c>
      <c r="D112" s="5"/>
      <c r="E112" s="5" t="s">
        <v>52</v>
      </c>
      <c r="F112" s="5" t="s">
        <v>65</v>
      </c>
      <c r="G112" s="5" t="s">
        <v>70</v>
      </c>
      <c r="H112" s="5" t="s">
        <v>71</v>
      </c>
      <c r="I112" s="5" t="s">
        <v>54</v>
      </c>
      <c r="J112" s="5" t="s">
        <v>51</v>
      </c>
      <c r="K112" s="5" t="s">
        <v>48</v>
      </c>
      <c r="L112" s="5" t="s">
        <v>56</v>
      </c>
      <c r="M112" s="5" t="s">
        <v>74</v>
      </c>
      <c r="N112" s="5" t="s">
        <v>53</v>
      </c>
      <c r="O112" s="5" t="s">
        <v>209</v>
      </c>
      <c r="P112" s="5" t="s">
        <v>64</v>
      </c>
      <c r="Q112" s="5" t="s">
        <v>210</v>
      </c>
      <c r="R112" s="5" t="s">
        <v>50</v>
      </c>
      <c r="S112" s="5" t="s">
        <v>60</v>
      </c>
      <c r="T112" s="1">
        <v>6</v>
      </c>
      <c r="U112" s="1">
        <v>16</v>
      </c>
      <c r="V112" s="1">
        <v>45</v>
      </c>
      <c r="AA112">
        <f t="shared" si="15"/>
        <v>110</v>
      </c>
      <c r="AB112">
        <f t="shared" si="14"/>
        <v>0</v>
      </c>
    </row>
    <row r="113" spans="1:28" x14ac:dyDescent="0.3">
      <c r="A113" s="3">
        <v>92</v>
      </c>
      <c r="B113" s="4"/>
      <c r="C113" s="6" t="s">
        <v>86</v>
      </c>
      <c r="D113" s="5"/>
      <c r="E113" s="5" t="s">
        <v>52</v>
      </c>
      <c r="F113" s="5" t="s">
        <v>65</v>
      </c>
      <c r="G113" s="5" t="s">
        <v>70</v>
      </c>
      <c r="H113" s="5" t="s">
        <v>59</v>
      </c>
      <c r="I113" s="5" t="s">
        <v>54</v>
      </c>
      <c r="J113" s="5" t="s">
        <v>51</v>
      </c>
      <c r="K113" s="5" t="s">
        <v>48</v>
      </c>
      <c r="L113" s="5" t="s">
        <v>47</v>
      </c>
      <c r="M113" s="5" t="s">
        <v>74</v>
      </c>
      <c r="N113" s="5" t="s">
        <v>53</v>
      </c>
      <c r="O113" s="5" t="s">
        <v>209</v>
      </c>
      <c r="P113" s="5" t="s">
        <v>67</v>
      </c>
      <c r="Q113" s="5" t="s">
        <v>210</v>
      </c>
      <c r="R113" s="5" t="s">
        <v>57</v>
      </c>
      <c r="S113" s="5" t="s">
        <v>60</v>
      </c>
      <c r="T113" s="1">
        <v>6</v>
      </c>
      <c r="U113" s="1">
        <v>12</v>
      </c>
      <c r="V113" s="1">
        <v>45</v>
      </c>
      <c r="AA113">
        <f t="shared" si="15"/>
        <v>111</v>
      </c>
      <c r="AB113">
        <f t="shared" si="14"/>
        <v>0</v>
      </c>
    </row>
    <row r="114" spans="1:28" ht="28.8" x14ac:dyDescent="0.3">
      <c r="A114" s="3">
        <v>93</v>
      </c>
      <c r="B114" s="4"/>
      <c r="C114" s="6" t="s">
        <v>177</v>
      </c>
      <c r="D114" s="5"/>
      <c r="E114" s="5" t="s">
        <v>52</v>
      </c>
      <c r="F114" s="5" t="s">
        <v>65</v>
      </c>
      <c r="G114" s="5" t="s">
        <v>70</v>
      </c>
      <c r="H114" s="5" t="s">
        <v>59</v>
      </c>
      <c r="I114" s="5" t="s">
        <v>54</v>
      </c>
      <c r="J114" s="5" t="s">
        <v>51</v>
      </c>
      <c r="K114" s="5" t="s">
        <v>48</v>
      </c>
      <c r="L114" s="5" t="s">
        <v>47</v>
      </c>
      <c r="M114" s="5" t="s">
        <v>74</v>
      </c>
      <c r="N114" s="5" t="s">
        <v>53</v>
      </c>
      <c r="O114" s="5" t="s">
        <v>209</v>
      </c>
      <c r="P114" s="5" t="s">
        <v>67</v>
      </c>
      <c r="Q114" s="5" t="s">
        <v>210</v>
      </c>
      <c r="R114" s="5" t="s">
        <v>57</v>
      </c>
      <c r="S114" s="5" t="s">
        <v>60</v>
      </c>
      <c r="T114" s="1">
        <v>6</v>
      </c>
      <c r="U114" s="1">
        <v>13</v>
      </c>
      <c r="V114" s="1">
        <v>45</v>
      </c>
      <c r="AA114">
        <f t="shared" si="15"/>
        <v>112</v>
      </c>
      <c r="AB114">
        <f t="shared" si="14"/>
        <v>0</v>
      </c>
    </row>
    <row r="115" spans="1:28" ht="28.8" x14ac:dyDescent="0.3">
      <c r="A115" s="3">
        <v>94</v>
      </c>
      <c r="B115" s="4"/>
      <c r="C115" s="6" t="s">
        <v>15</v>
      </c>
      <c r="D115" s="5"/>
      <c r="E115" s="5" t="s">
        <v>52</v>
      </c>
      <c r="F115" s="5" t="s">
        <v>65</v>
      </c>
      <c r="G115" s="5" t="s">
        <v>58</v>
      </c>
      <c r="H115" s="5" t="s">
        <v>71</v>
      </c>
      <c r="I115" s="5" t="s">
        <v>63</v>
      </c>
      <c r="J115" s="5" t="s">
        <v>61</v>
      </c>
      <c r="K115" s="5" t="s">
        <v>48</v>
      </c>
      <c r="L115" s="5" t="s">
        <v>56</v>
      </c>
      <c r="M115" s="5" t="s">
        <v>62</v>
      </c>
      <c r="N115" s="5" t="s">
        <v>72</v>
      </c>
      <c r="O115" s="5" t="s">
        <v>209</v>
      </c>
      <c r="P115" s="5" t="s">
        <v>64</v>
      </c>
      <c r="Q115" s="5" t="s">
        <v>73</v>
      </c>
      <c r="R115" s="5" t="s">
        <v>57</v>
      </c>
      <c r="S115" s="5" t="s">
        <v>69</v>
      </c>
      <c r="T115" s="1">
        <v>6</v>
      </c>
      <c r="U115" s="1">
        <v>12</v>
      </c>
      <c r="V115" s="1">
        <v>46</v>
      </c>
      <c r="AA115">
        <f t="shared" si="15"/>
        <v>113</v>
      </c>
      <c r="AB115">
        <f t="shared" si="14"/>
        <v>0</v>
      </c>
    </row>
    <row r="116" spans="1:28" x14ac:dyDescent="0.3">
      <c r="A116" s="3">
        <v>95</v>
      </c>
      <c r="B116" s="4"/>
      <c r="C116" s="6" t="s">
        <v>26</v>
      </c>
      <c r="D116" s="5"/>
      <c r="E116" s="5" t="s">
        <v>52</v>
      </c>
      <c r="F116" s="5" t="s">
        <v>68</v>
      </c>
      <c r="G116" s="5" t="s">
        <v>70</v>
      </c>
      <c r="H116" s="5" t="s">
        <v>71</v>
      </c>
      <c r="I116" s="5" t="s">
        <v>63</v>
      </c>
      <c r="J116" s="5" t="s">
        <v>61</v>
      </c>
      <c r="K116" s="5" t="s">
        <v>48</v>
      </c>
      <c r="L116" s="5" t="s">
        <v>56</v>
      </c>
      <c r="M116" s="5" t="s">
        <v>74</v>
      </c>
      <c r="N116" s="5" t="s">
        <v>53</v>
      </c>
      <c r="O116" s="5" t="s">
        <v>55</v>
      </c>
      <c r="P116" s="5" t="s">
        <v>67</v>
      </c>
      <c r="Q116" s="5" t="s">
        <v>210</v>
      </c>
      <c r="R116" s="5" t="s">
        <v>57</v>
      </c>
      <c r="S116" s="5" t="s">
        <v>60</v>
      </c>
      <c r="T116" s="1">
        <v>6</v>
      </c>
      <c r="U116" s="1">
        <v>13</v>
      </c>
      <c r="V116" s="1">
        <v>47</v>
      </c>
      <c r="AA116">
        <f t="shared" si="15"/>
        <v>114</v>
      </c>
      <c r="AB116">
        <f t="shared" si="14"/>
        <v>0</v>
      </c>
    </row>
    <row r="117" spans="1:28" x14ac:dyDescent="0.3">
      <c r="A117" s="3">
        <v>96</v>
      </c>
      <c r="B117" s="4"/>
      <c r="C117" s="6" t="s">
        <v>152</v>
      </c>
      <c r="D117" s="5"/>
      <c r="E117" s="5" t="s">
        <v>52</v>
      </c>
      <c r="F117" s="5" t="s">
        <v>68</v>
      </c>
      <c r="G117" s="5" t="s">
        <v>58</v>
      </c>
      <c r="H117" s="5" t="s">
        <v>59</v>
      </c>
      <c r="I117" s="5" t="s">
        <v>54</v>
      </c>
      <c r="J117" s="5" t="s">
        <v>51</v>
      </c>
      <c r="K117" s="5" t="s">
        <v>48</v>
      </c>
      <c r="L117" s="5" t="s">
        <v>47</v>
      </c>
      <c r="M117" s="5" t="s">
        <v>62</v>
      </c>
      <c r="N117" s="5" t="s">
        <v>53</v>
      </c>
      <c r="O117" s="5" t="s">
        <v>209</v>
      </c>
      <c r="P117" s="5" t="s">
        <v>64</v>
      </c>
      <c r="Q117" s="5" t="s">
        <v>73</v>
      </c>
      <c r="R117" s="5" t="s">
        <v>50</v>
      </c>
      <c r="S117" s="5" t="s">
        <v>60</v>
      </c>
      <c r="T117" s="1">
        <v>6</v>
      </c>
      <c r="U117" s="1">
        <v>14</v>
      </c>
      <c r="V117" s="1">
        <v>47</v>
      </c>
      <c r="AA117">
        <f t="shared" si="15"/>
        <v>115</v>
      </c>
      <c r="AB117">
        <f t="shared" si="14"/>
        <v>0</v>
      </c>
    </row>
    <row r="118" spans="1:28" ht="28.8" x14ac:dyDescent="0.3">
      <c r="A118" s="3">
        <v>97</v>
      </c>
      <c r="B118" s="4"/>
      <c r="C118" s="6" t="s">
        <v>112</v>
      </c>
      <c r="D118" s="5"/>
      <c r="E118" s="5" t="s">
        <v>52</v>
      </c>
      <c r="F118" s="5" t="s">
        <v>65</v>
      </c>
      <c r="G118" s="5" t="s">
        <v>70</v>
      </c>
      <c r="H118" s="5" t="s">
        <v>59</v>
      </c>
      <c r="I118" s="5" t="s">
        <v>63</v>
      </c>
      <c r="J118" s="5" t="s">
        <v>51</v>
      </c>
      <c r="K118" s="5" t="s">
        <v>207</v>
      </c>
      <c r="L118" s="5" t="s">
        <v>47</v>
      </c>
      <c r="M118" s="5" t="s">
        <v>74</v>
      </c>
      <c r="N118" s="5" t="s">
        <v>53</v>
      </c>
      <c r="O118" s="5" t="s">
        <v>209</v>
      </c>
      <c r="P118" s="5" t="s">
        <v>67</v>
      </c>
      <c r="Q118" s="5" t="s">
        <v>210</v>
      </c>
      <c r="R118" s="5" t="s">
        <v>57</v>
      </c>
      <c r="S118" s="5" t="s">
        <v>60</v>
      </c>
      <c r="T118" s="1">
        <v>6</v>
      </c>
      <c r="U118" s="1">
        <v>11</v>
      </c>
      <c r="V118" s="1">
        <v>47</v>
      </c>
      <c r="AA118">
        <f t="shared" si="15"/>
        <v>116</v>
      </c>
      <c r="AB118">
        <f t="shared" si="14"/>
        <v>0</v>
      </c>
    </row>
    <row r="119" spans="1:28" ht="28.8" x14ac:dyDescent="0.3">
      <c r="A119" s="3">
        <v>98</v>
      </c>
      <c r="B119" s="4"/>
      <c r="C119" s="6" t="s">
        <v>25</v>
      </c>
      <c r="D119" s="5"/>
      <c r="E119" s="5" t="s">
        <v>52</v>
      </c>
      <c r="F119" s="5" t="s">
        <v>65</v>
      </c>
      <c r="G119" s="5" t="s">
        <v>70</v>
      </c>
      <c r="H119" s="5" t="s">
        <v>71</v>
      </c>
      <c r="I119" s="5" t="s">
        <v>63</v>
      </c>
      <c r="J119" s="5" t="s">
        <v>51</v>
      </c>
      <c r="K119" s="5" t="s">
        <v>207</v>
      </c>
      <c r="L119" s="5" t="s">
        <v>56</v>
      </c>
      <c r="M119" s="5" t="s">
        <v>74</v>
      </c>
      <c r="N119" s="5" t="s">
        <v>53</v>
      </c>
      <c r="O119" s="5" t="s">
        <v>209</v>
      </c>
      <c r="P119" s="5" t="s">
        <v>64</v>
      </c>
      <c r="Q119" s="5" t="s">
        <v>210</v>
      </c>
      <c r="R119" s="5" t="s">
        <v>57</v>
      </c>
      <c r="S119" s="5" t="s">
        <v>69</v>
      </c>
      <c r="T119" s="1">
        <v>6</v>
      </c>
      <c r="U119" s="1">
        <v>12</v>
      </c>
      <c r="V119" s="1">
        <v>39</v>
      </c>
      <c r="AA119">
        <f t="shared" si="15"/>
        <v>117</v>
      </c>
      <c r="AB119">
        <f t="shared" si="14"/>
        <v>0</v>
      </c>
    </row>
    <row r="120" spans="1:28" x14ac:dyDescent="0.3">
      <c r="A120" s="3">
        <v>99</v>
      </c>
      <c r="B120" s="4"/>
      <c r="C120" s="6" t="s">
        <v>14</v>
      </c>
      <c r="D120" s="5"/>
      <c r="E120" s="5" t="s">
        <v>52</v>
      </c>
      <c r="F120" s="5" t="s">
        <v>65</v>
      </c>
      <c r="G120" s="5" t="s">
        <v>70</v>
      </c>
      <c r="H120" s="5" t="s">
        <v>71</v>
      </c>
      <c r="I120" s="5" t="s">
        <v>63</v>
      </c>
      <c r="J120" s="5" t="s">
        <v>61</v>
      </c>
      <c r="K120" s="5" t="s">
        <v>207</v>
      </c>
      <c r="L120" s="5" t="s">
        <v>47</v>
      </c>
      <c r="M120" s="5" t="s">
        <v>74</v>
      </c>
      <c r="N120" s="5" t="s">
        <v>72</v>
      </c>
      <c r="O120" s="5" t="s">
        <v>209</v>
      </c>
      <c r="P120" s="5" t="s">
        <v>67</v>
      </c>
      <c r="Q120" s="5" t="s">
        <v>73</v>
      </c>
      <c r="R120" s="5" t="s">
        <v>57</v>
      </c>
      <c r="S120" s="5" t="s">
        <v>60</v>
      </c>
      <c r="T120" s="1">
        <v>6</v>
      </c>
      <c r="U120" s="1">
        <v>15</v>
      </c>
      <c r="V120" s="1">
        <v>47</v>
      </c>
      <c r="AA120">
        <f t="shared" si="15"/>
        <v>118</v>
      </c>
      <c r="AB120">
        <f t="shared" si="14"/>
        <v>0</v>
      </c>
    </row>
    <row r="121" spans="1:28" ht="28.8" x14ac:dyDescent="0.3">
      <c r="A121" s="3">
        <v>100</v>
      </c>
      <c r="B121" s="4"/>
      <c r="C121" s="6" t="s">
        <v>154</v>
      </c>
      <c r="D121" s="5"/>
      <c r="E121" s="5" t="s">
        <v>52</v>
      </c>
      <c r="F121" s="5" t="s">
        <v>65</v>
      </c>
      <c r="G121" s="5" t="s">
        <v>70</v>
      </c>
      <c r="H121" s="5" t="s">
        <v>59</v>
      </c>
      <c r="I121" s="5" t="s">
        <v>63</v>
      </c>
      <c r="J121" s="5" t="s">
        <v>51</v>
      </c>
      <c r="K121" s="5" t="s">
        <v>207</v>
      </c>
      <c r="L121" s="5" t="s">
        <v>47</v>
      </c>
      <c r="M121" s="5" t="s">
        <v>74</v>
      </c>
      <c r="N121" s="5" t="s">
        <v>53</v>
      </c>
      <c r="O121" s="5" t="s">
        <v>209</v>
      </c>
      <c r="P121" s="5" t="s">
        <v>67</v>
      </c>
      <c r="Q121" s="5" t="s">
        <v>210</v>
      </c>
      <c r="R121" s="5" t="s">
        <v>57</v>
      </c>
      <c r="S121" s="5" t="s">
        <v>60</v>
      </c>
      <c r="T121" s="1">
        <v>6</v>
      </c>
      <c r="U121" s="1">
        <v>14</v>
      </c>
      <c r="V121" s="1">
        <v>47</v>
      </c>
    </row>
    <row r="122" spans="1:28" ht="28.8" x14ac:dyDescent="0.3">
      <c r="A122" s="3">
        <v>101</v>
      </c>
      <c r="B122" s="4"/>
      <c r="C122" s="6" t="s">
        <v>107</v>
      </c>
      <c r="D122" s="5"/>
      <c r="E122" s="5" t="s">
        <v>66</v>
      </c>
      <c r="F122" s="5" t="s">
        <v>65</v>
      </c>
      <c r="G122" s="5" t="s">
        <v>70</v>
      </c>
      <c r="H122" s="5" t="s">
        <v>71</v>
      </c>
      <c r="I122" s="5" t="s">
        <v>54</v>
      </c>
      <c r="J122" s="5" t="s">
        <v>51</v>
      </c>
      <c r="K122" s="5" t="s">
        <v>48</v>
      </c>
      <c r="L122" s="5" t="s">
        <v>47</v>
      </c>
      <c r="M122" s="5" t="s">
        <v>74</v>
      </c>
      <c r="N122" s="5" t="s">
        <v>53</v>
      </c>
      <c r="O122" s="5" t="s">
        <v>209</v>
      </c>
      <c r="P122" s="5" t="s">
        <v>67</v>
      </c>
      <c r="Q122" s="5" t="s">
        <v>210</v>
      </c>
      <c r="R122" s="5" t="s">
        <v>57</v>
      </c>
      <c r="S122" s="5" t="s">
        <v>60</v>
      </c>
      <c r="T122" s="1">
        <v>6</v>
      </c>
      <c r="U122" s="1">
        <v>13</v>
      </c>
      <c r="V122" s="1">
        <v>48</v>
      </c>
    </row>
    <row r="123" spans="1:28" ht="28.8" x14ac:dyDescent="0.3">
      <c r="A123" s="3">
        <v>102</v>
      </c>
      <c r="B123" s="4"/>
      <c r="C123" s="6" t="s">
        <v>108</v>
      </c>
      <c r="D123" s="5"/>
      <c r="E123" s="5" t="s">
        <v>52</v>
      </c>
      <c r="F123" s="5" t="s">
        <v>65</v>
      </c>
      <c r="G123" s="5" t="s">
        <v>70</v>
      </c>
      <c r="H123" s="5" t="s">
        <v>71</v>
      </c>
      <c r="I123" s="5" t="s">
        <v>54</v>
      </c>
      <c r="J123" s="5" t="s">
        <v>51</v>
      </c>
      <c r="K123" s="5" t="s">
        <v>48</v>
      </c>
      <c r="L123" s="5" t="s">
        <v>56</v>
      </c>
      <c r="M123" s="5" t="s">
        <v>74</v>
      </c>
      <c r="N123" s="5" t="s">
        <v>53</v>
      </c>
      <c r="O123" s="5" t="s">
        <v>209</v>
      </c>
      <c r="P123" s="5" t="s">
        <v>67</v>
      </c>
      <c r="Q123" s="5" t="s">
        <v>210</v>
      </c>
      <c r="R123" s="5" t="s">
        <v>57</v>
      </c>
      <c r="S123" s="5" t="s">
        <v>60</v>
      </c>
      <c r="T123" s="1">
        <v>6</v>
      </c>
      <c r="U123" s="1">
        <v>15</v>
      </c>
      <c r="V123" s="1">
        <v>48</v>
      </c>
    </row>
    <row r="124" spans="1:28" x14ac:dyDescent="0.3">
      <c r="A124" s="3">
        <v>103</v>
      </c>
      <c r="B124" s="4"/>
      <c r="C124" s="6" t="s">
        <v>100</v>
      </c>
      <c r="D124" s="5"/>
      <c r="E124" s="5" t="s">
        <v>52</v>
      </c>
      <c r="F124" s="5" t="s">
        <v>65</v>
      </c>
      <c r="G124" s="5" t="s">
        <v>70</v>
      </c>
      <c r="H124" s="5" t="s">
        <v>59</v>
      </c>
      <c r="I124" s="5" t="s">
        <v>63</v>
      </c>
      <c r="J124" s="5" t="s">
        <v>51</v>
      </c>
      <c r="K124" s="5" t="s">
        <v>48</v>
      </c>
      <c r="L124" s="5" t="s">
        <v>47</v>
      </c>
      <c r="M124" s="5" t="s">
        <v>74</v>
      </c>
      <c r="N124" s="5" t="s">
        <v>53</v>
      </c>
      <c r="O124" s="5" t="s">
        <v>55</v>
      </c>
      <c r="P124" s="5" t="s">
        <v>67</v>
      </c>
      <c r="Q124" s="5" t="s">
        <v>210</v>
      </c>
      <c r="R124" s="5" t="s">
        <v>57</v>
      </c>
      <c r="S124" s="5" t="s">
        <v>60</v>
      </c>
      <c r="T124" s="1">
        <v>6</v>
      </c>
      <c r="U124" s="1">
        <v>14</v>
      </c>
      <c r="V124" s="1">
        <v>49</v>
      </c>
    </row>
    <row r="125" spans="1:28" ht="28.8" x14ac:dyDescent="0.3">
      <c r="A125" s="3">
        <v>104</v>
      </c>
      <c r="B125" s="4"/>
      <c r="C125" s="6" t="s">
        <v>200</v>
      </c>
      <c r="D125" s="5"/>
      <c r="E125" s="5" t="s">
        <v>52</v>
      </c>
      <c r="F125" s="5" t="s">
        <v>65</v>
      </c>
      <c r="G125" s="5" t="s">
        <v>70</v>
      </c>
      <c r="H125" s="5" t="s">
        <v>59</v>
      </c>
      <c r="I125" s="5" t="s">
        <v>63</v>
      </c>
      <c r="J125" s="5" t="s">
        <v>51</v>
      </c>
      <c r="K125" s="5" t="s">
        <v>48</v>
      </c>
      <c r="L125" s="5" t="s">
        <v>56</v>
      </c>
      <c r="M125" s="5" t="s">
        <v>74</v>
      </c>
      <c r="N125" s="5" t="s">
        <v>53</v>
      </c>
      <c r="O125" s="5" t="s">
        <v>209</v>
      </c>
      <c r="P125" s="5" t="s">
        <v>67</v>
      </c>
      <c r="Q125" s="5" t="s">
        <v>210</v>
      </c>
      <c r="R125" s="5" t="s">
        <v>57</v>
      </c>
      <c r="S125" s="5" t="s">
        <v>60</v>
      </c>
      <c r="T125" s="1">
        <v>6</v>
      </c>
      <c r="U125" s="1">
        <v>12</v>
      </c>
      <c r="V125" s="1">
        <v>49</v>
      </c>
    </row>
    <row r="126" spans="1:28" ht="28.8" x14ac:dyDescent="0.3">
      <c r="A126" s="3">
        <v>105</v>
      </c>
      <c r="B126" s="4"/>
      <c r="C126" s="6" t="s">
        <v>29</v>
      </c>
      <c r="D126" s="5"/>
      <c r="E126" s="5" t="s">
        <v>52</v>
      </c>
      <c r="F126" s="5" t="s">
        <v>65</v>
      </c>
      <c r="G126" s="5" t="s">
        <v>70</v>
      </c>
      <c r="H126" s="5" t="s">
        <v>71</v>
      </c>
      <c r="I126" s="5" t="s">
        <v>63</v>
      </c>
      <c r="J126" s="5" t="s">
        <v>51</v>
      </c>
      <c r="K126" s="5" t="s">
        <v>48</v>
      </c>
      <c r="L126" s="5" t="s">
        <v>56</v>
      </c>
      <c r="M126" s="5" t="s">
        <v>74</v>
      </c>
      <c r="N126" s="5" t="s">
        <v>53</v>
      </c>
      <c r="O126" s="5" t="s">
        <v>209</v>
      </c>
      <c r="P126" s="5" t="s">
        <v>67</v>
      </c>
      <c r="Q126" s="5" t="s">
        <v>210</v>
      </c>
      <c r="R126" s="5" t="s">
        <v>50</v>
      </c>
      <c r="S126" s="5" t="s">
        <v>60</v>
      </c>
      <c r="T126" s="1">
        <v>6</v>
      </c>
      <c r="U126" s="1">
        <v>12</v>
      </c>
      <c r="V126" s="1">
        <v>50</v>
      </c>
    </row>
    <row r="127" spans="1:28" x14ac:dyDescent="0.3">
      <c r="A127" s="3">
        <v>106</v>
      </c>
      <c r="B127" s="4"/>
      <c r="C127" s="6" t="s">
        <v>88</v>
      </c>
      <c r="D127" s="5"/>
      <c r="E127" s="5" t="s">
        <v>66</v>
      </c>
      <c r="F127" s="5" t="s">
        <v>65</v>
      </c>
      <c r="G127" s="5" t="s">
        <v>70</v>
      </c>
      <c r="H127" s="5" t="s">
        <v>59</v>
      </c>
      <c r="I127" s="5" t="s">
        <v>54</v>
      </c>
      <c r="J127" s="5" t="s">
        <v>51</v>
      </c>
      <c r="K127" s="5" t="s">
        <v>48</v>
      </c>
      <c r="L127" s="5" t="s">
        <v>56</v>
      </c>
      <c r="M127" s="5" t="s">
        <v>62</v>
      </c>
      <c r="N127" s="5" t="s">
        <v>53</v>
      </c>
      <c r="O127" s="5" t="s">
        <v>209</v>
      </c>
      <c r="P127" s="5" t="s">
        <v>64</v>
      </c>
      <c r="Q127" s="5" t="s">
        <v>210</v>
      </c>
      <c r="R127" s="5" t="s">
        <v>57</v>
      </c>
      <c r="S127" s="5" t="s">
        <v>60</v>
      </c>
      <c r="T127" s="1">
        <v>6</v>
      </c>
      <c r="U127" s="1">
        <v>14</v>
      </c>
      <c r="V127" s="1">
        <v>51</v>
      </c>
    </row>
    <row r="128" spans="1:28" ht="28.8" x14ac:dyDescent="0.3">
      <c r="A128" s="3">
        <v>107</v>
      </c>
      <c r="B128" s="4"/>
      <c r="C128" s="6" t="s">
        <v>27</v>
      </c>
      <c r="D128" s="5"/>
      <c r="E128" s="5" t="s">
        <v>66</v>
      </c>
      <c r="F128" s="5" t="s">
        <v>65</v>
      </c>
      <c r="G128" s="5" t="s">
        <v>70</v>
      </c>
      <c r="H128" s="5" t="s">
        <v>59</v>
      </c>
      <c r="I128" s="5" t="s">
        <v>63</v>
      </c>
      <c r="J128" s="5" t="s">
        <v>51</v>
      </c>
      <c r="K128" s="5" t="s">
        <v>48</v>
      </c>
      <c r="L128" s="5" t="s">
        <v>47</v>
      </c>
      <c r="M128" s="5" t="s">
        <v>74</v>
      </c>
      <c r="N128" s="5" t="s">
        <v>53</v>
      </c>
      <c r="O128" s="5" t="s">
        <v>55</v>
      </c>
      <c r="P128" s="5" t="s">
        <v>64</v>
      </c>
      <c r="Q128" s="5" t="s">
        <v>210</v>
      </c>
      <c r="R128" s="5" t="s">
        <v>57</v>
      </c>
      <c r="S128" s="5" t="s">
        <v>60</v>
      </c>
      <c r="T128" s="1">
        <v>6</v>
      </c>
      <c r="U128" s="1">
        <v>13</v>
      </c>
      <c r="V128" s="1">
        <v>51</v>
      </c>
    </row>
    <row r="129" spans="1:22" x14ac:dyDescent="0.3">
      <c r="A129" s="3">
        <v>108</v>
      </c>
      <c r="B129" s="4"/>
      <c r="C129" s="6" t="s">
        <v>161</v>
      </c>
      <c r="D129" s="5"/>
      <c r="E129" s="5" t="s">
        <v>52</v>
      </c>
      <c r="F129" s="5" t="s">
        <v>65</v>
      </c>
      <c r="G129" s="5" t="s">
        <v>58</v>
      </c>
      <c r="H129" s="5" t="s">
        <v>59</v>
      </c>
      <c r="I129" s="5" t="s">
        <v>54</v>
      </c>
      <c r="J129" s="5" t="s">
        <v>51</v>
      </c>
      <c r="K129" s="5" t="s">
        <v>48</v>
      </c>
      <c r="L129" s="5" t="s">
        <v>47</v>
      </c>
      <c r="M129" s="5" t="s">
        <v>74</v>
      </c>
      <c r="N129" s="5" t="s">
        <v>72</v>
      </c>
      <c r="O129" s="5" t="s">
        <v>55</v>
      </c>
      <c r="P129" s="5" t="s">
        <v>64</v>
      </c>
      <c r="Q129" s="5" t="s">
        <v>210</v>
      </c>
      <c r="R129" s="5" t="s">
        <v>57</v>
      </c>
      <c r="S129" s="5" t="s">
        <v>60</v>
      </c>
      <c r="T129" s="1">
        <v>6</v>
      </c>
      <c r="U129" s="1">
        <v>12</v>
      </c>
      <c r="V129" s="1">
        <v>51</v>
      </c>
    </row>
    <row r="130" spans="1:22" x14ac:dyDescent="0.3">
      <c r="A130" s="3">
        <v>109</v>
      </c>
      <c r="B130" s="4"/>
      <c r="C130" s="6" t="s">
        <v>128</v>
      </c>
      <c r="D130" s="5"/>
      <c r="E130" s="5" t="s">
        <v>52</v>
      </c>
      <c r="F130" s="5" t="s">
        <v>68</v>
      </c>
      <c r="G130" s="5" t="s">
        <v>58</v>
      </c>
      <c r="H130" s="5" t="s">
        <v>71</v>
      </c>
      <c r="I130" s="5" t="s">
        <v>63</v>
      </c>
      <c r="J130" s="5" t="s">
        <v>51</v>
      </c>
      <c r="K130" s="5" t="s">
        <v>48</v>
      </c>
      <c r="L130" s="5" t="s">
        <v>47</v>
      </c>
      <c r="M130" s="5" t="s">
        <v>62</v>
      </c>
      <c r="N130" s="5" t="s">
        <v>53</v>
      </c>
      <c r="O130" s="5" t="s">
        <v>55</v>
      </c>
      <c r="P130" s="5" t="s">
        <v>64</v>
      </c>
      <c r="Q130" s="5" t="s">
        <v>73</v>
      </c>
      <c r="R130" s="5" t="s">
        <v>50</v>
      </c>
      <c r="S130" s="5" t="s">
        <v>69</v>
      </c>
      <c r="T130" s="1">
        <v>6</v>
      </c>
      <c r="U130" s="1">
        <v>12</v>
      </c>
      <c r="V130" s="1">
        <v>35</v>
      </c>
    </row>
    <row r="131" spans="1:22" x14ac:dyDescent="0.3">
      <c r="A131" s="3">
        <v>110</v>
      </c>
      <c r="B131" s="4"/>
      <c r="C131" s="6" t="s">
        <v>31</v>
      </c>
      <c r="D131" s="5"/>
      <c r="E131" s="5" t="s">
        <v>52</v>
      </c>
      <c r="F131" s="5" t="s">
        <v>65</v>
      </c>
      <c r="G131" s="5" t="s">
        <v>70</v>
      </c>
      <c r="H131" s="5" t="s">
        <v>71</v>
      </c>
      <c r="I131" s="5" t="s">
        <v>63</v>
      </c>
      <c r="J131" s="5" t="s">
        <v>61</v>
      </c>
      <c r="K131" s="5" t="s">
        <v>48</v>
      </c>
      <c r="L131" s="5" t="s">
        <v>47</v>
      </c>
      <c r="M131" s="5" t="s">
        <v>74</v>
      </c>
      <c r="N131" s="5" t="s">
        <v>53</v>
      </c>
      <c r="O131" s="5" t="s">
        <v>209</v>
      </c>
      <c r="P131" s="5" t="s">
        <v>67</v>
      </c>
      <c r="Q131" s="5" t="s">
        <v>210</v>
      </c>
      <c r="R131" s="5" t="s">
        <v>57</v>
      </c>
      <c r="S131" s="5" t="s">
        <v>69</v>
      </c>
      <c r="T131" s="1">
        <v>6</v>
      </c>
      <c r="U131" s="1">
        <v>12</v>
      </c>
      <c r="V131" s="1">
        <v>52</v>
      </c>
    </row>
    <row r="132" spans="1:22" x14ac:dyDescent="0.3">
      <c r="A132" s="3">
        <v>111</v>
      </c>
      <c r="B132" s="4"/>
      <c r="C132" s="6" t="s">
        <v>38</v>
      </c>
      <c r="D132" s="5"/>
      <c r="E132" s="5" t="s">
        <v>52</v>
      </c>
      <c r="F132" s="5" t="s">
        <v>68</v>
      </c>
      <c r="G132" s="5" t="s">
        <v>70</v>
      </c>
      <c r="H132" s="5" t="s">
        <v>59</v>
      </c>
      <c r="I132" s="5" t="s">
        <v>63</v>
      </c>
      <c r="J132" s="5" t="s">
        <v>61</v>
      </c>
      <c r="K132" s="5" t="s">
        <v>48</v>
      </c>
      <c r="L132" s="5" t="s">
        <v>56</v>
      </c>
      <c r="M132" s="5" t="s">
        <v>74</v>
      </c>
      <c r="N132" s="5" t="s">
        <v>53</v>
      </c>
      <c r="O132" s="5" t="s">
        <v>55</v>
      </c>
      <c r="P132" s="5" t="s">
        <v>64</v>
      </c>
      <c r="Q132" s="5" t="s">
        <v>210</v>
      </c>
      <c r="R132" s="5" t="s">
        <v>57</v>
      </c>
      <c r="S132" s="5" t="s">
        <v>60</v>
      </c>
      <c r="T132" s="1">
        <v>6</v>
      </c>
      <c r="U132" s="1">
        <v>14</v>
      </c>
      <c r="V132" s="1">
        <v>31</v>
      </c>
    </row>
    <row r="133" spans="1:22" ht="28.8" x14ac:dyDescent="0.3">
      <c r="A133" s="3">
        <v>112</v>
      </c>
      <c r="B133" s="4"/>
      <c r="C133" s="6" t="s">
        <v>122</v>
      </c>
      <c r="D133" s="5"/>
      <c r="E133" s="5" t="s">
        <v>66</v>
      </c>
      <c r="F133" s="5" t="s">
        <v>68</v>
      </c>
      <c r="G133" s="5" t="s">
        <v>70</v>
      </c>
      <c r="H133" s="5" t="s">
        <v>71</v>
      </c>
      <c r="I133" s="5" t="s">
        <v>54</v>
      </c>
      <c r="J133" s="5" t="s">
        <v>61</v>
      </c>
      <c r="K133" s="5" t="s">
        <v>207</v>
      </c>
      <c r="L133" s="5" t="s">
        <v>47</v>
      </c>
      <c r="M133" s="5" t="s">
        <v>62</v>
      </c>
      <c r="N133" s="5" t="s">
        <v>53</v>
      </c>
      <c r="O133" s="5" t="s">
        <v>209</v>
      </c>
      <c r="P133" s="5" t="s">
        <v>64</v>
      </c>
      <c r="Q133" s="5" t="s">
        <v>210</v>
      </c>
      <c r="R133" s="5" t="s">
        <v>57</v>
      </c>
      <c r="S133" s="5" t="s">
        <v>69</v>
      </c>
      <c r="T133" s="1">
        <v>6</v>
      </c>
      <c r="U133" s="1">
        <v>14</v>
      </c>
      <c r="V133" s="1">
        <v>56</v>
      </c>
    </row>
    <row r="134" spans="1:22" x14ac:dyDescent="0.3">
      <c r="A134" s="3">
        <v>113</v>
      </c>
      <c r="B134" s="4"/>
      <c r="C134" s="6" t="s">
        <v>186</v>
      </c>
      <c r="D134" s="5"/>
      <c r="E134" s="5" t="s">
        <v>52</v>
      </c>
      <c r="F134" s="5" t="s">
        <v>65</v>
      </c>
      <c r="G134" s="5" t="s">
        <v>58</v>
      </c>
      <c r="H134" s="5" t="s">
        <v>59</v>
      </c>
      <c r="I134" s="5" t="s">
        <v>63</v>
      </c>
      <c r="J134" s="5" t="s">
        <v>51</v>
      </c>
      <c r="K134" s="5" t="s">
        <v>48</v>
      </c>
      <c r="L134" s="5" t="s">
        <v>47</v>
      </c>
      <c r="M134" s="5" t="s">
        <v>62</v>
      </c>
      <c r="N134" s="5" t="s">
        <v>53</v>
      </c>
      <c r="O134" s="5" t="s">
        <v>55</v>
      </c>
      <c r="P134" s="5" t="s">
        <v>67</v>
      </c>
      <c r="Q134" s="5" t="s">
        <v>210</v>
      </c>
      <c r="R134" s="5" t="s">
        <v>57</v>
      </c>
      <c r="S134" s="5" t="s">
        <v>60</v>
      </c>
      <c r="T134" s="1">
        <v>6</v>
      </c>
      <c r="U134" s="1">
        <v>14</v>
      </c>
      <c r="V134" s="1">
        <v>57</v>
      </c>
    </row>
    <row r="135" spans="1:22" x14ac:dyDescent="0.3">
      <c r="A135" s="3">
        <v>114</v>
      </c>
      <c r="B135" s="4"/>
      <c r="C135" s="6" t="s">
        <v>136</v>
      </c>
      <c r="D135" s="5"/>
      <c r="E135" s="5" t="s">
        <v>52</v>
      </c>
      <c r="F135" s="5" t="s">
        <v>65</v>
      </c>
      <c r="G135" s="5" t="s">
        <v>70</v>
      </c>
      <c r="H135" s="5" t="s">
        <v>71</v>
      </c>
      <c r="I135" s="5" t="s">
        <v>63</v>
      </c>
      <c r="J135" s="5" t="s">
        <v>61</v>
      </c>
      <c r="K135" s="5" t="s">
        <v>207</v>
      </c>
      <c r="L135" s="5" t="s">
        <v>56</v>
      </c>
      <c r="M135" s="5" t="s">
        <v>62</v>
      </c>
      <c r="N135" s="5" t="s">
        <v>72</v>
      </c>
      <c r="O135" s="5" t="s">
        <v>55</v>
      </c>
      <c r="P135" s="5" t="s">
        <v>64</v>
      </c>
      <c r="Q135" s="5" t="s">
        <v>210</v>
      </c>
      <c r="R135" s="5" t="s">
        <v>57</v>
      </c>
      <c r="S135" s="5" t="s">
        <v>60</v>
      </c>
      <c r="T135" s="1">
        <v>5</v>
      </c>
      <c r="U135" s="1">
        <v>10</v>
      </c>
      <c r="V135" s="1">
        <v>42</v>
      </c>
    </row>
    <row r="136" spans="1:22" x14ac:dyDescent="0.3">
      <c r="A136" s="3">
        <v>115</v>
      </c>
      <c r="B136" s="4"/>
      <c r="C136" s="6" t="s">
        <v>166</v>
      </c>
      <c r="D136" s="5"/>
      <c r="E136" s="5" t="s">
        <v>52</v>
      </c>
      <c r="F136" s="5" t="s">
        <v>68</v>
      </c>
      <c r="G136" s="5" t="s">
        <v>70</v>
      </c>
      <c r="H136" s="5" t="s">
        <v>71</v>
      </c>
      <c r="I136" s="5" t="s">
        <v>63</v>
      </c>
      <c r="J136" s="5" t="s">
        <v>51</v>
      </c>
      <c r="K136" s="5" t="s">
        <v>207</v>
      </c>
      <c r="L136" s="5" t="s">
        <v>56</v>
      </c>
      <c r="M136" s="5" t="s">
        <v>74</v>
      </c>
      <c r="N136" s="5" t="s">
        <v>72</v>
      </c>
      <c r="O136" s="5" t="s">
        <v>55</v>
      </c>
      <c r="P136" s="5" t="s">
        <v>64</v>
      </c>
      <c r="Q136" s="5" t="s">
        <v>73</v>
      </c>
      <c r="R136" s="5" t="s">
        <v>57</v>
      </c>
      <c r="S136" s="5" t="s">
        <v>60</v>
      </c>
      <c r="T136" s="1">
        <v>5</v>
      </c>
      <c r="U136" s="1">
        <v>8</v>
      </c>
      <c r="V136" s="1">
        <v>44</v>
      </c>
    </row>
    <row r="137" spans="1:22" x14ac:dyDescent="0.3">
      <c r="A137" s="3">
        <v>116</v>
      </c>
      <c r="B137" s="4"/>
      <c r="C137" s="6" t="s">
        <v>194</v>
      </c>
      <c r="D137" s="5"/>
      <c r="E137" s="5" t="s">
        <v>52</v>
      </c>
      <c r="F137" s="5" t="s">
        <v>65</v>
      </c>
      <c r="G137" s="5" t="s">
        <v>70</v>
      </c>
      <c r="H137" s="5" t="s">
        <v>71</v>
      </c>
      <c r="I137" s="5" t="s">
        <v>54</v>
      </c>
      <c r="J137" s="5" t="s">
        <v>51</v>
      </c>
      <c r="K137" s="5" t="s">
        <v>48</v>
      </c>
      <c r="L137" s="5" t="s">
        <v>47</v>
      </c>
      <c r="M137" s="5" t="s">
        <v>74</v>
      </c>
      <c r="N137" s="5" t="s">
        <v>72</v>
      </c>
      <c r="O137" s="5" t="s">
        <v>55</v>
      </c>
      <c r="P137" s="5" t="s">
        <v>67</v>
      </c>
      <c r="Q137" s="5" t="s">
        <v>210</v>
      </c>
      <c r="R137" s="5" t="s">
        <v>57</v>
      </c>
      <c r="S137" s="5" t="s">
        <v>60</v>
      </c>
      <c r="T137" s="1">
        <v>5</v>
      </c>
      <c r="U137" s="1">
        <v>12</v>
      </c>
      <c r="V137" s="1">
        <v>44</v>
      </c>
    </row>
    <row r="138" spans="1:22" ht="28.8" x14ac:dyDescent="0.3">
      <c r="A138" s="3">
        <v>117</v>
      </c>
      <c r="B138" s="4"/>
      <c r="C138" s="6" t="s">
        <v>185</v>
      </c>
      <c r="D138" s="5"/>
      <c r="E138" s="5" t="s">
        <v>52</v>
      </c>
      <c r="F138" s="5" t="s">
        <v>65</v>
      </c>
      <c r="G138" s="5" t="s">
        <v>70</v>
      </c>
      <c r="H138" s="5" t="s">
        <v>71</v>
      </c>
      <c r="I138" s="5" t="s">
        <v>63</v>
      </c>
      <c r="J138" s="5" t="s">
        <v>51</v>
      </c>
      <c r="K138" s="5" t="s">
        <v>48</v>
      </c>
      <c r="L138" s="5" t="s">
        <v>56</v>
      </c>
      <c r="M138" s="5" t="s">
        <v>74</v>
      </c>
      <c r="N138" s="5" t="s">
        <v>53</v>
      </c>
      <c r="O138" s="5" t="s">
        <v>209</v>
      </c>
      <c r="P138" s="5" t="s">
        <v>67</v>
      </c>
      <c r="Q138" s="5" t="s">
        <v>210</v>
      </c>
      <c r="R138" s="5" t="s">
        <v>57</v>
      </c>
      <c r="S138" s="5" t="s">
        <v>60</v>
      </c>
      <c r="T138" s="1">
        <v>5</v>
      </c>
      <c r="U138" s="1">
        <v>11</v>
      </c>
      <c r="V138" s="1">
        <v>45</v>
      </c>
    </row>
    <row r="139" spans="1:22" ht="28.8" x14ac:dyDescent="0.3">
      <c r="A139" s="3">
        <v>118</v>
      </c>
      <c r="B139" s="4"/>
      <c r="C139" s="6" t="s">
        <v>137</v>
      </c>
      <c r="D139" s="5"/>
      <c r="E139" s="5" t="s">
        <v>52</v>
      </c>
      <c r="F139" s="5" t="s">
        <v>65</v>
      </c>
      <c r="G139" s="5" t="s">
        <v>70</v>
      </c>
      <c r="H139" s="5" t="s">
        <v>71</v>
      </c>
      <c r="I139" s="5" t="s">
        <v>63</v>
      </c>
      <c r="J139" s="5" t="s">
        <v>51</v>
      </c>
      <c r="K139" s="5" t="s">
        <v>48</v>
      </c>
      <c r="L139" s="5" t="s">
        <v>47</v>
      </c>
      <c r="M139" s="5" t="s">
        <v>74</v>
      </c>
      <c r="N139" s="5" t="s">
        <v>72</v>
      </c>
      <c r="O139" s="5" t="s">
        <v>209</v>
      </c>
      <c r="P139" s="5" t="s">
        <v>67</v>
      </c>
      <c r="Q139" s="5" t="s">
        <v>73</v>
      </c>
      <c r="R139" s="5" t="s">
        <v>57</v>
      </c>
      <c r="S139" s="5" t="s">
        <v>69</v>
      </c>
      <c r="T139" s="1">
        <v>5</v>
      </c>
      <c r="U139" s="1">
        <v>11</v>
      </c>
      <c r="V139" s="1">
        <v>41</v>
      </c>
    </row>
    <row r="140" spans="1:22" ht="28.8" x14ac:dyDescent="0.3">
      <c r="A140" s="3">
        <v>119</v>
      </c>
      <c r="B140" s="4"/>
      <c r="C140" s="6" t="s">
        <v>159</v>
      </c>
      <c r="D140" s="5"/>
      <c r="E140" s="5" t="s">
        <v>52</v>
      </c>
      <c r="F140" s="5" t="s">
        <v>65</v>
      </c>
      <c r="G140" s="5" t="s">
        <v>70</v>
      </c>
      <c r="H140" s="5" t="s">
        <v>59</v>
      </c>
      <c r="I140" s="5" t="s">
        <v>63</v>
      </c>
      <c r="J140" s="5" t="s">
        <v>61</v>
      </c>
      <c r="K140" s="5" t="s">
        <v>48</v>
      </c>
      <c r="L140" s="5" t="s">
        <v>47</v>
      </c>
      <c r="M140" s="5" t="s">
        <v>74</v>
      </c>
      <c r="N140" s="5" t="s">
        <v>72</v>
      </c>
      <c r="O140" s="5" t="s">
        <v>209</v>
      </c>
      <c r="P140" s="5" t="s">
        <v>64</v>
      </c>
      <c r="Q140" s="5" t="s">
        <v>73</v>
      </c>
      <c r="R140" s="5" t="s">
        <v>57</v>
      </c>
      <c r="S140" s="5" t="s">
        <v>60</v>
      </c>
      <c r="T140" s="1">
        <v>5</v>
      </c>
      <c r="U140" s="1">
        <v>11</v>
      </c>
      <c r="V140" s="1">
        <v>41</v>
      </c>
    </row>
    <row r="141" spans="1:22" x14ac:dyDescent="0.3">
      <c r="A141" s="3">
        <v>120</v>
      </c>
      <c r="B141" s="4"/>
      <c r="C141" s="6" t="s">
        <v>180</v>
      </c>
      <c r="D141" s="5"/>
      <c r="E141" s="5" t="s">
        <v>52</v>
      </c>
      <c r="F141" s="5" t="s">
        <v>65</v>
      </c>
      <c r="G141" s="5" t="s">
        <v>70</v>
      </c>
      <c r="H141" s="5" t="s">
        <v>71</v>
      </c>
      <c r="I141" s="5" t="s">
        <v>54</v>
      </c>
      <c r="J141" s="5" t="s">
        <v>51</v>
      </c>
      <c r="K141" s="5" t="s">
        <v>48</v>
      </c>
      <c r="L141" s="5" t="s">
        <v>47</v>
      </c>
      <c r="M141" s="5" t="s">
        <v>74</v>
      </c>
      <c r="N141" s="5" t="s">
        <v>72</v>
      </c>
      <c r="O141" s="5" t="s">
        <v>55</v>
      </c>
      <c r="P141" s="5" t="s">
        <v>67</v>
      </c>
      <c r="Q141" s="5" t="s">
        <v>210</v>
      </c>
      <c r="R141" s="5" t="s">
        <v>57</v>
      </c>
      <c r="S141" s="5" t="s">
        <v>60</v>
      </c>
      <c r="T141" s="1">
        <v>5</v>
      </c>
      <c r="U141" s="1">
        <v>13</v>
      </c>
      <c r="V141" s="1">
        <v>45</v>
      </c>
    </row>
    <row r="142" spans="1:22" x14ac:dyDescent="0.3">
      <c r="A142" s="3">
        <v>121</v>
      </c>
      <c r="B142" s="4"/>
      <c r="C142" s="6" t="s">
        <v>95</v>
      </c>
      <c r="D142" s="5"/>
      <c r="E142" s="5" t="s">
        <v>52</v>
      </c>
      <c r="F142" s="5" t="s">
        <v>65</v>
      </c>
      <c r="G142" s="5" t="s">
        <v>58</v>
      </c>
      <c r="H142" s="5" t="s">
        <v>71</v>
      </c>
      <c r="I142" s="5" t="s">
        <v>63</v>
      </c>
      <c r="J142" s="5" t="s">
        <v>51</v>
      </c>
      <c r="K142" s="5" t="s">
        <v>48</v>
      </c>
      <c r="L142" s="5" t="s">
        <v>47</v>
      </c>
      <c r="M142" s="5" t="s">
        <v>62</v>
      </c>
      <c r="N142" s="5" t="s">
        <v>53</v>
      </c>
      <c r="O142" s="5" t="s">
        <v>55</v>
      </c>
      <c r="P142" s="5" t="s">
        <v>67</v>
      </c>
      <c r="Q142" s="5" t="s">
        <v>210</v>
      </c>
      <c r="R142" s="5" t="s">
        <v>57</v>
      </c>
      <c r="S142" s="5" t="s">
        <v>60</v>
      </c>
      <c r="T142" s="1">
        <v>5</v>
      </c>
      <c r="U142" s="1">
        <v>14</v>
      </c>
      <c r="V142" s="1">
        <v>45</v>
      </c>
    </row>
    <row r="143" spans="1:22" ht="28.8" x14ac:dyDescent="0.3">
      <c r="A143" s="3">
        <v>122</v>
      </c>
      <c r="B143" s="4"/>
      <c r="C143" s="6" t="s">
        <v>32</v>
      </c>
      <c r="D143" s="5"/>
      <c r="E143" s="5" t="s">
        <v>52</v>
      </c>
      <c r="F143" s="5" t="s">
        <v>65</v>
      </c>
      <c r="G143" s="5" t="s">
        <v>58</v>
      </c>
      <c r="H143" s="5" t="s">
        <v>71</v>
      </c>
      <c r="I143" s="5" t="s">
        <v>63</v>
      </c>
      <c r="J143" s="5" t="s">
        <v>51</v>
      </c>
      <c r="K143" s="5" t="s">
        <v>207</v>
      </c>
      <c r="L143" s="5" t="s">
        <v>47</v>
      </c>
      <c r="M143" s="5" t="s">
        <v>62</v>
      </c>
      <c r="N143" s="5" t="s">
        <v>53</v>
      </c>
      <c r="O143" s="5" t="s">
        <v>209</v>
      </c>
      <c r="P143" s="5" t="s">
        <v>64</v>
      </c>
      <c r="Q143" s="5" t="s">
        <v>210</v>
      </c>
      <c r="R143" s="5" t="s">
        <v>50</v>
      </c>
      <c r="S143" s="5" t="s">
        <v>60</v>
      </c>
      <c r="T143" s="1">
        <v>5</v>
      </c>
      <c r="U143" s="1">
        <v>10</v>
      </c>
      <c r="V143" s="1">
        <v>46</v>
      </c>
    </row>
    <row r="144" spans="1:22" ht="28.8" x14ac:dyDescent="0.3">
      <c r="A144" s="3">
        <v>123</v>
      </c>
      <c r="B144" s="4"/>
      <c r="C144" s="6" t="s">
        <v>99</v>
      </c>
      <c r="D144" s="5"/>
      <c r="E144" s="5" t="s">
        <v>52</v>
      </c>
      <c r="F144" s="5" t="s">
        <v>65</v>
      </c>
      <c r="G144" s="5" t="s">
        <v>70</v>
      </c>
      <c r="H144" s="5" t="s">
        <v>71</v>
      </c>
      <c r="I144" s="5" t="s">
        <v>63</v>
      </c>
      <c r="J144" s="5" t="s">
        <v>61</v>
      </c>
      <c r="K144" s="5" t="s">
        <v>48</v>
      </c>
      <c r="L144" s="5" t="s">
        <v>47</v>
      </c>
      <c r="M144" s="5" t="s">
        <v>74</v>
      </c>
      <c r="N144" s="5" t="s">
        <v>53</v>
      </c>
      <c r="O144" s="5" t="s">
        <v>209</v>
      </c>
      <c r="P144" s="5" t="s">
        <v>67</v>
      </c>
      <c r="Q144" s="5" t="s">
        <v>210</v>
      </c>
      <c r="R144" s="5" t="s">
        <v>57</v>
      </c>
      <c r="S144" s="5" t="s">
        <v>60</v>
      </c>
      <c r="T144" s="1">
        <v>5</v>
      </c>
      <c r="U144" s="1">
        <v>14</v>
      </c>
      <c r="V144" s="1">
        <v>46</v>
      </c>
    </row>
    <row r="145" spans="1:22" x14ac:dyDescent="0.3">
      <c r="A145" s="3">
        <v>124</v>
      </c>
      <c r="B145" s="4"/>
      <c r="C145" s="6" t="s">
        <v>35</v>
      </c>
      <c r="D145" s="5"/>
      <c r="E145" s="5" t="s">
        <v>66</v>
      </c>
      <c r="F145" s="5" t="s">
        <v>65</v>
      </c>
      <c r="G145" s="5" t="s">
        <v>70</v>
      </c>
      <c r="H145" s="5" t="s">
        <v>71</v>
      </c>
      <c r="I145" s="5" t="s">
        <v>63</v>
      </c>
      <c r="J145" s="5" t="s">
        <v>51</v>
      </c>
      <c r="K145" s="5" t="s">
        <v>48</v>
      </c>
      <c r="L145" s="5" t="s">
        <v>56</v>
      </c>
      <c r="M145" s="5" t="s">
        <v>74</v>
      </c>
      <c r="N145" s="5" t="s">
        <v>53</v>
      </c>
      <c r="O145" s="5" t="s">
        <v>209</v>
      </c>
      <c r="P145" s="5" t="s">
        <v>64</v>
      </c>
      <c r="Q145" s="5" t="s">
        <v>210</v>
      </c>
      <c r="R145" s="5" t="s">
        <v>57</v>
      </c>
      <c r="S145" s="5" t="s">
        <v>60</v>
      </c>
      <c r="T145" s="1">
        <v>5</v>
      </c>
      <c r="U145" s="1">
        <v>13</v>
      </c>
      <c r="V145" s="1">
        <v>46</v>
      </c>
    </row>
    <row r="146" spans="1:22" ht="28.8" x14ac:dyDescent="0.3">
      <c r="A146" s="3">
        <v>125</v>
      </c>
      <c r="B146" s="4"/>
      <c r="C146" s="6" t="s">
        <v>34</v>
      </c>
      <c r="D146" s="5"/>
      <c r="E146" s="5" t="s">
        <v>52</v>
      </c>
      <c r="F146" s="5" t="s">
        <v>65</v>
      </c>
      <c r="G146" s="5" t="s">
        <v>70</v>
      </c>
      <c r="H146" s="5" t="s">
        <v>59</v>
      </c>
      <c r="I146" s="5" t="s">
        <v>63</v>
      </c>
      <c r="J146" s="5" t="s">
        <v>51</v>
      </c>
      <c r="K146" s="5" t="s">
        <v>48</v>
      </c>
      <c r="L146" s="5" t="s">
        <v>47</v>
      </c>
      <c r="M146" s="5" t="s">
        <v>74</v>
      </c>
      <c r="N146" s="5" t="s">
        <v>72</v>
      </c>
      <c r="O146" s="5" t="s">
        <v>55</v>
      </c>
      <c r="P146" s="5" t="s">
        <v>67</v>
      </c>
      <c r="Q146" s="5" t="s">
        <v>210</v>
      </c>
      <c r="R146" s="5" t="s">
        <v>57</v>
      </c>
      <c r="S146" s="5" t="s">
        <v>60</v>
      </c>
      <c r="T146" s="1">
        <v>5</v>
      </c>
      <c r="U146" s="1">
        <v>12</v>
      </c>
      <c r="V146" s="1">
        <v>40</v>
      </c>
    </row>
    <row r="147" spans="1:22" ht="28.8" x14ac:dyDescent="0.3">
      <c r="A147" s="3">
        <v>126</v>
      </c>
      <c r="B147" s="4"/>
      <c r="C147" s="6" t="s">
        <v>139</v>
      </c>
      <c r="D147" s="5"/>
      <c r="E147" s="5" t="s">
        <v>52</v>
      </c>
      <c r="F147" s="5" t="s">
        <v>65</v>
      </c>
      <c r="G147" s="5" t="s">
        <v>70</v>
      </c>
      <c r="H147" s="5" t="s">
        <v>59</v>
      </c>
      <c r="I147" s="5" t="s">
        <v>63</v>
      </c>
      <c r="J147" s="5" t="s">
        <v>51</v>
      </c>
      <c r="K147" s="5" t="s">
        <v>48</v>
      </c>
      <c r="L147" s="5" t="s">
        <v>47</v>
      </c>
      <c r="M147" s="5" t="s">
        <v>74</v>
      </c>
      <c r="N147" s="5" t="s">
        <v>53</v>
      </c>
      <c r="O147" s="5" t="s">
        <v>209</v>
      </c>
      <c r="P147" s="5" t="s">
        <v>67</v>
      </c>
      <c r="Q147" s="5" t="s">
        <v>210</v>
      </c>
      <c r="R147" s="5" t="s">
        <v>57</v>
      </c>
      <c r="S147" s="5" t="s">
        <v>60</v>
      </c>
      <c r="T147" s="1">
        <v>5</v>
      </c>
      <c r="U147" s="1">
        <v>12</v>
      </c>
      <c r="V147" s="1">
        <v>47</v>
      </c>
    </row>
    <row r="148" spans="1:22" ht="28.8" x14ac:dyDescent="0.3">
      <c r="A148" s="3">
        <v>127</v>
      </c>
      <c r="B148" s="4"/>
      <c r="C148" s="6" t="s">
        <v>87</v>
      </c>
      <c r="D148" s="5"/>
      <c r="E148" s="5" t="s">
        <v>52</v>
      </c>
      <c r="F148" s="5" t="s">
        <v>68</v>
      </c>
      <c r="G148" s="5" t="s">
        <v>70</v>
      </c>
      <c r="H148" s="5" t="s">
        <v>59</v>
      </c>
      <c r="I148" s="5" t="s">
        <v>63</v>
      </c>
      <c r="J148" s="5" t="s">
        <v>51</v>
      </c>
      <c r="K148" s="5" t="s">
        <v>48</v>
      </c>
      <c r="L148" s="5" t="s">
        <v>56</v>
      </c>
      <c r="M148" s="5" t="s">
        <v>74</v>
      </c>
      <c r="N148" s="5" t="s">
        <v>72</v>
      </c>
      <c r="O148" s="5" t="s">
        <v>209</v>
      </c>
      <c r="P148" s="5" t="s">
        <v>67</v>
      </c>
      <c r="Q148" s="5" t="s">
        <v>210</v>
      </c>
      <c r="R148" s="5" t="s">
        <v>57</v>
      </c>
      <c r="S148" s="5" t="s">
        <v>69</v>
      </c>
      <c r="T148" s="1">
        <v>5</v>
      </c>
      <c r="U148" s="1">
        <v>6</v>
      </c>
      <c r="V148" s="1">
        <v>47</v>
      </c>
    </row>
    <row r="149" spans="1:22" ht="28.8" x14ac:dyDescent="0.3">
      <c r="A149" s="3">
        <v>128</v>
      </c>
      <c r="B149" s="4"/>
      <c r="C149" s="6" t="s">
        <v>124</v>
      </c>
      <c r="D149" s="5"/>
      <c r="E149" s="5" t="s">
        <v>52</v>
      </c>
      <c r="F149" s="5" t="s">
        <v>65</v>
      </c>
      <c r="G149" s="5" t="s">
        <v>70</v>
      </c>
      <c r="H149" s="5" t="s">
        <v>71</v>
      </c>
      <c r="I149" s="5" t="s">
        <v>54</v>
      </c>
      <c r="J149" s="5" t="s">
        <v>61</v>
      </c>
      <c r="K149" s="5" t="s">
        <v>48</v>
      </c>
      <c r="L149" s="5" t="s">
        <v>56</v>
      </c>
      <c r="M149" s="5" t="s">
        <v>74</v>
      </c>
      <c r="N149" s="5" t="s">
        <v>72</v>
      </c>
      <c r="O149" s="5" t="s">
        <v>209</v>
      </c>
      <c r="P149" s="5" t="s">
        <v>64</v>
      </c>
      <c r="Q149" s="5" t="s">
        <v>210</v>
      </c>
      <c r="R149" s="5" t="s">
        <v>57</v>
      </c>
      <c r="S149" s="5" t="s">
        <v>60</v>
      </c>
      <c r="T149" s="1">
        <v>5</v>
      </c>
      <c r="U149" s="1">
        <v>8</v>
      </c>
      <c r="V149" s="1">
        <v>39</v>
      </c>
    </row>
    <row r="150" spans="1:22" ht="28.8" x14ac:dyDescent="0.3">
      <c r="A150" s="3">
        <v>129</v>
      </c>
      <c r="B150" s="4"/>
      <c r="C150" s="6" t="s">
        <v>197</v>
      </c>
      <c r="D150" s="5"/>
      <c r="E150" s="5" t="s">
        <v>52</v>
      </c>
      <c r="F150" s="5" t="s">
        <v>65</v>
      </c>
      <c r="G150" s="5" t="s">
        <v>70</v>
      </c>
      <c r="H150" s="5" t="s">
        <v>59</v>
      </c>
      <c r="I150" s="5" t="s">
        <v>63</v>
      </c>
      <c r="J150" s="5" t="s">
        <v>51</v>
      </c>
      <c r="K150" s="5" t="s">
        <v>48</v>
      </c>
      <c r="L150" s="5" t="s">
        <v>56</v>
      </c>
      <c r="M150" s="5" t="s">
        <v>74</v>
      </c>
      <c r="N150" s="5" t="s">
        <v>72</v>
      </c>
      <c r="O150" s="5" t="s">
        <v>209</v>
      </c>
      <c r="P150" s="5" t="s">
        <v>67</v>
      </c>
      <c r="Q150" s="5" t="s">
        <v>210</v>
      </c>
      <c r="R150" s="5" t="s">
        <v>57</v>
      </c>
      <c r="S150" s="5" t="s">
        <v>60</v>
      </c>
      <c r="T150" s="1">
        <v>5</v>
      </c>
      <c r="U150" s="1">
        <v>11</v>
      </c>
      <c r="V150" s="1">
        <v>48</v>
      </c>
    </row>
    <row r="151" spans="1:22" x14ac:dyDescent="0.3">
      <c r="A151" s="3">
        <v>130</v>
      </c>
      <c r="B151" s="4"/>
      <c r="C151" s="6" t="s">
        <v>11</v>
      </c>
      <c r="D151" s="5"/>
      <c r="E151" s="5" t="s">
        <v>52</v>
      </c>
      <c r="F151" s="5" t="s">
        <v>65</v>
      </c>
      <c r="G151" s="5" t="s">
        <v>70</v>
      </c>
      <c r="H151" s="5" t="s">
        <v>59</v>
      </c>
      <c r="I151" s="5" t="s">
        <v>63</v>
      </c>
      <c r="J151" s="5" t="s">
        <v>51</v>
      </c>
      <c r="K151" s="5" t="s">
        <v>48</v>
      </c>
      <c r="L151" s="5" t="s">
        <v>47</v>
      </c>
      <c r="M151" s="5" t="s">
        <v>74</v>
      </c>
      <c r="N151" s="5" t="s">
        <v>53</v>
      </c>
      <c r="O151" s="5" t="s">
        <v>209</v>
      </c>
      <c r="P151" s="5" t="s">
        <v>67</v>
      </c>
      <c r="Q151" s="5" t="s">
        <v>210</v>
      </c>
      <c r="R151" s="5" t="s">
        <v>57</v>
      </c>
      <c r="S151" s="5" t="s">
        <v>60</v>
      </c>
      <c r="T151" s="1">
        <v>5</v>
      </c>
      <c r="U151" s="1">
        <v>13</v>
      </c>
      <c r="V151" s="1">
        <v>48</v>
      </c>
    </row>
    <row r="152" spans="1:22" x14ac:dyDescent="0.3">
      <c r="A152" s="3">
        <v>131</v>
      </c>
      <c r="B152" s="4"/>
      <c r="C152" s="6" t="s">
        <v>109</v>
      </c>
      <c r="D152" s="5"/>
      <c r="E152" s="5" t="s">
        <v>52</v>
      </c>
      <c r="F152" s="5" t="s">
        <v>68</v>
      </c>
      <c r="G152" s="5" t="s">
        <v>58</v>
      </c>
      <c r="H152" s="5" t="s">
        <v>71</v>
      </c>
      <c r="I152" s="5" t="s">
        <v>63</v>
      </c>
      <c r="J152" s="5" t="s">
        <v>61</v>
      </c>
      <c r="K152" s="5" t="s">
        <v>207</v>
      </c>
      <c r="L152" s="5" t="s">
        <v>56</v>
      </c>
      <c r="M152" s="5" t="s">
        <v>74</v>
      </c>
      <c r="N152" s="5" t="s">
        <v>72</v>
      </c>
      <c r="O152" s="5" t="s">
        <v>209</v>
      </c>
      <c r="P152" s="5" t="s">
        <v>64</v>
      </c>
      <c r="Q152" s="5" t="s">
        <v>210</v>
      </c>
      <c r="R152" s="5" t="s">
        <v>57</v>
      </c>
      <c r="S152" s="5" t="s">
        <v>60</v>
      </c>
      <c r="T152" s="1">
        <v>5</v>
      </c>
      <c r="U152" s="1">
        <v>9</v>
      </c>
      <c r="V152" s="1">
        <v>48</v>
      </c>
    </row>
    <row r="153" spans="1:22" x14ac:dyDescent="0.3">
      <c r="A153" s="3">
        <v>132</v>
      </c>
      <c r="B153" s="4"/>
      <c r="C153" s="6" t="s">
        <v>178</v>
      </c>
      <c r="D153" s="5"/>
      <c r="E153" s="5" t="s">
        <v>66</v>
      </c>
      <c r="F153" s="5" t="s">
        <v>68</v>
      </c>
      <c r="G153" s="5" t="s">
        <v>70</v>
      </c>
      <c r="H153" s="5" t="s">
        <v>71</v>
      </c>
      <c r="I153" s="5" t="s">
        <v>54</v>
      </c>
      <c r="J153" s="5" t="s">
        <v>61</v>
      </c>
      <c r="K153" s="5" t="s">
        <v>207</v>
      </c>
      <c r="L153" s="5" t="s">
        <v>47</v>
      </c>
      <c r="M153" s="5" t="s">
        <v>62</v>
      </c>
      <c r="N153" s="5" t="s">
        <v>72</v>
      </c>
      <c r="O153" s="5" t="s">
        <v>209</v>
      </c>
      <c r="P153" s="5" t="s">
        <v>64</v>
      </c>
      <c r="Q153" s="5" t="s">
        <v>210</v>
      </c>
      <c r="R153" s="5" t="s">
        <v>57</v>
      </c>
      <c r="S153" s="5" t="s">
        <v>69</v>
      </c>
      <c r="T153" s="1">
        <v>5</v>
      </c>
      <c r="U153" s="1">
        <v>14</v>
      </c>
      <c r="V153" s="1">
        <v>38</v>
      </c>
    </row>
    <row r="154" spans="1:22" x14ac:dyDescent="0.3">
      <c r="A154" s="3">
        <v>133</v>
      </c>
      <c r="B154" s="4"/>
      <c r="C154" s="6" t="s">
        <v>119</v>
      </c>
      <c r="D154" s="5"/>
      <c r="E154" s="5" t="s">
        <v>52</v>
      </c>
      <c r="F154" s="5" t="s">
        <v>65</v>
      </c>
      <c r="G154" s="5" t="s">
        <v>70</v>
      </c>
      <c r="H154" s="5" t="s">
        <v>71</v>
      </c>
      <c r="I154" s="5" t="s">
        <v>63</v>
      </c>
      <c r="J154" s="5" t="s">
        <v>61</v>
      </c>
      <c r="K154" s="5" t="s">
        <v>48</v>
      </c>
      <c r="L154" s="5" t="s">
        <v>56</v>
      </c>
      <c r="M154" s="5" t="s">
        <v>74</v>
      </c>
      <c r="N154" s="5" t="s">
        <v>72</v>
      </c>
      <c r="O154" s="5" t="s">
        <v>209</v>
      </c>
      <c r="P154" s="5" t="s">
        <v>67</v>
      </c>
      <c r="Q154" s="5" t="s">
        <v>210</v>
      </c>
      <c r="R154" s="5" t="s">
        <v>57</v>
      </c>
      <c r="S154" s="5" t="s">
        <v>60</v>
      </c>
      <c r="T154" s="1">
        <v>5</v>
      </c>
      <c r="U154" s="1">
        <v>15</v>
      </c>
      <c r="V154" s="1">
        <v>49</v>
      </c>
    </row>
    <row r="155" spans="1:22" ht="28.8" x14ac:dyDescent="0.3">
      <c r="A155" s="3">
        <v>134</v>
      </c>
      <c r="B155" s="4"/>
      <c r="C155" s="6" t="s">
        <v>9</v>
      </c>
      <c r="D155" s="5"/>
      <c r="E155" s="5" t="s">
        <v>52</v>
      </c>
      <c r="F155" s="5" t="s">
        <v>65</v>
      </c>
      <c r="G155" s="5" t="s">
        <v>58</v>
      </c>
      <c r="H155" s="5" t="s">
        <v>71</v>
      </c>
      <c r="I155" s="5" t="s">
        <v>63</v>
      </c>
      <c r="J155" s="5" t="s">
        <v>51</v>
      </c>
      <c r="K155" s="5" t="s">
        <v>48</v>
      </c>
      <c r="L155" s="5" t="s">
        <v>56</v>
      </c>
      <c r="M155" s="5" t="s">
        <v>74</v>
      </c>
      <c r="N155" s="5" t="s">
        <v>53</v>
      </c>
      <c r="O155" s="5" t="s">
        <v>209</v>
      </c>
      <c r="P155" s="5" t="s">
        <v>64</v>
      </c>
      <c r="Q155" s="5" t="s">
        <v>210</v>
      </c>
      <c r="R155" s="5" t="s">
        <v>57</v>
      </c>
      <c r="S155" s="5" t="s">
        <v>60</v>
      </c>
      <c r="T155" s="1">
        <v>5</v>
      </c>
      <c r="U155" s="1">
        <v>14</v>
      </c>
      <c r="V155" s="1">
        <v>50</v>
      </c>
    </row>
    <row r="156" spans="1:22" x14ac:dyDescent="0.3">
      <c r="A156" s="3">
        <v>135</v>
      </c>
      <c r="B156" s="4"/>
      <c r="C156" s="6" t="s">
        <v>12</v>
      </c>
      <c r="D156" s="5"/>
      <c r="E156" s="5" t="s">
        <v>52</v>
      </c>
      <c r="F156" s="5" t="s">
        <v>65</v>
      </c>
      <c r="G156" s="5" t="s">
        <v>58</v>
      </c>
      <c r="H156" s="5" t="s">
        <v>71</v>
      </c>
      <c r="I156" s="5" t="s">
        <v>63</v>
      </c>
      <c r="J156" s="5" t="s">
        <v>51</v>
      </c>
      <c r="K156" s="5" t="s">
        <v>48</v>
      </c>
      <c r="L156" s="5" t="s">
        <v>56</v>
      </c>
      <c r="M156" s="5" t="s">
        <v>74</v>
      </c>
      <c r="N156" s="5" t="s">
        <v>53</v>
      </c>
      <c r="O156" s="5" t="s">
        <v>209</v>
      </c>
      <c r="P156" s="5" t="s">
        <v>64</v>
      </c>
      <c r="Q156" s="5" t="s">
        <v>210</v>
      </c>
      <c r="R156" s="5" t="s">
        <v>57</v>
      </c>
      <c r="S156" s="5" t="s">
        <v>60</v>
      </c>
      <c r="T156" s="1">
        <v>5</v>
      </c>
      <c r="U156" s="1">
        <v>13</v>
      </c>
      <c r="V156" s="1">
        <v>35</v>
      </c>
    </row>
    <row r="157" spans="1:22" ht="28.8" x14ac:dyDescent="0.3">
      <c r="A157" s="3">
        <v>136</v>
      </c>
      <c r="B157" s="4"/>
      <c r="C157" s="6" t="s">
        <v>104</v>
      </c>
      <c r="D157" s="5"/>
      <c r="E157" s="5" t="s">
        <v>52</v>
      </c>
      <c r="F157" s="5" t="s">
        <v>65</v>
      </c>
      <c r="G157" s="5" t="s">
        <v>70</v>
      </c>
      <c r="H157" s="5" t="s">
        <v>71</v>
      </c>
      <c r="I157" s="5" t="s">
        <v>63</v>
      </c>
      <c r="J157" s="5" t="s">
        <v>51</v>
      </c>
      <c r="K157" s="5" t="s">
        <v>48</v>
      </c>
      <c r="L157" s="5" t="s">
        <v>56</v>
      </c>
      <c r="M157" s="5" t="s">
        <v>74</v>
      </c>
      <c r="N157" s="5" t="s">
        <v>53</v>
      </c>
      <c r="O157" s="5" t="s">
        <v>209</v>
      </c>
      <c r="P157" s="5" t="s">
        <v>67</v>
      </c>
      <c r="Q157" s="5" t="s">
        <v>210</v>
      </c>
      <c r="R157" s="5" t="s">
        <v>57</v>
      </c>
      <c r="S157" s="5" t="s">
        <v>60</v>
      </c>
      <c r="T157" s="1">
        <v>5</v>
      </c>
      <c r="U157" s="1">
        <v>12</v>
      </c>
      <c r="V157" s="1">
        <v>51</v>
      </c>
    </row>
    <row r="158" spans="1:22" ht="28.8" x14ac:dyDescent="0.3">
      <c r="A158" s="3">
        <v>137</v>
      </c>
      <c r="B158" s="4"/>
      <c r="C158" s="6" t="s">
        <v>117</v>
      </c>
      <c r="D158" s="5"/>
      <c r="E158" s="5" t="s">
        <v>52</v>
      </c>
      <c r="F158" s="5" t="s">
        <v>65</v>
      </c>
      <c r="G158" s="5" t="s">
        <v>58</v>
      </c>
      <c r="H158" s="5" t="s">
        <v>71</v>
      </c>
      <c r="I158" s="5" t="s">
        <v>63</v>
      </c>
      <c r="J158" s="5" t="s">
        <v>51</v>
      </c>
      <c r="K158" s="5" t="s">
        <v>207</v>
      </c>
      <c r="L158" s="5" t="s">
        <v>47</v>
      </c>
      <c r="M158" s="5" t="s">
        <v>62</v>
      </c>
      <c r="N158" s="5" t="s">
        <v>53</v>
      </c>
      <c r="O158" s="5" t="s">
        <v>209</v>
      </c>
      <c r="P158" s="5" t="s">
        <v>67</v>
      </c>
      <c r="Q158" s="5" t="s">
        <v>210</v>
      </c>
      <c r="R158" s="5" t="s">
        <v>57</v>
      </c>
      <c r="S158" s="5" t="s">
        <v>60</v>
      </c>
      <c r="T158" s="1">
        <v>5</v>
      </c>
      <c r="U158" s="1">
        <v>15</v>
      </c>
      <c r="V158" s="1">
        <v>52</v>
      </c>
    </row>
    <row r="159" spans="1:22" ht="28.8" x14ac:dyDescent="0.3">
      <c r="A159" s="3">
        <v>138</v>
      </c>
      <c r="B159" s="4"/>
      <c r="C159" s="6" t="s">
        <v>123</v>
      </c>
      <c r="D159" s="5"/>
      <c r="E159" s="5" t="s">
        <v>52</v>
      </c>
      <c r="F159" s="5" t="s">
        <v>65</v>
      </c>
      <c r="G159" s="5" t="s">
        <v>70</v>
      </c>
      <c r="H159" s="5" t="s">
        <v>71</v>
      </c>
      <c r="I159" s="5" t="s">
        <v>54</v>
      </c>
      <c r="J159" s="5" t="s">
        <v>61</v>
      </c>
      <c r="K159" s="5" t="s">
        <v>48</v>
      </c>
      <c r="L159" s="5" t="s">
        <v>56</v>
      </c>
      <c r="M159" s="5" t="s">
        <v>62</v>
      </c>
      <c r="N159" s="5" t="s">
        <v>72</v>
      </c>
      <c r="O159" s="5" t="s">
        <v>55</v>
      </c>
      <c r="P159" s="5" t="s">
        <v>64</v>
      </c>
      <c r="Q159" s="5" t="s">
        <v>210</v>
      </c>
      <c r="R159" s="5" t="s">
        <v>57</v>
      </c>
      <c r="S159" s="5" t="s">
        <v>60</v>
      </c>
      <c r="T159" s="1">
        <v>5</v>
      </c>
      <c r="U159" s="1">
        <v>12</v>
      </c>
      <c r="V159" s="1">
        <v>53</v>
      </c>
    </row>
    <row r="160" spans="1:22" x14ac:dyDescent="0.3">
      <c r="A160" s="3">
        <v>139</v>
      </c>
      <c r="B160" s="4"/>
      <c r="C160" s="6" t="s">
        <v>126</v>
      </c>
      <c r="D160" s="5"/>
      <c r="E160" s="5" t="s">
        <v>52</v>
      </c>
      <c r="F160" s="5" t="s">
        <v>65</v>
      </c>
      <c r="G160" s="5" t="s">
        <v>70</v>
      </c>
      <c r="H160" s="5" t="s">
        <v>71</v>
      </c>
      <c r="I160" s="5" t="s">
        <v>63</v>
      </c>
      <c r="J160" s="5" t="s">
        <v>51</v>
      </c>
      <c r="K160" s="5" t="s">
        <v>48</v>
      </c>
      <c r="L160" s="5" t="s">
        <v>56</v>
      </c>
      <c r="M160" s="5" t="s">
        <v>62</v>
      </c>
      <c r="N160" s="5" t="s">
        <v>53</v>
      </c>
      <c r="O160" s="5" t="s">
        <v>55</v>
      </c>
      <c r="P160" s="5" t="s">
        <v>67</v>
      </c>
      <c r="Q160" s="5" t="s">
        <v>210</v>
      </c>
      <c r="R160" s="5" t="s">
        <v>57</v>
      </c>
      <c r="S160" s="5" t="s">
        <v>60</v>
      </c>
      <c r="T160" s="1">
        <v>5</v>
      </c>
      <c r="U160" s="1">
        <v>14</v>
      </c>
      <c r="V160" s="1">
        <v>67</v>
      </c>
    </row>
    <row r="161" spans="1:22" x14ac:dyDescent="0.3">
      <c r="A161" s="3">
        <v>140</v>
      </c>
      <c r="B161" s="4"/>
      <c r="C161" s="6" t="s">
        <v>155</v>
      </c>
      <c r="D161" s="5"/>
      <c r="E161" s="5" t="s">
        <v>52</v>
      </c>
      <c r="F161" s="5" t="s">
        <v>65</v>
      </c>
      <c r="G161" s="5" t="s">
        <v>70</v>
      </c>
      <c r="H161" s="5" t="s">
        <v>71</v>
      </c>
      <c r="I161" s="5" t="s">
        <v>63</v>
      </c>
      <c r="J161" s="5" t="s">
        <v>51</v>
      </c>
      <c r="K161" s="5" t="s">
        <v>48</v>
      </c>
      <c r="L161" s="5" t="s">
        <v>47</v>
      </c>
      <c r="M161" s="5" t="s">
        <v>74</v>
      </c>
      <c r="N161" s="5" t="s">
        <v>53</v>
      </c>
      <c r="O161" s="5" t="s">
        <v>55</v>
      </c>
      <c r="P161" s="5" t="s">
        <v>64</v>
      </c>
      <c r="Q161" s="5" t="s">
        <v>210</v>
      </c>
      <c r="R161" s="5" t="s">
        <v>57</v>
      </c>
      <c r="S161" s="5" t="s">
        <v>60</v>
      </c>
      <c r="T161" s="1">
        <v>4</v>
      </c>
      <c r="U161" s="1">
        <v>13</v>
      </c>
      <c r="V161" s="1">
        <v>42</v>
      </c>
    </row>
    <row r="162" spans="1:22" x14ac:dyDescent="0.3">
      <c r="A162" s="3">
        <v>141</v>
      </c>
      <c r="B162" s="4"/>
      <c r="C162" s="6" t="s">
        <v>157</v>
      </c>
      <c r="D162" s="5"/>
      <c r="E162" s="5" t="s">
        <v>52</v>
      </c>
      <c r="F162" s="5" t="s">
        <v>65</v>
      </c>
      <c r="G162" s="5" t="s">
        <v>58</v>
      </c>
      <c r="H162" s="5" t="s">
        <v>59</v>
      </c>
      <c r="I162" s="5" t="s">
        <v>63</v>
      </c>
      <c r="J162" s="5" t="s">
        <v>51</v>
      </c>
      <c r="K162" s="5" t="s">
        <v>48</v>
      </c>
      <c r="L162" s="5" t="s">
        <v>47</v>
      </c>
      <c r="M162" s="5" t="s">
        <v>74</v>
      </c>
      <c r="N162" s="5" t="s">
        <v>72</v>
      </c>
      <c r="O162" s="5" t="s">
        <v>209</v>
      </c>
      <c r="P162" s="5" t="s">
        <v>64</v>
      </c>
      <c r="Q162" s="5" t="s">
        <v>210</v>
      </c>
      <c r="R162" s="5" t="s">
        <v>57</v>
      </c>
      <c r="S162" s="5" t="s">
        <v>60</v>
      </c>
      <c r="T162" s="1">
        <v>4</v>
      </c>
      <c r="U162" s="1">
        <v>11</v>
      </c>
      <c r="V162" s="1">
        <v>42</v>
      </c>
    </row>
    <row r="163" spans="1:22" ht="28.8" x14ac:dyDescent="0.3">
      <c r="A163" s="3">
        <v>142</v>
      </c>
      <c r="B163" s="4"/>
      <c r="C163" s="6" t="s">
        <v>198</v>
      </c>
      <c r="D163" s="5"/>
      <c r="E163" s="5" t="s">
        <v>52</v>
      </c>
      <c r="F163" s="5" t="s">
        <v>65</v>
      </c>
      <c r="G163" s="5" t="s">
        <v>70</v>
      </c>
      <c r="H163" s="5" t="s">
        <v>71</v>
      </c>
      <c r="I163" s="5" t="s">
        <v>54</v>
      </c>
      <c r="J163" s="5" t="s">
        <v>51</v>
      </c>
      <c r="K163" s="5" t="s">
        <v>48</v>
      </c>
      <c r="L163" s="5" t="s">
        <v>47</v>
      </c>
      <c r="M163" s="5" t="s">
        <v>74</v>
      </c>
      <c r="N163" s="5" t="s">
        <v>72</v>
      </c>
      <c r="O163" s="5" t="s">
        <v>209</v>
      </c>
      <c r="P163" s="5" t="s">
        <v>67</v>
      </c>
      <c r="Q163" s="5" t="s">
        <v>210</v>
      </c>
      <c r="R163" s="5" t="s">
        <v>57</v>
      </c>
      <c r="S163" s="5" t="s">
        <v>60</v>
      </c>
      <c r="T163" s="1">
        <v>4</v>
      </c>
      <c r="U163" s="1">
        <v>13</v>
      </c>
      <c r="V163" s="1">
        <v>42</v>
      </c>
    </row>
    <row r="164" spans="1:22" x14ac:dyDescent="0.3">
      <c r="A164" s="3">
        <v>143</v>
      </c>
      <c r="B164" s="4"/>
      <c r="C164" s="6" t="s">
        <v>181</v>
      </c>
      <c r="D164" s="5"/>
      <c r="E164" s="5" t="s">
        <v>52</v>
      </c>
      <c r="F164" s="5" t="s">
        <v>65</v>
      </c>
      <c r="G164" s="5" t="s">
        <v>70</v>
      </c>
      <c r="H164" s="5" t="s">
        <v>71</v>
      </c>
      <c r="I164" s="5" t="s">
        <v>63</v>
      </c>
      <c r="J164" s="5" t="s">
        <v>51</v>
      </c>
      <c r="K164" s="5" t="s">
        <v>48</v>
      </c>
      <c r="L164" s="5" t="s">
        <v>47</v>
      </c>
      <c r="M164" s="5" t="s">
        <v>74</v>
      </c>
      <c r="N164" s="5" t="s">
        <v>53</v>
      </c>
      <c r="O164" s="5" t="s">
        <v>209</v>
      </c>
      <c r="P164" s="5" t="s">
        <v>67</v>
      </c>
      <c r="Q164" s="5" t="s">
        <v>210</v>
      </c>
      <c r="R164" s="5" t="s">
        <v>57</v>
      </c>
      <c r="S164" s="5" t="s">
        <v>60</v>
      </c>
      <c r="T164" s="1">
        <v>4</v>
      </c>
      <c r="U164" s="1">
        <v>11</v>
      </c>
      <c r="V164" s="1">
        <v>45</v>
      </c>
    </row>
    <row r="165" spans="1:22" x14ac:dyDescent="0.3">
      <c r="A165" s="3">
        <v>144</v>
      </c>
      <c r="B165" s="4"/>
      <c r="C165" s="6" t="s">
        <v>16</v>
      </c>
      <c r="D165" s="5"/>
      <c r="E165" s="5" t="s">
        <v>52</v>
      </c>
      <c r="F165" s="5" t="s">
        <v>65</v>
      </c>
      <c r="G165" s="5" t="s">
        <v>70</v>
      </c>
      <c r="H165" s="5" t="s">
        <v>71</v>
      </c>
      <c r="I165" s="5" t="s">
        <v>63</v>
      </c>
      <c r="J165" s="5" t="s">
        <v>51</v>
      </c>
      <c r="K165" s="5" t="s">
        <v>48</v>
      </c>
      <c r="L165" s="5" t="s">
        <v>56</v>
      </c>
      <c r="M165" s="5" t="s">
        <v>62</v>
      </c>
      <c r="N165" s="5" t="s">
        <v>72</v>
      </c>
      <c r="O165" s="5" t="s">
        <v>55</v>
      </c>
      <c r="P165" s="5" t="s">
        <v>67</v>
      </c>
      <c r="Q165" s="5" t="s">
        <v>210</v>
      </c>
      <c r="R165" s="5" t="s">
        <v>57</v>
      </c>
      <c r="S165" s="5" t="s">
        <v>60</v>
      </c>
      <c r="T165" s="1">
        <v>4</v>
      </c>
      <c r="U165" s="1">
        <v>13</v>
      </c>
      <c r="V165" s="1">
        <v>45</v>
      </c>
    </row>
    <row r="166" spans="1:22" x14ac:dyDescent="0.3">
      <c r="A166" s="3">
        <v>145</v>
      </c>
      <c r="B166" s="4"/>
      <c r="C166" s="6" t="s">
        <v>42</v>
      </c>
      <c r="D166" s="5"/>
      <c r="E166" s="5" t="s">
        <v>52</v>
      </c>
      <c r="F166" s="5" t="s">
        <v>65</v>
      </c>
      <c r="G166" s="5" t="s">
        <v>70</v>
      </c>
      <c r="H166" s="5" t="s">
        <v>71</v>
      </c>
      <c r="I166" s="5" t="s">
        <v>63</v>
      </c>
      <c r="J166" s="5" t="s">
        <v>51</v>
      </c>
      <c r="K166" s="5" t="s">
        <v>48</v>
      </c>
      <c r="L166" s="5" t="s">
        <v>47</v>
      </c>
      <c r="M166" s="5" t="s">
        <v>74</v>
      </c>
      <c r="N166" s="5" t="s">
        <v>53</v>
      </c>
      <c r="O166" s="5" t="s">
        <v>209</v>
      </c>
      <c r="P166" s="5" t="s">
        <v>67</v>
      </c>
      <c r="Q166" s="5" t="s">
        <v>210</v>
      </c>
      <c r="R166" s="5" t="s">
        <v>57</v>
      </c>
      <c r="S166" s="5" t="s">
        <v>60</v>
      </c>
      <c r="T166" s="1">
        <v>4</v>
      </c>
      <c r="U166" s="1">
        <v>12</v>
      </c>
      <c r="V166" s="1">
        <v>41</v>
      </c>
    </row>
    <row r="167" spans="1:22" x14ac:dyDescent="0.3">
      <c r="A167" s="3">
        <v>146</v>
      </c>
      <c r="B167" s="4"/>
      <c r="C167" s="6" t="s">
        <v>79</v>
      </c>
      <c r="D167" s="5"/>
      <c r="E167" s="5" t="s">
        <v>52</v>
      </c>
      <c r="F167" s="5" t="s">
        <v>65</v>
      </c>
      <c r="G167" s="5" t="s">
        <v>70</v>
      </c>
      <c r="H167" s="5" t="s">
        <v>71</v>
      </c>
      <c r="I167" s="5" t="s">
        <v>63</v>
      </c>
      <c r="J167" s="5" t="s">
        <v>51</v>
      </c>
      <c r="K167" s="5" t="s">
        <v>48</v>
      </c>
      <c r="L167" s="5" t="s">
        <v>47</v>
      </c>
      <c r="M167" s="5" t="s">
        <v>74</v>
      </c>
      <c r="N167" s="5" t="s">
        <v>53</v>
      </c>
      <c r="O167" s="5" t="s">
        <v>209</v>
      </c>
      <c r="P167" s="5" t="s">
        <v>67</v>
      </c>
      <c r="Q167" s="5" t="s">
        <v>210</v>
      </c>
      <c r="R167" s="5" t="s">
        <v>57</v>
      </c>
      <c r="S167" s="5" t="s">
        <v>60</v>
      </c>
      <c r="T167" s="1">
        <v>4</v>
      </c>
      <c r="U167" s="1">
        <v>9</v>
      </c>
      <c r="V167" s="1">
        <v>45</v>
      </c>
    </row>
    <row r="168" spans="1:22" ht="28.8" x14ac:dyDescent="0.3">
      <c r="A168" s="3">
        <v>147</v>
      </c>
      <c r="B168" s="4"/>
      <c r="C168" s="6" t="s">
        <v>179</v>
      </c>
      <c r="D168" s="5"/>
      <c r="E168" s="5" t="s">
        <v>52</v>
      </c>
      <c r="F168" s="5" t="s">
        <v>65</v>
      </c>
      <c r="G168" s="5" t="s">
        <v>70</v>
      </c>
      <c r="H168" s="5" t="s">
        <v>59</v>
      </c>
      <c r="I168" s="5" t="s">
        <v>63</v>
      </c>
      <c r="J168" s="5" t="s">
        <v>51</v>
      </c>
      <c r="K168" s="5" t="s">
        <v>48</v>
      </c>
      <c r="L168" s="5" t="s">
        <v>47</v>
      </c>
      <c r="M168" s="5" t="s">
        <v>74</v>
      </c>
      <c r="N168" s="5" t="s">
        <v>72</v>
      </c>
      <c r="O168" s="5" t="s">
        <v>209</v>
      </c>
      <c r="P168" s="5" t="s">
        <v>67</v>
      </c>
      <c r="Q168" s="5" t="s">
        <v>210</v>
      </c>
      <c r="R168" s="5" t="s">
        <v>57</v>
      </c>
      <c r="S168" s="5" t="s">
        <v>60</v>
      </c>
      <c r="T168" s="1">
        <v>4</v>
      </c>
      <c r="U168" s="1">
        <v>9</v>
      </c>
      <c r="V168" s="1">
        <v>45</v>
      </c>
    </row>
    <row r="169" spans="1:22" x14ac:dyDescent="0.3">
      <c r="A169" s="3">
        <v>148</v>
      </c>
      <c r="B169" s="4"/>
      <c r="C169" s="6" t="s">
        <v>110</v>
      </c>
      <c r="D169" s="5"/>
      <c r="E169" s="5" t="s">
        <v>66</v>
      </c>
      <c r="F169" s="5" t="s">
        <v>65</v>
      </c>
      <c r="G169" s="5" t="s">
        <v>70</v>
      </c>
      <c r="H169" s="5" t="s">
        <v>71</v>
      </c>
      <c r="I169" s="5" t="s">
        <v>63</v>
      </c>
      <c r="J169" s="5" t="s">
        <v>51</v>
      </c>
      <c r="K169" s="5" t="s">
        <v>48</v>
      </c>
      <c r="L169" s="5" t="s">
        <v>56</v>
      </c>
      <c r="M169" s="5" t="s">
        <v>74</v>
      </c>
      <c r="N169" s="5" t="s">
        <v>72</v>
      </c>
      <c r="O169" s="5" t="s">
        <v>209</v>
      </c>
      <c r="P169" s="5" t="s">
        <v>64</v>
      </c>
      <c r="Q169" s="5" t="s">
        <v>210</v>
      </c>
      <c r="R169" s="5" t="s">
        <v>57</v>
      </c>
      <c r="S169" s="5" t="s">
        <v>60</v>
      </c>
      <c r="T169" s="1">
        <v>4</v>
      </c>
      <c r="U169" s="1">
        <v>8</v>
      </c>
      <c r="V169" s="1">
        <v>41</v>
      </c>
    </row>
    <row r="170" spans="1:22" x14ac:dyDescent="0.3">
      <c r="A170" s="3">
        <v>149</v>
      </c>
      <c r="B170" s="4"/>
      <c r="C170" s="6" t="s">
        <v>120</v>
      </c>
      <c r="D170" s="5"/>
      <c r="E170" s="5" t="s">
        <v>52</v>
      </c>
      <c r="F170" s="5" t="s">
        <v>65</v>
      </c>
      <c r="G170" s="5" t="s">
        <v>70</v>
      </c>
      <c r="H170" s="5" t="s">
        <v>71</v>
      </c>
      <c r="I170" s="5" t="s">
        <v>63</v>
      </c>
      <c r="J170" s="5" t="s">
        <v>51</v>
      </c>
      <c r="K170" s="5" t="s">
        <v>48</v>
      </c>
      <c r="L170" s="5" t="s">
        <v>47</v>
      </c>
      <c r="M170" s="5" t="s">
        <v>74</v>
      </c>
      <c r="N170" s="5" t="s">
        <v>72</v>
      </c>
      <c r="O170" s="5" t="s">
        <v>209</v>
      </c>
      <c r="P170" s="5" t="s">
        <v>67</v>
      </c>
      <c r="Q170" s="5" t="s">
        <v>210</v>
      </c>
      <c r="R170" s="5" t="s">
        <v>50</v>
      </c>
      <c r="S170" s="5" t="s">
        <v>60</v>
      </c>
      <c r="T170" s="1">
        <v>4</v>
      </c>
      <c r="U170" s="1">
        <v>12</v>
      </c>
      <c r="V170" s="1">
        <v>41</v>
      </c>
    </row>
    <row r="171" spans="1:22" x14ac:dyDescent="0.3">
      <c r="A171" s="3">
        <v>150</v>
      </c>
      <c r="B171" s="4"/>
      <c r="C171" s="6" t="s">
        <v>131</v>
      </c>
      <c r="D171" s="5"/>
      <c r="E171" s="5" t="s">
        <v>52</v>
      </c>
      <c r="F171" s="5" t="s">
        <v>65</v>
      </c>
      <c r="G171" s="5" t="s">
        <v>70</v>
      </c>
      <c r="H171" s="5" t="s">
        <v>71</v>
      </c>
      <c r="I171" s="5" t="s">
        <v>54</v>
      </c>
      <c r="J171" s="5" t="s">
        <v>61</v>
      </c>
      <c r="K171" s="5" t="s">
        <v>48</v>
      </c>
      <c r="L171" s="5" t="s">
        <v>47</v>
      </c>
      <c r="M171" s="5" t="s">
        <v>62</v>
      </c>
      <c r="N171" s="5" t="s">
        <v>72</v>
      </c>
      <c r="O171" s="5" t="s">
        <v>209</v>
      </c>
      <c r="P171" s="5" t="s">
        <v>64</v>
      </c>
      <c r="Q171" s="5" t="s">
        <v>210</v>
      </c>
      <c r="R171" s="5" t="s">
        <v>50</v>
      </c>
      <c r="S171" s="5" t="s">
        <v>60</v>
      </c>
      <c r="T171" s="1">
        <v>4</v>
      </c>
      <c r="U171" s="1">
        <v>10</v>
      </c>
      <c r="V171" s="1">
        <v>45</v>
      </c>
    </row>
    <row r="172" spans="1:22" x14ac:dyDescent="0.3">
      <c r="A172" s="3">
        <v>151</v>
      </c>
      <c r="B172" s="4"/>
      <c r="C172" s="6" t="s">
        <v>18</v>
      </c>
      <c r="D172" s="5"/>
      <c r="E172" s="5" t="s">
        <v>52</v>
      </c>
      <c r="F172" s="5" t="s">
        <v>68</v>
      </c>
      <c r="G172" s="5" t="s">
        <v>70</v>
      </c>
      <c r="H172" s="5" t="s">
        <v>71</v>
      </c>
      <c r="I172" s="5" t="s">
        <v>54</v>
      </c>
      <c r="J172" s="5" t="s">
        <v>51</v>
      </c>
      <c r="K172" s="5" t="s">
        <v>48</v>
      </c>
      <c r="L172" s="5" t="s">
        <v>56</v>
      </c>
      <c r="M172" s="5" t="s">
        <v>62</v>
      </c>
      <c r="N172" s="5" t="s">
        <v>53</v>
      </c>
      <c r="O172" s="5" t="s">
        <v>55</v>
      </c>
      <c r="P172" s="5" t="s">
        <v>64</v>
      </c>
      <c r="Q172" s="5" t="s">
        <v>210</v>
      </c>
      <c r="R172" s="5" t="s">
        <v>57</v>
      </c>
      <c r="S172" s="5" t="s">
        <v>60</v>
      </c>
      <c r="T172" s="1">
        <v>4</v>
      </c>
      <c r="U172" s="1">
        <v>8</v>
      </c>
      <c r="V172" s="1">
        <v>40</v>
      </c>
    </row>
    <row r="173" spans="1:22" ht="28.8" x14ac:dyDescent="0.3">
      <c r="A173" s="3">
        <v>152</v>
      </c>
      <c r="B173" s="4"/>
      <c r="C173" s="6" t="s">
        <v>193</v>
      </c>
      <c r="D173" s="5"/>
      <c r="E173" s="5" t="s">
        <v>52</v>
      </c>
      <c r="F173" s="5" t="s">
        <v>65</v>
      </c>
      <c r="G173" s="5" t="s">
        <v>70</v>
      </c>
      <c r="H173" s="5" t="s">
        <v>59</v>
      </c>
      <c r="I173" s="5" t="s">
        <v>63</v>
      </c>
      <c r="J173" s="5" t="s">
        <v>51</v>
      </c>
      <c r="K173" s="5" t="s">
        <v>48</v>
      </c>
      <c r="L173" s="5" t="s">
        <v>47</v>
      </c>
      <c r="M173" s="5" t="s">
        <v>74</v>
      </c>
      <c r="N173" s="5" t="s">
        <v>53</v>
      </c>
      <c r="O173" s="5" t="s">
        <v>209</v>
      </c>
      <c r="P173" s="5" t="s">
        <v>64</v>
      </c>
      <c r="Q173" s="5" t="s">
        <v>210</v>
      </c>
      <c r="R173" s="5" t="s">
        <v>57</v>
      </c>
      <c r="S173" s="5" t="s">
        <v>60</v>
      </c>
      <c r="T173" s="1">
        <v>4</v>
      </c>
      <c r="U173" s="1">
        <v>8</v>
      </c>
      <c r="V173" s="1">
        <v>47</v>
      </c>
    </row>
    <row r="174" spans="1:22" ht="43.2" x14ac:dyDescent="0.3">
      <c r="A174" s="3">
        <v>153</v>
      </c>
      <c r="B174" s="4"/>
      <c r="C174" s="6" t="s">
        <v>188</v>
      </c>
      <c r="D174" s="5"/>
      <c r="E174" s="5" t="s">
        <v>52</v>
      </c>
      <c r="F174" s="5" t="s">
        <v>65</v>
      </c>
      <c r="G174" s="5" t="s">
        <v>58</v>
      </c>
      <c r="H174" s="5" t="s">
        <v>71</v>
      </c>
      <c r="I174" s="5" t="s">
        <v>63</v>
      </c>
      <c r="J174" s="5" t="s">
        <v>51</v>
      </c>
      <c r="K174" s="5" t="s">
        <v>48</v>
      </c>
      <c r="L174" s="5" t="s">
        <v>47</v>
      </c>
      <c r="M174" s="5" t="s">
        <v>62</v>
      </c>
      <c r="N174" s="5" t="s">
        <v>53</v>
      </c>
      <c r="O174" s="5" t="s">
        <v>209</v>
      </c>
      <c r="P174" s="5" t="s">
        <v>67</v>
      </c>
      <c r="Q174" s="5" t="s">
        <v>210</v>
      </c>
      <c r="R174" s="5" t="s">
        <v>57</v>
      </c>
      <c r="S174" s="5" t="s">
        <v>60</v>
      </c>
      <c r="T174" s="1">
        <v>4</v>
      </c>
      <c r="U174" s="1">
        <v>12</v>
      </c>
      <c r="V174" s="1">
        <v>49</v>
      </c>
    </row>
    <row r="175" spans="1:22" ht="28.8" x14ac:dyDescent="0.3">
      <c r="A175" s="3">
        <v>154</v>
      </c>
      <c r="B175" s="4"/>
      <c r="C175" s="6" t="s">
        <v>103</v>
      </c>
      <c r="D175" s="5"/>
      <c r="E175" s="5" t="s">
        <v>52</v>
      </c>
      <c r="F175" s="5" t="s">
        <v>65</v>
      </c>
      <c r="G175" s="5" t="s">
        <v>70</v>
      </c>
      <c r="H175" s="5" t="s">
        <v>71</v>
      </c>
      <c r="I175" s="5" t="s">
        <v>54</v>
      </c>
      <c r="J175" s="5" t="s">
        <v>51</v>
      </c>
      <c r="K175" s="5" t="s">
        <v>48</v>
      </c>
      <c r="L175" s="5" t="s">
        <v>47</v>
      </c>
      <c r="M175" s="5" t="s">
        <v>62</v>
      </c>
      <c r="N175" s="5" t="s">
        <v>53</v>
      </c>
      <c r="O175" s="5" t="s">
        <v>209</v>
      </c>
      <c r="P175" s="5" t="s">
        <v>67</v>
      </c>
      <c r="Q175" s="5" t="s">
        <v>210</v>
      </c>
      <c r="R175" s="5" t="s">
        <v>57</v>
      </c>
      <c r="S175" s="5" t="s">
        <v>60</v>
      </c>
      <c r="T175" s="1">
        <v>4</v>
      </c>
      <c r="U175" s="1">
        <v>10</v>
      </c>
      <c r="V175" s="1">
        <v>37</v>
      </c>
    </row>
    <row r="176" spans="1:22" ht="28.8" x14ac:dyDescent="0.3">
      <c r="A176" s="3">
        <v>155</v>
      </c>
      <c r="B176" s="4"/>
      <c r="C176" s="6" t="s">
        <v>196</v>
      </c>
      <c r="D176" s="5"/>
      <c r="E176" s="5" t="s">
        <v>66</v>
      </c>
      <c r="F176" s="5" t="s">
        <v>65</v>
      </c>
      <c r="G176" s="5" t="s">
        <v>58</v>
      </c>
      <c r="H176" s="5" t="s">
        <v>71</v>
      </c>
      <c r="I176" s="5" t="s">
        <v>54</v>
      </c>
      <c r="J176" s="5" t="s">
        <v>51</v>
      </c>
      <c r="K176" s="5" t="s">
        <v>48</v>
      </c>
      <c r="L176" s="5" t="s">
        <v>47</v>
      </c>
      <c r="M176" s="5" t="s">
        <v>62</v>
      </c>
      <c r="N176" s="5" t="s">
        <v>72</v>
      </c>
      <c r="O176" s="5" t="s">
        <v>209</v>
      </c>
      <c r="P176" s="5" t="s">
        <v>64</v>
      </c>
      <c r="Q176" s="5" t="s">
        <v>210</v>
      </c>
      <c r="R176" s="5" t="s">
        <v>57</v>
      </c>
      <c r="S176" s="5" t="s">
        <v>60</v>
      </c>
      <c r="T176" s="1">
        <v>4</v>
      </c>
      <c r="U176" s="1">
        <v>12</v>
      </c>
      <c r="V176" s="1">
        <v>35</v>
      </c>
    </row>
    <row r="177" spans="1:22" ht="28.8" x14ac:dyDescent="0.3">
      <c r="A177" s="3">
        <v>156</v>
      </c>
      <c r="B177" s="4"/>
      <c r="C177" s="6" t="s">
        <v>176</v>
      </c>
      <c r="D177" s="5"/>
      <c r="E177" s="5" t="s">
        <v>52</v>
      </c>
      <c r="F177" s="5" t="s">
        <v>65</v>
      </c>
      <c r="G177" s="5" t="s">
        <v>58</v>
      </c>
      <c r="H177" s="5" t="s">
        <v>59</v>
      </c>
      <c r="I177" s="5" t="s">
        <v>63</v>
      </c>
      <c r="J177" s="5" t="s">
        <v>51</v>
      </c>
      <c r="K177" s="5" t="s">
        <v>48</v>
      </c>
      <c r="L177" s="5" t="s">
        <v>47</v>
      </c>
      <c r="M177" s="5" t="s">
        <v>74</v>
      </c>
      <c r="N177" s="5" t="s">
        <v>72</v>
      </c>
      <c r="O177" s="5" t="s">
        <v>209</v>
      </c>
      <c r="P177" s="5" t="s">
        <v>64</v>
      </c>
      <c r="Q177" s="5" t="s">
        <v>210</v>
      </c>
      <c r="R177" s="5" t="s">
        <v>57</v>
      </c>
      <c r="S177" s="5" t="s">
        <v>60</v>
      </c>
      <c r="T177" s="1">
        <v>4</v>
      </c>
      <c r="U177" s="1">
        <v>14</v>
      </c>
      <c r="V177" s="1">
        <v>52</v>
      </c>
    </row>
    <row r="178" spans="1:22" ht="28.8" x14ac:dyDescent="0.3">
      <c r="A178" s="3">
        <v>157</v>
      </c>
      <c r="B178" s="4"/>
      <c r="C178" s="6" t="s">
        <v>153</v>
      </c>
      <c r="D178" s="5"/>
      <c r="E178" s="5" t="s">
        <v>52</v>
      </c>
      <c r="F178" s="5" t="s">
        <v>68</v>
      </c>
      <c r="G178" s="5" t="s">
        <v>70</v>
      </c>
      <c r="H178" s="5" t="s">
        <v>71</v>
      </c>
      <c r="I178" s="5" t="s">
        <v>63</v>
      </c>
      <c r="J178" s="5" t="s">
        <v>61</v>
      </c>
      <c r="K178" s="5" t="s">
        <v>207</v>
      </c>
      <c r="L178" s="5" t="s">
        <v>56</v>
      </c>
      <c r="M178" s="5" t="s">
        <v>62</v>
      </c>
      <c r="N178" s="5" t="s">
        <v>72</v>
      </c>
      <c r="O178" s="5" t="s">
        <v>209</v>
      </c>
      <c r="P178" s="5" t="s">
        <v>64</v>
      </c>
      <c r="Q178" s="5" t="s">
        <v>210</v>
      </c>
      <c r="R178" s="5" t="s">
        <v>57</v>
      </c>
      <c r="S178" s="5" t="s">
        <v>60</v>
      </c>
      <c r="T178" s="1">
        <v>3</v>
      </c>
      <c r="U178" s="1">
        <v>10</v>
      </c>
      <c r="V178" s="1">
        <v>41</v>
      </c>
    </row>
    <row r="179" spans="1:22" x14ac:dyDescent="0.3">
      <c r="A179" s="3">
        <v>158</v>
      </c>
      <c r="B179" s="4"/>
      <c r="C179" s="6" t="s">
        <v>97</v>
      </c>
      <c r="D179" s="5"/>
      <c r="E179" s="5" t="s">
        <v>52</v>
      </c>
      <c r="F179" s="5" t="s">
        <v>65</v>
      </c>
      <c r="G179" s="5" t="s">
        <v>70</v>
      </c>
      <c r="H179" s="5" t="s">
        <v>71</v>
      </c>
      <c r="I179" s="5" t="s">
        <v>63</v>
      </c>
      <c r="J179" s="5" t="s">
        <v>51</v>
      </c>
      <c r="K179" s="5" t="s">
        <v>48</v>
      </c>
      <c r="L179" s="5" t="s">
        <v>47</v>
      </c>
      <c r="M179" s="5" t="s">
        <v>62</v>
      </c>
      <c r="N179" s="5" t="s">
        <v>53</v>
      </c>
      <c r="O179" s="5" t="s">
        <v>209</v>
      </c>
      <c r="P179" s="5" t="s">
        <v>67</v>
      </c>
      <c r="Q179" s="5" t="s">
        <v>210</v>
      </c>
      <c r="R179" s="5" t="s">
        <v>57</v>
      </c>
      <c r="S179" s="5" t="s">
        <v>60</v>
      </c>
      <c r="T179" s="1">
        <v>3</v>
      </c>
      <c r="U179" s="1">
        <v>11</v>
      </c>
      <c r="V179" s="1">
        <v>47</v>
      </c>
    </row>
    <row r="180" spans="1:22" x14ac:dyDescent="0.3">
      <c r="A180" s="3">
        <v>159</v>
      </c>
      <c r="B180" s="4"/>
      <c r="C180" s="6" t="s">
        <v>190</v>
      </c>
      <c r="D180" s="5"/>
      <c r="E180" s="5" t="s">
        <v>66</v>
      </c>
      <c r="F180" s="5" t="s">
        <v>65</v>
      </c>
      <c r="G180" s="5" t="s">
        <v>70</v>
      </c>
      <c r="H180" s="5" t="s">
        <v>71</v>
      </c>
      <c r="I180" s="5" t="s">
        <v>63</v>
      </c>
      <c r="J180" s="5" t="s">
        <v>51</v>
      </c>
      <c r="K180" s="5" t="s">
        <v>48</v>
      </c>
      <c r="L180" s="5" t="s">
        <v>47</v>
      </c>
      <c r="M180" s="5" t="s">
        <v>62</v>
      </c>
      <c r="N180" s="5" t="s">
        <v>72</v>
      </c>
      <c r="O180" s="5" t="s">
        <v>209</v>
      </c>
      <c r="P180" s="5" t="s">
        <v>67</v>
      </c>
      <c r="Q180" s="5" t="s">
        <v>210</v>
      </c>
      <c r="R180" s="5" t="s">
        <v>57</v>
      </c>
      <c r="S180" s="5" t="s">
        <v>60</v>
      </c>
      <c r="T180" s="1">
        <v>3</v>
      </c>
      <c r="U180" s="1">
        <v>12</v>
      </c>
      <c r="V180" s="1">
        <v>47</v>
      </c>
    </row>
    <row r="181" spans="1:22" ht="28.8" x14ac:dyDescent="0.3">
      <c r="A181" s="3">
        <v>160</v>
      </c>
      <c r="B181" s="4"/>
      <c r="C181" s="6" t="s">
        <v>175</v>
      </c>
      <c r="D181" s="5"/>
      <c r="E181" s="5" t="s">
        <v>52</v>
      </c>
      <c r="F181" s="5" t="s">
        <v>65</v>
      </c>
      <c r="G181" s="5" t="s">
        <v>70</v>
      </c>
      <c r="H181" s="5" t="s">
        <v>59</v>
      </c>
      <c r="I181" s="5" t="s">
        <v>63</v>
      </c>
      <c r="J181" s="5" t="s">
        <v>51</v>
      </c>
      <c r="K181" s="5" t="s">
        <v>48</v>
      </c>
      <c r="L181" s="5" t="s">
        <v>47</v>
      </c>
      <c r="M181" s="5" t="s">
        <v>62</v>
      </c>
      <c r="N181" s="5" t="s">
        <v>53</v>
      </c>
      <c r="O181" s="5" t="s">
        <v>209</v>
      </c>
      <c r="P181" s="5" t="s">
        <v>64</v>
      </c>
      <c r="Q181" s="5" t="s">
        <v>210</v>
      </c>
      <c r="R181" s="5" t="s">
        <v>57</v>
      </c>
      <c r="S181" s="5" t="s">
        <v>60</v>
      </c>
      <c r="T181" s="1">
        <v>3</v>
      </c>
      <c r="U181" s="1">
        <v>5</v>
      </c>
      <c r="V181" s="1">
        <v>38</v>
      </c>
    </row>
    <row r="182" spans="1:22" ht="28.8" x14ac:dyDescent="0.3">
      <c r="A182" s="3">
        <v>161</v>
      </c>
      <c r="B182" s="4"/>
      <c r="C182" s="6" t="s">
        <v>135</v>
      </c>
      <c r="D182" s="5"/>
      <c r="E182" s="5" t="s">
        <v>52</v>
      </c>
      <c r="F182" s="5" t="s">
        <v>65</v>
      </c>
      <c r="G182" s="5" t="s">
        <v>70</v>
      </c>
      <c r="H182" s="5" t="s">
        <v>59</v>
      </c>
      <c r="I182" s="5" t="s">
        <v>63</v>
      </c>
      <c r="J182" s="5" t="s">
        <v>61</v>
      </c>
      <c r="K182" s="5" t="s">
        <v>48</v>
      </c>
      <c r="L182" s="5" t="s">
        <v>47</v>
      </c>
      <c r="M182" s="5" t="s">
        <v>62</v>
      </c>
      <c r="N182" s="5" t="s">
        <v>72</v>
      </c>
      <c r="O182" s="5" t="s">
        <v>209</v>
      </c>
      <c r="P182" s="5" t="s">
        <v>64</v>
      </c>
      <c r="Q182" s="5" t="s">
        <v>210</v>
      </c>
      <c r="R182" s="5" t="s">
        <v>57</v>
      </c>
      <c r="S182" s="5" t="s">
        <v>60</v>
      </c>
      <c r="T182" s="1">
        <v>3</v>
      </c>
      <c r="U182" s="1">
        <v>13</v>
      </c>
      <c r="V182" s="1">
        <v>53</v>
      </c>
    </row>
    <row r="183" spans="1:22" x14ac:dyDescent="0.3">
      <c r="A183" s="3">
        <v>162</v>
      </c>
      <c r="B183" s="4"/>
      <c r="C183" s="6" t="s">
        <v>45</v>
      </c>
      <c r="D183" s="5"/>
      <c r="E183" s="5" t="s">
        <v>52</v>
      </c>
      <c r="F183" s="5" t="s">
        <v>65</v>
      </c>
      <c r="G183" s="5" t="s">
        <v>70</v>
      </c>
      <c r="H183" s="5" t="s">
        <v>71</v>
      </c>
      <c r="I183" s="5" t="s">
        <v>63</v>
      </c>
      <c r="J183" s="5" t="s">
        <v>51</v>
      </c>
      <c r="K183" s="5" t="s">
        <v>48</v>
      </c>
      <c r="L183" s="5" t="s">
        <v>47</v>
      </c>
      <c r="M183" s="5" t="s">
        <v>62</v>
      </c>
      <c r="N183" s="5" t="s">
        <v>53</v>
      </c>
      <c r="O183" s="5" t="s">
        <v>209</v>
      </c>
      <c r="P183" s="5" t="s">
        <v>64</v>
      </c>
      <c r="Q183" s="5" t="s">
        <v>210</v>
      </c>
      <c r="R183" s="5" t="s">
        <v>57</v>
      </c>
      <c r="S183" s="5" t="s">
        <v>60</v>
      </c>
      <c r="T183" s="1">
        <v>2</v>
      </c>
      <c r="U183" s="1">
        <v>11</v>
      </c>
      <c r="V183" s="1">
        <v>46</v>
      </c>
    </row>
    <row r="184" spans="1:22" ht="28.8" x14ac:dyDescent="0.3">
      <c r="A184" s="3">
        <v>163</v>
      </c>
      <c r="B184" s="4"/>
      <c r="C184" s="6" t="s">
        <v>133</v>
      </c>
      <c r="D184" s="5"/>
      <c r="E184" s="5" t="s">
        <v>52</v>
      </c>
      <c r="F184" s="5" t="s">
        <v>65</v>
      </c>
      <c r="G184" s="5" t="s">
        <v>70</v>
      </c>
      <c r="H184" s="5" t="s">
        <v>71</v>
      </c>
      <c r="I184" s="5" t="s">
        <v>63</v>
      </c>
      <c r="J184" s="5" t="s">
        <v>51</v>
      </c>
      <c r="K184" s="5" t="s">
        <v>48</v>
      </c>
      <c r="L184" s="5" t="s">
        <v>47</v>
      </c>
      <c r="M184" s="5" t="s">
        <v>62</v>
      </c>
      <c r="N184" s="5" t="s">
        <v>72</v>
      </c>
      <c r="O184" s="5" t="s">
        <v>209</v>
      </c>
      <c r="P184" s="5" t="s">
        <v>67</v>
      </c>
      <c r="Q184" s="5" t="s">
        <v>210</v>
      </c>
      <c r="R184" s="5" t="s">
        <v>57</v>
      </c>
      <c r="S184" s="5" t="s">
        <v>60</v>
      </c>
      <c r="T184" s="1">
        <v>2</v>
      </c>
      <c r="U184" s="1">
        <v>9</v>
      </c>
      <c r="V184" s="1">
        <v>36</v>
      </c>
    </row>
  </sheetData>
  <mergeCells count="8">
    <mergeCell ref="A9:A15"/>
    <mergeCell ref="B9:B15"/>
    <mergeCell ref="T9:T15"/>
    <mergeCell ref="U9:U15"/>
    <mergeCell ref="A56:A61"/>
    <mergeCell ref="B56:B61"/>
    <mergeCell ref="T56:T61"/>
    <mergeCell ref="U56:U61"/>
  </mergeCells>
  <conditionalFormatting sqref="E4:S4">
    <cfRule type="colorScale" priority="9">
      <colorScale>
        <cfvo type="min"/>
        <cfvo type="max"/>
        <color rgb="FFFF7128"/>
        <color rgb="FFFFEF9C"/>
      </colorScale>
    </cfRule>
  </conditionalFormatting>
  <conditionalFormatting sqref="U7">
    <cfRule type="cellIs" dxfId="135" priority="7" operator="equal">
      <formula>"Y"</formula>
    </cfRule>
    <cfRule type="cellIs" dxfId="134" priority="8" operator="equal">
      <formula>"N"</formula>
    </cfRule>
  </conditionalFormatting>
  <conditionalFormatting sqref="E2:S3">
    <cfRule type="cellIs" dxfId="133" priority="5" operator="equal">
      <formula>"Y"</formula>
    </cfRule>
    <cfRule type="cellIs" dxfId="132" priority="6" operator="equal">
      <formula>"N"</formula>
    </cfRule>
  </conditionalFormatting>
  <conditionalFormatting sqref="R7:S7">
    <cfRule type="cellIs" dxfId="131" priority="3" operator="equal">
      <formula>"Y"</formula>
    </cfRule>
    <cfRule type="cellIs" dxfId="130" priority="4" operator="equal">
      <formula>"N"</formula>
    </cfRule>
  </conditionalFormatting>
  <conditionalFormatting sqref="E7:S7">
    <cfRule type="cellIs" dxfId="129" priority="1" operator="equal">
      <formula>"Y"</formula>
    </cfRule>
    <cfRule type="cellIs" dxfId="128" priority="2" operator="equal">
      <formula>"N"</formula>
    </cfRule>
  </conditionalFormatting>
  <hyperlinks>
    <hyperlink ref="C16" r:id="rId1" display="https://poolhost.com/profootball/playerstats/1670226"/>
    <hyperlink ref="C17" r:id="rId2" display="https://poolhost.com/profootball/playerstats/1657024"/>
    <hyperlink ref="C18" r:id="rId3" display="https://poolhost.com/profootball/playerstats/1654485"/>
    <hyperlink ref="C19" r:id="rId4" display="https://poolhost.com/profootball/playerstats/1708505"/>
    <hyperlink ref="C20" r:id="rId5" display="https://poolhost.com/profootball/playerstats/1722206"/>
    <hyperlink ref="C21" r:id="rId6" display="https://poolhost.com/profootball/playerstats/1665910"/>
    <hyperlink ref="C22" r:id="rId7" display="https://poolhost.com/profootball/playerstats/1649126"/>
    <hyperlink ref="C23" r:id="rId8" display="https://poolhost.com/profootball/playerstats/1678632"/>
    <hyperlink ref="C24" r:id="rId9" display="https://poolhost.com/profootball/playerstats/1666473"/>
    <hyperlink ref="C25" r:id="rId10" display="https://poolhost.com/profootball/playerstats/1682523"/>
    <hyperlink ref="C26" r:id="rId11" display="https://poolhost.com/profootball/playerstats/1669212"/>
    <hyperlink ref="C27" r:id="rId12" display="https://poolhost.com/profootball/playerstats/1691673"/>
    <hyperlink ref="C28" r:id="rId13" display="https://poolhost.com/profootball/playerstats/1654791"/>
    <hyperlink ref="C29" r:id="rId14" display="https://poolhost.com/profootball/playerstats/1705272"/>
    <hyperlink ref="C30" r:id="rId15" display="https://poolhost.com/profootball/playerstats/1704026"/>
    <hyperlink ref="C31" r:id="rId16" display="https://poolhost.com/profootball/playerstats/1711169"/>
    <hyperlink ref="C32" r:id="rId17" display="https://poolhost.com/profootball/playerstats/1663101"/>
    <hyperlink ref="C33" r:id="rId18" display="https://poolhost.com/profootball/playerstats/1659558"/>
    <hyperlink ref="C34" r:id="rId19" display="https://poolhost.com/profootball/playerstats/1732411"/>
    <hyperlink ref="C35" r:id="rId20" display="https://poolhost.com/profootball/playerstats/1657103"/>
    <hyperlink ref="C36" r:id="rId21" display="https://poolhost.com/profootball/playerstats/1671837"/>
    <hyperlink ref="C37" r:id="rId22" display="https://poolhost.com/profootball/playerstats/1727170"/>
    <hyperlink ref="C38" r:id="rId23" display="https://poolhost.com/profootball/playerstats/1679156"/>
    <hyperlink ref="C39" r:id="rId24" display="https://poolhost.com/profootball/playerstats/1697912"/>
    <hyperlink ref="C40" r:id="rId25" display="https://poolhost.com/profootball/playerstats/1671748"/>
    <hyperlink ref="C41" r:id="rId26" display="https://poolhost.com/profootball/playerstats/1679300"/>
    <hyperlink ref="C42" r:id="rId27" display="https://poolhost.com/profootball/playerstats/1700157"/>
    <hyperlink ref="C43" r:id="rId28" display="https://poolhost.com/profootball/playerstats/1666034"/>
    <hyperlink ref="C44" r:id="rId29" display="https://poolhost.com/profootball/playerstats/1654623"/>
    <hyperlink ref="C45" r:id="rId30" display="https://poolhost.com/profootball/playerstats/1733415"/>
    <hyperlink ref="C46" r:id="rId31" display="https://poolhost.com/profootball/playerstats/1715552"/>
    <hyperlink ref="C47" r:id="rId32" display="https://poolhost.com/profootball/playerstats/1667937"/>
    <hyperlink ref="C48" r:id="rId33" display="https://poolhost.com/profootball/playerstats/1663641"/>
    <hyperlink ref="C49" r:id="rId34" display="https://poolhost.com/profootball/playerstats/1731780"/>
    <hyperlink ref="C50" r:id="rId35" display="https://poolhost.com/profootball/playerstats/1654484"/>
    <hyperlink ref="C51" r:id="rId36" display="https://poolhost.com/profootball/playerstats/1666092"/>
    <hyperlink ref="C52" r:id="rId37" display="https://poolhost.com/profootball/playerstats/1734363"/>
    <hyperlink ref="C53" r:id="rId38" display="https://poolhost.com/profootball/playerstats/1681958"/>
    <hyperlink ref="C54" r:id="rId39" display="https://poolhost.com/profootball/playerstats/1684491"/>
    <hyperlink ref="C55" r:id="rId40" display="https://poolhost.com/profootball/playerstats/1709552"/>
    <hyperlink ref="C62" r:id="rId41" display="https://poolhost.com/profootball/playerstats/1708448"/>
    <hyperlink ref="C63" r:id="rId42" display="https://poolhost.com/profootball/playerstats/1683531"/>
    <hyperlink ref="C64" r:id="rId43" display="https://poolhost.com/profootball/playerstats/1724223"/>
    <hyperlink ref="C65" r:id="rId44" display="https://poolhost.com/profootball/playerstats/1741250"/>
    <hyperlink ref="C66" r:id="rId45" display="https://poolhost.com/profootball/playerstats/1661711"/>
    <hyperlink ref="C67" r:id="rId46" display="https://poolhost.com/profootball/playerstats/1705346"/>
    <hyperlink ref="C68" r:id="rId47" display="https://poolhost.com/profootball/playerstats/1703435"/>
    <hyperlink ref="C69" r:id="rId48" display="https://poolhost.com/profootball/playerstats/1669305"/>
    <hyperlink ref="C70" r:id="rId49" display="https://poolhost.com/profootball/playerstats/1728782"/>
    <hyperlink ref="C71" r:id="rId50" display="https://poolhost.com/profootball/playerstats/1672298"/>
    <hyperlink ref="C72" r:id="rId51" display="https://poolhost.com/profootball/playerstats/1732788"/>
    <hyperlink ref="C73" r:id="rId52" display="https://poolhost.com/profootball/playerstats/1679009"/>
    <hyperlink ref="C74" r:id="rId53" display="https://poolhost.com/profootball/playerstats/1666027"/>
    <hyperlink ref="C75" r:id="rId54" display="https://poolhost.com/profootball/playerstats/1709781"/>
    <hyperlink ref="C76" r:id="rId55" display="https://poolhost.com/profootball/playerstats/1667866"/>
    <hyperlink ref="C77" r:id="rId56" display="https://poolhost.com/profootball/playerstats/1700155"/>
    <hyperlink ref="C78" r:id="rId57" display="https://poolhost.com/profootball/playerstats/1707988"/>
    <hyperlink ref="C79" r:id="rId58" display="https://poolhost.com/profootball/playerstats/1686915"/>
    <hyperlink ref="C80" r:id="rId59" display="https://poolhost.com/profootball/playerstats/1654649"/>
    <hyperlink ref="C81" r:id="rId60" display="https://poolhost.com/profootball/playerstats/1726632"/>
    <hyperlink ref="C82" r:id="rId61" display="https://poolhost.com/profootball/playerstats/1678667"/>
    <hyperlink ref="C83" r:id="rId62" display="https://poolhost.com/profootball/playerstats/1729617"/>
    <hyperlink ref="C84" r:id="rId63" display="https://poolhost.com/profootball/playerstats/1655488"/>
    <hyperlink ref="C85" r:id="rId64" display="https://poolhost.com/profootball/playerstats/1708312"/>
    <hyperlink ref="C86" r:id="rId65" display="https://poolhost.com/profootball/playerstats/1732851"/>
    <hyperlink ref="C87" r:id="rId66" display="https://poolhost.com/profootball/playerstats/1684266"/>
    <hyperlink ref="C88" r:id="rId67" display="https://poolhost.com/profootball/playerstats/1696717"/>
    <hyperlink ref="C89" r:id="rId68" display="https://poolhost.com/profootball/playerstats/1730347"/>
    <hyperlink ref="C90" r:id="rId69" display="https://poolhost.com/profootball/playerstats/1685066"/>
    <hyperlink ref="C91" r:id="rId70" display="https://poolhost.com/profootball/playerstats/1666449"/>
    <hyperlink ref="C92" r:id="rId71" display="https://poolhost.com/profootball/playerstats/1661981"/>
    <hyperlink ref="C93" r:id="rId72" display="https://poolhost.com/profootball/playerstats/1701053"/>
    <hyperlink ref="C94" r:id="rId73" display="https://poolhost.com/profootball/playerstats/1657214"/>
    <hyperlink ref="C95" r:id="rId74" display="https://poolhost.com/profootball/playerstats/1722233"/>
    <hyperlink ref="C96" r:id="rId75" display="https://poolhost.com/profootball/playerstats/1677049"/>
    <hyperlink ref="C97" r:id="rId76" display="https://poolhost.com/profootball/playerstats/1712780"/>
    <hyperlink ref="C98" r:id="rId77" display="https://poolhost.com/profootball/playerstats/1662306"/>
    <hyperlink ref="C99" r:id="rId78" display="https://poolhost.com/profootball/playerstats/1665810"/>
    <hyperlink ref="C100" r:id="rId79" display="https://poolhost.com/profootball/playerstats/1654634"/>
    <hyperlink ref="C101" r:id="rId80" display="https://poolhost.com/profootball/playerstats/1673248"/>
    <hyperlink ref="C102" r:id="rId81" display="https://poolhost.com/profootball/playerstats/1665979"/>
    <hyperlink ref="C103" r:id="rId82" display="https://poolhost.com/profootball/playerstats/1657241"/>
    <hyperlink ref="C104" r:id="rId83" display="https://poolhost.com/profootball/playerstats/1731690"/>
    <hyperlink ref="C105" r:id="rId84" display="https://poolhost.com/profootball/playerstats/1662606"/>
    <hyperlink ref="C106" r:id="rId85" display="https://poolhost.com/profootball/playerstats/1676125"/>
    <hyperlink ref="C107" r:id="rId86" display="https://poolhost.com/profootball/playerstats/1704294"/>
    <hyperlink ref="C108" r:id="rId87" display="https://poolhost.com/profootball/playerstats/1702170"/>
    <hyperlink ref="C109" r:id="rId88" display="https://poolhost.com/profootball/playerstats/1727817"/>
    <hyperlink ref="C110" r:id="rId89" display="https://poolhost.com/profootball/playerstats/1681946"/>
    <hyperlink ref="C111" r:id="rId90" display="https://poolhost.com/profootball/playerstats/1701354"/>
    <hyperlink ref="C112" r:id="rId91" display="https://poolhost.com/profootball/playerstats/1668461"/>
    <hyperlink ref="C113" r:id="rId92" display="https://poolhost.com/profootball/playerstats/1658459"/>
    <hyperlink ref="C114" r:id="rId93" display="https://poolhost.com/profootball/playerstats/1659875"/>
    <hyperlink ref="C115" r:id="rId94" display="https://poolhost.com/profootball/playerstats/1673234"/>
    <hyperlink ref="C116" r:id="rId95" display="https://poolhost.com/profootball/playerstats/1680041"/>
    <hyperlink ref="C117" r:id="rId96" display="https://poolhost.com/profootball/playerstats/1721307"/>
    <hyperlink ref="C118" r:id="rId97" display="https://poolhost.com/profootball/playerstats/1735486"/>
    <hyperlink ref="C119" r:id="rId98" display="https://poolhost.com/profootball/playerstats/1649341"/>
    <hyperlink ref="C120" r:id="rId99" display="https://poolhost.com/profootball/playerstats/1695492"/>
    <hyperlink ref="C121" r:id="rId100" display="https://poolhost.com/profootball/playerstats/1665631"/>
    <hyperlink ref="C122" r:id="rId101" display="https://poolhost.com/profootball/playerstats/1674086"/>
    <hyperlink ref="C123" r:id="rId102" display="https://poolhost.com/profootball/playerstats/1730270"/>
    <hyperlink ref="C124" r:id="rId103" display="https://poolhost.com/profootball/playerstats/1686727"/>
    <hyperlink ref="C125" r:id="rId104" display="https://poolhost.com/profootball/playerstats/1732953"/>
    <hyperlink ref="C126" r:id="rId105" display="https://poolhost.com/profootball/playerstats/1730676"/>
    <hyperlink ref="C127" r:id="rId106" display="https://poolhost.com/profootball/playerstats/1665614"/>
    <hyperlink ref="C128" r:id="rId107" display="https://poolhost.com/profootball/playerstats/1657583"/>
    <hyperlink ref="C129" r:id="rId108" display="https://poolhost.com/profootball/playerstats/1670025"/>
    <hyperlink ref="C130" r:id="rId109" display="https://poolhost.com/profootball/playerstats/1669323"/>
    <hyperlink ref="C131" r:id="rId110" display="https://poolhost.com/profootball/playerstats/1703401"/>
    <hyperlink ref="C132" r:id="rId111" display="https://poolhost.com/profootball/playerstats/1668687"/>
    <hyperlink ref="C133" r:id="rId112" display="https://poolhost.com/profootball/playerstats/1695716"/>
    <hyperlink ref="C134" r:id="rId113" display="https://poolhost.com/profootball/playerstats/1728787"/>
    <hyperlink ref="C135" r:id="rId114" display="https://poolhost.com/profootball/playerstats/1683389"/>
    <hyperlink ref="C136" r:id="rId115" display="https://poolhost.com/profootball/playerstats/1702449"/>
    <hyperlink ref="C137" r:id="rId116" display="https://poolhost.com/profootball/playerstats/1699810"/>
    <hyperlink ref="C138" r:id="rId117" display="https://poolhost.com/profootball/playerstats/1660811"/>
    <hyperlink ref="C139" r:id="rId118" display="https://poolhost.com/profootball/playerstats/1732290"/>
    <hyperlink ref="C140" r:id="rId119" display="https://poolhost.com/profootball/playerstats/1654448"/>
    <hyperlink ref="C141" r:id="rId120" display="https://poolhost.com/profootball/playerstats/1699295"/>
    <hyperlink ref="C142" r:id="rId121" display="https://poolhost.com/profootball/playerstats/1733218"/>
    <hyperlink ref="C143" r:id="rId122" display="https://poolhost.com/profootball/playerstats/1656464"/>
    <hyperlink ref="C144" r:id="rId123" display="https://poolhost.com/profootball/playerstats/1705029"/>
    <hyperlink ref="C145" r:id="rId124" display="https://poolhost.com/profootball/playerstats/1732254"/>
    <hyperlink ref="C146" r:id="rId125" display="https://poolhost.com/profootball/playerstats/1729262"/>
    <hyperlink ref="C147" r:id="rId126" display="https://poolhost.com/profootball/playerstats/1668682"/>
    <hyperlink ref="C148" r:id="rId127" display="https://poolhost.com/profootball/playerstats/1684290"/>
    <hyperlink ref="C149" r:id="rId128" display="https://poolhost.com/profootball/playerstats/1681897"/>
    <hyperlink ref="C150" r:id="rId129" display="https://poolhost.com/profootball/playerstats/1732996"/>
    <hyperlink ref="C151" r:id="rId130" display="https://poolhost.com/profootball/playerstats/1694017"/>
    <hyperlink ref="C152" r:id="rId131" display="https://poolhost.com/profootball/playerstats/1676654"/>
    <hyperlink ref="C153" r:id="rId132" display="https://poolhost.com/profootball/playerstats/1722286"/>
    <hyperlink ref="C154" r:id="rId133" display="https://poolhost.com/profootball/playerstats/1694354"/>
    <hyperlink ref="C155" r:id="rId134" display="https://poolhost.com/profootball/playerstats/1673222"/>
    <hyperlink ref="C156" r:id="rId135" display="https://poolhost.com/profootball/playerstats/1705049"/>
    <hyperlink ref="C157" r:id="rId136" display="https://poolhost.com/profootball/playerstats/1725535"/>
    <hyperlink ref="C158" r:id="rId137" display="https://poolhost.com/profootball/playerstats/1673761"/>
    <hyperlink ref="C159" r:id="rId138" display="https://poolhost.com/profootball/playerstats/1655447"/>
    <hyperlink ref="C160" r:id="rId139" display="https://poolhost.com/profootball/playerstats/1708805"/>
    <hyperlink ref="C161" r:id="rId140" display="https://poolhost.com/profootball/playerstats/1654500"/>
    <hyperlink ref="C162" r:id="rId141" display="https://poolhost.com/profootball/playerstats/1654603"/>
    <hyperlink ref="C163" r:id="rId142" display="https://poolhost.com/profootball/playerstats/1721401"/>
    <hyperlink ref="C164" r:id="rId143" display="https://poolhost.com/profootball/playerstats/1659846"/>
    <hyperlink ref="C165" r:id="rId144" display="https://poolhost.com/profootball/playerstats/1723980"/>
    <hyperlink ref="C166" r:id="rId145" display="https://poolhost.com/profootball/playerstats/1677370"/>
    <hyperlink ref="C167" r:id="rId146" display="https://poolhost.com/profootball/playerstats/1699660"/>
    <hyperlink ref="C168" r:id="rId147" display="https://poolhost.com/profootball/playerstats/1672167"/>
    <hyperlink ref="C169" r:id="rId148" display="https://poolhost.com/profootball/playerstats/1674022"/>
    <hyperlink ref="C170" r:id="rId149" display="https://poolhost.com/profootball/playerstats/1729491"/>
    <hyperlink ref="C171" r:id="rId150" display="https://poolhost.com/profootball/playerstats/1734172"/>
    <hyperlink ref="C172" r:id="rId151" display="https://poolhost.com/profootball/playerstats/1667376"/>
    <hyperlink ref="C173" r:id="rId152" display="https://poolhost.com/profootball/playerstats/1657801"/>
    <hyperlink ref="C174" r:id="rId153" display="https://poolhost.com/profootball/playerstats/1678377"/>
    <hyperlink ref="C175" r:id="rId154" display="https://poolhost.com/profootball/playerstats/1726326"/>
    <hyperlink ref="C176" r:id="rId155" display="https://poolhost.com/profootball/playerstats/1729314"/>
    <hyperlink ref="C177" r:id="rId156" display="https://poolhost.com/profootball/playerstats/1682884"/>
    <hyperlink ref="C178" r:id="rId157" display="https://poolhost.com/profootball/playerstats/1685256"/>
    <hyperlink ref="C179" r:id="rId158" display="https://poolhost.com/profootball/playerstats/1670484"/>
    <hyperlink ref="C180" r:id="rId159" display="https://poolhost.com/profootball/playerstats/1679667"/>
    <hyperlink ref="C181" r:id="rId160" display="https://poolhost.com/profootball/playerstats/1687892"/>
    <hyperlink ref="C182" r:id="rId161" display="https://poolhost.com/profootball/playerstats/1668628"/>
    <hyperlink ref="C183" r:id="rId162" display="https://poolhost.com/profootball/playerstats/1705249"/>
    <hyperlink ref="C184" r:id="rId163" display="https://poolhost.com/profootball/playerstats/173175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8"/>
  <sheetViews>
    <sheetView topLeftCell="M1" zoomScaleNormal="100" workbookViewId="0">
      <selection activeCell="X1" sqref="X1"/>
    </sheetView>
  </sheetViews>
  <sheetFormatPr defaultRowHeight="14.4" x14ac:dyDescent="0.3"/>
  <sheetData>
    <row r="1" spans="1:28" ht="15" thickBot="1" x14ac:dyDescent="0.35">
      <c r="A1" s="2" t="s">
        <v>0</v>
      </c>
      <c r="D1">
        <v>2</v>
      </c>
      <c r="E1">
        <f>D1+1</f>
        <v>3</v>
      </c>
      <c r="F1">
        <f t="shared" ref="F1:S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v>18</v>
      </c>
      <c r="U1">
        <v>19</v>
      </c>
      <c r="W1" s="16">
        <v>0</v>
      </c>
      <c r="X1" s="11">
        <f t="shared" ref="X1:X16" si="1">COUNTIF(T$16:T$199,W1)</f>
        <v>0</v>
      </c>
      <c r="Y1" s="20">
        <f>X1/SUM(X$1:X$14)</f>
        <v>0</v>
      </c>
      <c r="AA1" t="s">
        <v>227</v>
      </c>
    </row>
    <row r="2" spans="1:28" ht="15" thickBot="1" x14ac:dyDescent="0.35">
      <c r="A2" s="2" t="s">
        <v>1</v>
      </c>
      <c r="C2" t="s">
        <v>204</v>
      </c>
      <c r="E2" s="24" t="str">
        <f>IF(VLOOKUP($C2,$C$16:$AA$192,E$1,FALSE)=E$8,"Y","N")</f>
        <v>N</v>
      </c>
      <c r="F2" s="25" t="str">
        <f t="shared" ref="F2:S3" si="2">IF(VLOOKUP($C2,$C$16:$AA$192,F$1,FALSE)=F$8,"Y","N")</f>
        <v>Y</v>
      </c>
      <c r="G2" s="25" t="str">
        <f t="shared" si="2"/>
        <v>Y</v>
      </c>
      <c r="H2" s="25" t="str">
        <f t="shared" si="2"/>
        <v>N</v>
      </c>
      <c r="I2" s="25" t="str">
        <f t="shared" si="2"/>
        <v>N</v>
      </c>
      <c r="J2" s="25" t="str">
        <f t="shared" si="2"/>
        <v>N</v>
      </c>
      <c r="K2" s="25" t="str">
        <f t="shared" si="2"/>
        <v>Y</v>
      </c>
      <c r="L2" s="25" t="str">
        <f t="shared" si="2"/>
        <v>N</v>
      </c>
      <c r="M2" s="25" t="str">
        <f t="shared" si="2"/>
        <v>Y</v>
      </c>
      <c r="N2" s="25" t="str">
        <f t="shared" si="2"/>
        <v>N</v>
      </c>
      <c r="O2" s="25" t="str">
        <f t="shared" si="2"/>
        <v>Y</v>
      </c>
      <c r="P2" s="25" t="str">
        <f t="shared" si="2"/>
        <v>Y</v>
      </c>
      <c r="Q2" s="25" t="str">
        <f t="shared" si="2"/>
        <v>N</v>
      </c>
      <c r="R2" s="25" t="str">
        <f t="shared" si="2"/>
        <v>Y</v>
      </c>
      <c r="S2" s="26" t="str">
        <f t="shared" si="2"/>
        <v>Y</v>
      </c>
      <c r="T2" s="19">
        <f>VLOOKUP($C2,$C$16:$AA$192,T$1,FALSE)</f>
        <v>8</v>
      </c>
      <c r="U2" s="19">
        <f>VLOOKUP($C2,$C$16:$AA$192,U$1,FALSE)</f>
        <v>23</v>
      </c>
      <c r="W2" s="23">
        <v>1</v>
      </c>
      <c r="X2" s="12">
        <f t="shared" si="1"/>
        <v>0</v>
      </c>
      <c r="Y2" s="21">
        <f t="shared" ref="Y2:Y16" si="3">X2/SUM(X$1:X$14)</f>
        <v>0</v>
      </c>
      <c r="AA2">
        <v>0</v>
      </c>
      <c r="AB2">
        <f>COUNTIF(V$16:V$179,AA2)</f>
        <v>0</v>
      </c>
    </row>
    <row r="3" spans="1:28" ht="15" thickBot="1" x14ac:dyDescent="0.35">
      <c r="A3" s="2" t="s">
        <v>2</v>
      </c>
      <c r="C3" t="s">
        <v>162</v>
      </c>
      <c r="E3" s="13" t="str">
        <f t="shared" ref="E3" si="4">IF(VLOOKUP($C3,$C$16:$AA$192,E$1,FALSE)=E$8,"Y","N")</f>
        <v>Y</v>
      </c>
      <c r="F3" s="14" t="str">
        <f t="shared" si="2"/>
        <v>Y</v>
      </c>
      <c r="G3" s="14" t="str">
        <f t="shared" si="2"/>
        <v>Y</v>
      </c>
      <c r="H3" s="14" t="str">
        <f t="shared" si="2"/>
        <v>Y</v>
      </c>
      <c r="I3" s="14" t="str">
        <f t="shared" si="2"/>
        <v>N</v>
      </c>
      <c r="J3" s="14" t="str">
        <f t="shared" si="2"/>
        <v>N</v>
      </c>
      <c r="K3" s="14" t="str">
        <f t="shared" si="2"/>
        <v>Y</v>
      </c>
      <c r="L3" s="14" t="str">
        <f t="shared" si="2"/>
        <v>N</v>
      </c>
      <c r="M3" s="14" t="str">
        <f t="shared" si="2"/>
        <v>N</v>
      </c>
      <c r="N3" s="14" t="str">
        <f t="shared" si="2"/>
        <v>N</v>
      </c>
      <c r="O3" s="14" t="str">
        <f t="shared" si="2"/>
        <v>Y</v>
      </c>
      <c r="P3" s="14" t="str">
        <f t="shared" si="2"/>
        <v>N</v>
      </c>
      <c r="Q3" s="14" t="str">
        <f t="shared" si="2"/>
        <v>N</v>
      </c>
      <c r="R3" s="14" t="str">
        <f t="shared" si="2"/>
        <v>Y</v>
      </c>
      <c r="S3" s="15" t="str">
        <f t="shared" si="2"/>
        <v>N</v>
      </c>
      <c r="T3" s="18">
        <f>VLOOKUP($C3,$C$16:$AA$192,T$1,FALSE)</f>
        <v>7</v>
      </c>
      <c r="U3" s="18">
        <f>VLOOKUP($C3,$C$16:$AA$192,U$1,FALSE)</f>
        <v>25</v>
      </c>
      <c r="W3" s="23">
        <v>2</v>
      </c>
      <c r="X3" s="12">
        <f t="shared" si="1"/>
        <v>0</v>
      </c>
      <c r="Y3" s="21">
        <f t="shared" si="3"/>
        <v>0</v>
      </c>
      <c r="AA3">
        <v>1</v>
      </c>
      <c r="AB3">
        <f t="shared" ref="AB3:AB66" si="5">COUNTIF(V$16:V$179,AA3)</f>
        <v>0</v>
      </c>
    </row>
    <row r="4" spans="1:28" x14ac:dyDescent="0.3">
      <c r="A4" s="2" t="s">
        <v>3</v>
      </c>
      <c r="C4" t="s">
        <v>205</v>
      </c>
      <c r="E4" s="9">
        <f>E5/SUM(E5:E6)</f>
        <v>0.6380368098159509</v>
      </c>
      <c r="F4" s="9">
        <f t="shared" ref="F4:S4" si="6">F5/SUM(F5:F6)</f>
        <v>0.6073619631901841</v>
      </c>
      <c r="G4" s="9">
        <f t="shared" si="6"/>
        <v>0.53374233128834359</v>
      </c>
      <c r="H4" s="9">
        <f t="shared" si="6"/>
        <v>0.68711656441717794</v>
      </c>
      <c r="I4" s="9">
        <f t="shared" si="6"/>
        <v>0.57668711656441718</v>
      </c>
      <c r="J4" s="9">
        <f t="shared" si="6"/>
        <v>0.77300613496932513</v>
      </c>
      <c r="K4" s="9">
        <f t="shared" si="6"/>
        <v>0.46625766871165641</v>
      </c>
      <c r="L4" s="9">
        <f t="shared" si="6"/>
        <v>0.73619631901840488</v>
      </c>
      <c r="M4" s="9">
        <f t="shared" si="6"/>
        <v>0.65030674846625769</v>
      </c>
      <c r="N4" s="9">
        <f t="shared" si="6"/>
        <v>0.5214723926380368</v>
      </c>
      <c r="O4" s="9">
        <f t="shared" si="6"/>
        <v>0.3987730061349693</v>
      </c>
      <c r="P4" s="9">
        <f t="shared" si="6"/>
        <v>0.49079754601226994</v>
      </c>
      <c r="Q4" s="9">
        <f t="shared" si="6"/>
        <v>0.41717791411042943</v>
      </c>
      <c r="R4" s="9">
        <f t="shared" si="6"/>
        <v>0.77300613496932513</v>
      </c>
      <c r="S4" s="9">
        <f t="shared" si="6"/>
        <v>0.55828220858895705</v>
      </c>
      <c r="T4" s="10" t="s">
        <v>217</v>
      </c>
      <c r="U4" s="10" t="s">
        <v>218</v>
      </c>
      <c r="W4" s="23">
        <v>3</v>
      </c>
      <c r="X4" s="12">
        <f t="shared" si="1"/>
        <v>1</v>
      </c>
      <c r="Y4" s="21">
        <f t="shared" si="3"/>
        <v>6.1349693251533744E-3</v>
      </c>
      <c r="AA4">
        <v>2</v>
      </c>
      <c r="AB4">
        <f t="shared" si="5"/>
        <v>0</v>
      </c>
    </row>
    <row r="5" spans="1:28" x14ac:dyDescent="0.3">
      <c r="A5" s="2" t="s">
        <v>0</v>
      </c>
      <c r="C5" t="s">
        <v>202</v>
      </c>
      <c r="D5">
        <f t="shared" ref="D5:Q5" si="7">COUNTIF(D$16:D$197,D10)</f>
        <v>0</v>
      </c>
      <c r="E5" s="10">
        <f t="shared" si="7"/>
        <v>104</v>
      </c>
      <c r="F5" s="10">
        <f t="shared" si="7"/>
        <v>99</v>
      </c>
      <c r="G5" s="10">
        <f t="shared" si="7"/>
        <v>87</v>
      </c>
      <c r="H5" s="10">
        <f t="shared" si="7"/>
        <v>112</v>
      </c>
      <c r="I5" s="10">
        <f t="shared" si="7"/>
        <v>94</v>
      </c>
      <c r="J5" s="10">
        <f t="shared" si="7"/>
        <v>126</v>
      </c>
      <c r="K5" s="10">
        <f t="shared" si="7"/>
        <v>76</v>
      </c>
      <c r="L5" s="10">
        <f t="shared" si="7"/>
        <v>120</v>
      </c>
      <c r="M5" s="10">
        <f t="shared" si="7"/>
        <v>106</v>
      </c>
      <c r="N5" s="10">
        <f t="shared" si="7"/>
        <v>85</v>
      </c>
      <c r="O5" s="10">
        <f t="shared" si="7"/>
        <v>65</v>
      </c>
      <c r="P5" s="10">
        <f t="shared" si="7"/>
        <v>80</v>
      </c>
      <c r="Q5" s="10">
        <f t="shared" si="7"/>
        <v>68</v>
      </c>
      <c r="R5" s="10">
        <f t="shared" ref="R5:S5" si="8">COUNTIF(R$16:R$197,R10)</f>
        <v>126</v>
      </c>
      <c r="S5" s="10">
        <f t="shared" si="8"/>
        <v>91</v>
      </c>
      <c r="W5" s="23">
        <v>4</v>
      </c>
      <c r="X5" s="12">
        <f t="shared" si="1"/>
        <v>3</v>
      </c>
      <c r="Y5" s="21">
        <f t="shared" si="3"/>
        <v>1.8404907975460124E-2</v>
      </c>
      <c r="AA5">
        <v>3</v>
      </c>
      <c r="AB5">
        <f t="shared" si="5"/>
        <v>0</v>
      </c>
    </row>
    <row r="6" spans="1:28" ht="15" thickBot="1" x14ac:dyDescent="0.35">
      <c r="A6" s="2" t="s">
        <v>4</v>
      </c>
      <c r="C6" t="s">
        <v>203</v>
      </c>
      <c r="D6">
        <f t="shared" ref="D6:Q6" si="9">COUNTIF(D$16:D$197,D12)</f>
        <v>0</v>
      </c>
      <c r="E6" s="10">
        <f t="shared" si="9"/>
        <v>59</v>
      </c>
      <c r="F6" s="10">
        <f t="shared" si="9"/>
        <v>64</v>
      </c>
      <c r="G6" s="10">
        <f t="shared" si="9"/>
        <v>76</v>
      </c>
      <c r="H6" s="10">
        <f t="shared" si="9"/>
        <v>51</v>
      </c>
      <c r="I6" s="10">
        <f t="shared" si="9"/>
        <v>69</v>
      </c>
      <c r="J6" s="10">
        <f t="shared" si="9"/>
        <v>37</v>
      </c>
      <c r="K6" s="10">
        <f t="shared" si="9"/>
        <v>87</v>
      </c>
      <c r="L6" s="10">
        <f t="shared" si="9"/>
        <v>43</v>
      </c>
      <c r="M6" s="10">
        <f t="shared" si="9"/>
        <v>57</v>
      </c>
      <c r="N6" s="10">
        <f t="shared" si="9"/>
        <v>78</v>
      </c>
      <c r="O6" s="10">
        <f t="shared" si="9"/>
        <v>98</v>
      </c>
      <c r="P6" s="10">
        <f t="shared" si="9"/>
        <v>83</v>
      </c>
      <c r="Q6" s="10">
        <f t="shared" si="9"/>
        <v>95</v>
      </c>
      <c r="R6" s="10">
        <f t="shared" ref="R6:S6" si="10">COUNTIF(R$16:R$197,R12)</f>
        <v>37</v>
      </c>
      <c r="S6" s="10">
        <f t="shared" si="10"/>
        <v>72</v>
      </c>
      <c r="W6" s="23">
        <v>5</v>
      </c>
      <c r="X6" s="12">
        <f t="shared" si="1"/>
        <v>17</v>
      </c>
      <c r="Y6" s="21">
        <f t="shared" si="3"/>
        <v>0.10429447852760736</v>
      </c>
      <c r="AA6">
        <f>AA5+1</f>
        <v>4</v>
      </c>
      <c r="AB6">
        <f t="shared" si="5"/>
        <v>0</v>
      </c>
    </row>
    <row r="7" spans="1:28" ht="15" thickBot="1" x14ac:dyDescent="0.35">
      <c r="A7" s="2"/>
      <c r="C7" t="s">
        <v>213</v>
      </c>
      <c r="E7" s="28" t="str">
        <f>IF(AND(E10=E8,E4&gt;0.5),"Y",IF(AND(E10=E8,E4&lt;0.5),"N",IF(E4&gt;0.5,"Y","N")))</f>
        <v>Y</v>
      </c>
      <c r="F7" s="11" t="str">
        <f t="shared" ref="F7" si="11">IF(AND(F10=F8,F4&gt;0.5),"Y",IF(AND(F10=F8,F4&lt;0.5),"N",IF(F4&gt;0.5,"Y","N")))</f>
        <v>Y</v>
      </c>
      <c r="G7" s="11" t="str">
        <f>IF(AND(G10=G8,G4&gt;0.5),"Y",IF(AND(G10=G8,G4&lt;0.5),"N",IF(G4&lt;0.5,"Y","N")))</f>
        <v>Y</v>
      </c>
      <c r="H7" s="11" t="str">
        <f t="shared" ref="H7:S7" si="12">IF(AND(H10=H8,H4&gt;0.5),"Y",IF(AND(H10=H8,H4&lt;0.5),"N",IF(H4&lt;0.5,"Y","N")))</f>
        <v>N</v>
      </c>
      <c r="I7" s="11" t="str">
        <f t="shared" si="12"/>
        <v>Y</v>
      </c>
      <c r="J7" s="11" t="str">
        <f t="shared" si="12"/>
        <v>N</v>
      </c>
      <c r="K7" s="11" t="str">
        <f t="shared" si="12"/>
        <v>Y</v>
      </c>
      <c r="L7" s="11" t="str">
        <f t="shared" si="12"/>
        <v>N</v>
      </c>
      <c r="M7" s="11" t="str">
        <f t="shared" si="12"/>
        <v>Y</v>
      </c>
      <c r="N7" s="11" t="str">
        <f t="shared" si="12"/>
        <v>N</v>
      </c>
      <c r="O7" s="11" t="str">
        <f t="shared" si="12"/>
        <v>Y</v>
      </c>
      <c r="P7" s="11" t="str">
        <f t="shared" si="12"/>
        <v>N</v>
      </c>
      <c r="Q7" s="11" t="str">
        <f t="shared" si="12"/>
        <v>Y</v>
      </c>
      <c r="R7" s="11" t="str">
        <f t="shared" si="12"/>
        <v>Y</v>
      </c>
      <c r="S7" s="29" t="str">
        <f t="shared" si="12"/>
        <v>N</v>
      </c>
      <c r="T7" s="37" t="s">
        <v>220</v>
      </c>
      <c r="U7" s="38">
        <f>COUNTIF(E7:S7,"Y")</f>
        <v>9</v>
      </c>
      <c r="W7" s="23">
        <v>6</v>
      </c>
      <c r="X7" s="12">
        <f t="shared" si="1"/>
        <v>23</v>
      </c>
      <c r="Y7" s="21">
        <f t="shared" si="3"/>
        <v>0.1411042944785276</v>
      </c>
      <c r="AA7">
        <f t="shared" ref="AA7:AA70" si="13">AA6+1</f>
        <v>5</v>
      </c>
      <c r="AB7">
        <f t="shared" si="5"/>
        <v>0</v>
      </c>
    </row>
    <row r="8" spans="1:28" ht="15.6" customHeight="1" thickBot="1" x14ac:dyDescent="0.35">
      <c r="A8" s="2"/>
      <c r="C8" t="s">
        <v>212</v>
      </c>
      <c r="E8" s="30" t="s">
        <v>72</v>
      </c>
      <c r="F8" s="31" t="s">
        <v>63</v>
      </c>
      <c r="G8" s="31" t="s">
        <v>207</v>
      </c>
      <c r="H8" s="31" t="s">
        <v>60</v>
      </c>
      <c r="I8" s="31" t="s">
        <v>67</v>
      </c>
      <c r="J8" s="31" t="s">
        <v>64</v>
      </c>
      <c r="K8" s="31" t="s">
        <v>54</v>
      </c>
      <c r="L8" s="31" t="s">
        <v>68</v>
      </c>
      <c r="M8" s="31" t="s">
        <v>47</v>
      </c>
      <c r="N8" s="31" t="s">
        <v>71</v>
      </c>
      <c r="O8" s="31" t="s">
        <v>52</v>
      </c>
      <c r="P8" s="31" t="s">
        <v>209</v>
      </c>
      <c r="Q8" s="31" t="s">
        <v>210</v>
      </c>
      <c r="R8" s="31" t="s">
        <v>75</v>
      </c>
      <c r="S8" s="32" t="s">
        <v>53</v>
      </c>
      <c r="W8" s="23">
        <v>7</v>
      </c>
      <c r="X8" s="12">
        <f t="shared" si="1"/>
        <v>39</v>
      </c>
      <c r="Y8" s="21">
        <f t="shared" si="3"/>
        <v>0.2392638036809816</v>
      </c>
      <c r="AA8">
        <f t="shared" si="13"/>
        <v>6</v>
      </c>
      <c r="AB8">
        <f t="shared" si="5"/>
        <v>0</v>
      </c>
    </row>
    <row r="9" spans="1:28" x14ac:dyDescent="0.3">
      <c r="A9" s="47" t="s">
        <v>46</v>
      </c>
      <c r="B9" s="47"/>
      <c r="C9" s="2" t="s">
        <v>0</v>
      </c>
      <c r="D9" s="7">
        <v>24</v>
      </c>
      <c r="E9" s="7">
        <v>15</v>
      </c>
      <c r="F9" s="7">
        <v>21</v>
      </c>
      <c r="G9" s="7">
        <v>34</v>
      </c>
      <c r="H9" s="7">
        <v>12</v>
      </c>
      <c r="I9" s="7">
        <v>20</v>
      </c>
      <c r="J9" s="7">
        <v>7</v>
      </c>
      <c r="K9" s="7">
        <v>14</v>
      </c>
      <c r="L9" s="7">
        <v>22</v>
      </c>
      <c r="M9" s="7">
        <v>24</v>
      </c>
      <c r="N9" s="7">
        <v>13</v>
      </c>
      <c r="O9" s="7">
        <v>25</v>
      </c>
      <c r="P9" s="7">
        <v>27</v>
      </c>
      <c r="Q9" s="7">
        <v>17</v>
      </c>
      <c r="R9" s="7">
        <v>47</v>
      </c>
      <c r="S9" s="7">
        <v>33</v>
      </c>
      <c r="T9" s="47" t="s">
        <v>76</v>
      </c>
      <c r="U9" s="47" t="s">
        <v>77</v>
      </c>
      <c r="V9" s="8" t="s">
        <v>215</v>
      </c>
      <c r="W9" s="34">
        <v>8</v>
      </c>
      <c r="X9" s="35">
        <f t="shared" si="1"/>
        <v>40</v>
      </c>
      <c r="Y9" s="36">
        <f t="shared" si="3"/>
        <v>0.24539877300613497</v>
      </c>
      <c r="AA9">
        <f t="shared" si="13"/>
        <v>7</v>
      </c>
      <c r="AB9">
        <f t="shared" si="5"/>
        <v>1</v>
      </c>
    </row>
    <row r="10" spans="1:28" x14ac:dyDescent="0.3">
      <c r="A10" s="47"/>
      <c r="B10" s="47"/>
      <c r="C10" s="2" t="s">
        <v>1</v>
      </c>
      <c r="D10" s="7" t="s">
        <v>74</v>
      </c>
      <c r="E10" s="7" t="s">
        <v>61</v>
      </c>
      <c r="F10" s="7" t="s">
        <v>63</v>
      </c>
      <c r="G10" s="7" t="s">
        <v>207</v>
      </c>
      <c r="H10" s="7" t="s">
        <v>58</v>
      </c>
      <c r="I10" s="7" t="s">
        <v>67</v>
      </c>
      <c r="J10" s="7" t="s">
        <v>59</v>
      </c>
      <c r="K10" s="7" t="s">
        <v>62</v>
      </c>
      <c r="L10" s="7" t="s">
        <v>66</v>
      </c>
      <c r="M10" s="7" t="s">
        <v>47</v>
      </c>
      <c r="N10" s="7" t="s">
        <v>55</v>
      </c>
      <c r="O10" s="7" t="s">
        <v>70</v>
      </c>
      <c r="P10" s="7" t="s">
        <v>209</v>
      </c>
      <c r="Q10" s="7" t="s">
        <v>69</v>
      </c>
      <c r="R10" s="7" t="s">
        <v>75</v>
      </c>
      <c r="S10" s="7" t="s">
        <v>73</v>
      </c>
      <c r="T10" s="47"/>
      <c r="U10" s="47"/>
      <c r="V10" s="8" t="s">
        <v>77</v>
      </c>
      <c r="W10" s="23">
        <v>9</v>
      </c>
      <c r="X10" s="12">
        <f t="shared" si="1"/>
        <v>24</v>
      </c>
      <c r="Y10" s="21">
        <f t="shared" si="3"/>
        <v>0.14723926380368099</v>
      </c>
      <c r="AA10">
        <f t="shared" si="13"/>
        <v>8</v>
      </c>
      <c r="AB10">
        <f t="shared" si="5"/>
        <v>0</v>
      </c>
    </row>
    <row r="11" spans="1:28" x14ac:dyDescent="0.3">
      <c r="A11" s="47"/>
      <c r="B11" s="47"/>
      <c r="C11" s="2" t="s">
        <v>2</v>
      </c>
      <c r="D11" s="7">
        <v>-6.5</v>
      </c>
      <c r="E11" s="7">
        <v>-6.5</v>
      </c>
      <c r="F11" s="7">
        <v>-1.5</v>
      </c>
      <c r="G11" s="7">
        <v>2.5</v>
      </c>
      <c r="H11" s="7">
        <v>-1.5</v>
      </c>
      <c r="I11" s="7">
        <v>-2</v>
      </c>
      <c r="J11" s="7">
        <v>-6.5</v>
      </c>
      <c r="K11" s="7">
        <v>-2.5</v>
      </c>
      <c r="L11" s="7">
        <v>-5.5</v>
      </c>
      <c r="M11" s="7">
        <v>-5.5</v>
      </c>
      <c r="N11" s="7">
        <v>3</v>
      </c>
      <c r="O11" s="7">
        <v>1</v>
      </c>
      <c r="P11" s="7">
        <v>7.5</v>
      </c>
      <c r="Q11" s="7">
        <v>4.5</v>
      </c>
      <c r="R11" s="7">
        <v>-5.5</v>
      </c>
      <c r="S11" s="7">
        <v>-8</v>
      </c>
      <c r="T11" s="47"/>
      <c r="U11" s="47"/>
      <c r="V11" s="8">
        <v>-71</v>
      </c>
      <c r="W11" s="23">
        <v>10</v>
      </c>
      <c r="X11" s="12">
        <f t="shared" si="1"/>
        <v>12</v>
      </c>
      <c r="Y11" s="21">
        <f t="shared" si="3"/>
        <v>7.3619631901840496E-2</v>
      </c>
      <c r="AA11">
        <f t="shared" si="13"/>
        <v>9</v>
      </c>
      <c r="AB11">
        <f t="shared" si="5"/>
        <v>1</v>
      </c>
    </row>
    <row r="12" spans="1:28" x14ac:dyDescent="0.3">
      <c r="A12" s="47"/>
      <c r="B12" s="47"/>
      <c r="C12" s="2" t="s">
        <v>3</v>
      </c>
      <c r="D12" s="7" t="s">
        <v>56</v>
      </c>
      <c r="E12" s="7" t="s">
        <v>72</v>
      </c>
      <c r="F12" s="7" t="s">
        <v>50</v>
      </c>
      <c r="G12" s="7" t="s">
        <v>57</v>
      </c>
      <c r="H12" s="7" t="s">
        <v>60</v>
      </c>
      <c r="I12" s="7" t="s">
        <v>65</v>
      </c>
      <c r="J12" s="7" t="s">
        <v>64</v>
      </c>
      <c r="K12" s="7" t="s">
        <v>54</v>
      </c>
      <c r="L12" s="7" t="s">
        <v>68</v>
      </c>
      <c r="M12" s="7" t="s">
        <v>208</v>
      </c>
      <c r="N12" s="7" t="s">
        <v>71</v>
      </c>
      <c r="O12" s="7" t="s">
        <v>52</v>
      </c>
      <c r="P12" s="7" t="s">
        <v>48</v>
      </c>
      <c r="Q12" s="7" t="s">
        <v>210</v>
      </c>
      <c r="R12" s="7" t="s">
        <v>51</v>
      </c>
      <c r="S12" s="7" t="s">
        <v>53</v>
      </c>
      <c r="T12" s="47"/>
      <c r="U12" s="47"/>
      <c r="V12" s="8"/>
      <c r="W12" s="23">
        <v>11</v>
      </c>
      <c r="X12" s="12">
        <f t="shared" si="1"/>
        <v>3</v>
      </c>
      <c r="Y12" s="21">
        <f t="shared" si="3"/>
        <v>1.8404907975460124E-2</v>
      </c>
      <c r="AA12">
        <f t="shared" si="13"/>
        <v>10</v>
      </c>
      <c r="AB12">
        <f t="shared" si="5"/>
        <v>0</v>
      </c>
    </row>
    <row r="13" spans="1:28" x14ac:dyDescent="0.3">
      <c r="A13" s="47"/>
      <c r="B13" s="47"/>
      <c r="C13" s="2" t="s">
        <v>0</v>
      </c>
      <c r="D13" s="7">
        <v>3</v>
      </c>
      <c r="E13" s="7">
        <v>21</v>
      </c>
      <c r="F13" s="7">
        <v>16</v>
      </c>
      <c r="G13" s="7">
        <v>7</v>
      </c>
      <c r="H13" s="7">
        <v>15</v>
      </c>
      <c r="I13" s="7">
        <v>10</v>
      </c>
      <c r="J13" s="7">
        <v>26</v>
      </c>
      <c r="K13" s="7">
        <v>30</v>
      </c>
      <c r="L13" s="7">
        <v>36</v>
      </c>
      <c r="M13" s="7">
        <v>3</v>
      </c>
      <c r="N13" s="7">
        <v>20</v>
      </c>
      <c r="O13" s="7">
        <v>28</v>
      </c>
      <c r="P13" s="7">
        <v>24</v>
      </c>
      <c r="Q13" s="7">
        <v>22</v>
      </c>
      <c r="R13" s="7">
        <v>10</v>
      </c>
      <c r="S13" s="7">
        <v>38</v>
      </c>
      <c r="T13" s="47"/>
      <c r="U13" s="47"/>
      <c r="V13" s="8"/>
      <c r="W13" s="23">
        <v>12</v>
      </c>
      <c r="X13" s="12">
        <f t="shared" si="1"/>
        <v>1</v>
      </c>
      <c r="Y13" s="21">
        <f t="shared" si="3"/>
        <v>6.1349693251533744E-3</v>
      </c>
      <c r="AA13">
        <f t="shared" si="13"/>
        <v>11</v>
      </c>
      <c r="AB13">
        <f t="shared" si="5"/>
        <v>0</v>
      </c>
    </row>
    <row r="14" spans="1:28" x14ac:dyDescent="0.3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47"/>
      <c r="U14" s="47"/>
      <c r="V14" s="8"/>
      <c r="W14" s="23">
        <v>13</v>
      </c>
      <c r="X14" s="12">
        <f t="shared" si="1"/>
        <v>0</v>
      </c>
      <c r="Y14" s="21">
        <f t="shared" si="3"/>
        <v>0</v>
      </c>
      <c r="AA14">
        <f t="shared" si="13"/>
        <v>12</v>
      </c>
      <c r="AB14">
        <f t="shared" si="5"/>
        <v>0</v>
      </c>
    </row>
    <row r="15" spans="1:28" x14ac:dyDescent="0.3">
      <c r="A15" s="47"/>
      <c r="B15" s="47"/>
      <c r="C15" s="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47"/>
      <c r="U15" s="47"/>
      <c r="V15" s="8"/>
      <c r="W15" s="23">
        <v>14</v>
      </c>
      <c r="X15" s="12">
        <f t="shared" si="1"/>
        <v>0</v>
      </c>
      <c r="Y15" s="21">
        <f t="shared" si="3"/>
        <v>0</v>
      </c>
      <c r="AA15">
        <f t="shared" si="13"/>
        <v>13</v>
      </c>
      <c r="AB15">
        <f t="shared" si="5"/>
        <v>0</v>
      </c>
    </row>
    <row r="16" spans="1:28" ht="15" thickBot="1" x14ac:dyDescent="0.35">
      <c r="A16" s="3">
        <v>1</v>
      </c>
      <c r="B16" s="4"/>
      <c r="C16" s="6" t="s">
        <v>85</v>
      </c>
      <c r="D16" s="5"/>
      <c r="E16" s="5" t="s">
        <v>72</v>
      </c>
      <c r="F16" s="5" t="s">
        <v>50</v>
      </c>
      <c r="G16" s="5" t="s">
        <v>207</v>
      </c>
      <c r="H16" s="5" t="s">
        <v>58</v>
      </c>
      <c r="I16" s="5" t="s">
        <v>67</v>
      </c>
      <c r="J16" s="5" t="s">
        <v>59</v>
      </c>
      <c r="K16" s="5" t="s">
        <v>54</v>
      </c>
      <c r="L16" s="5" t="s">
        <v>68</v>
      </c>
      <c r="M16" s="5" t="s">
        <v>47</v>
      </c>
      <c r="N16" s="5" t="s">
        <v>71</v>
      </c>
      <c r="O16" s="5" t="s">
        <v>52</v>
      </c>
      <c r="P16" s="5" t="s">
        <v>209</v>
      </c>
      <c r="Q16" s="5" t="s">
        <v>210</v>
      </c>
      <c r="R16" s="5" t="s">
        <v>75</v>
      </c>
      <c r="S16" s="5" t="s">
        <v>53</v>
      </c>
      <c r="T16" s="1">
        <v>12</v>
      </c>
      <c r="U16" s="1">
        <v>28</v>
      </c>
      <c r="V16" s="1">
        <v>42</v>
      </c>
      <c r="W16" s="17">
        <v>15</v>
      </c>
      <c r="X16" s="14">
        <f t="shared" si="1"/>
        <v>0</v>
      </c>
      <c r="Y16" s="22">
        <f t="shared" si="3"/>
        <v>0</v>
      </c>
      <c r="AA16">
        <f t="shared" si="13"/>
        <v>14</v>
      </c>
      <c r="AB16">
        <f t="shared" si="5"/>
        <v>0</v>
      </c>
    </row>
    <row r="17" spans="1:28" ht="28.8" x14ac:dyDescent="0.3">
      <c r="A17" s="3">
        <v>2</v>
      </c>
      <c r="B17" s="4"/>
      <c r="C17" s="6" t="s">
        <v>108</v>
      </c>
      <c r="D17" s="5"/>
      <c r="E17" s="5" t="s">
        <v>61</v>
      </c>
      <c r="F17" s="5" t="s">
        <v>63</v>
      </c>
      <c r="G17" s="5" t="s">
        <v>207</v>
      </c>
      <c r="H17" s="5" t="s">
        <v>58</v>
      </c>
      <c r="I17" s="5" t="s">
        <v>67</v>
      </c>
      <c r="J17" s="5" t="s">
        <v>59</v>
      </c>
      <c r="K17" s="5" t="s">
        <v>54</v>
      </c>
      <c r="L17" s="5" t="s">
        <v>66</v>
      </c>
      <c r="M17" s="5" t="s">
        <v>47</v>
      </c>
      <c r="N17" s="5" t="s">
        <v>71</v>
      </c>
      <c r="O17" s="5" t="s">
        <v>52</v>
      </c>
      <c r="P17" s="5" t="s">
        <v>209</v>
      </c>
      <c r="Q17" s="5" t="s">
        <v>210</v>
      </c>
      <c r="R17" s="5" t="s">
        <v>75</v>
      </c>
      <c r="S17" s="5" t="s">
        <v>53</v>
      </c>
      <c r="T17" s="1">
        <v>11</v>
      </c>
      <c r="U17" s="1">
        <v>26</v>
      </c>
      <c r="V17" s="1">
        <v>43</v>
      </c>
      <c r="AA17">
        <f t="shared" si="13"/>
        <v>15</v>
      </c>
      <c r="AB17">
        <f t="shared" si="5"/>
        <v>0</v>
      </c>
    </row>
    <row r="18" spans="1:28" ht="28.8" x14ac:dyDescent="0.3">
      <c r="A18" s="3">
        <v>3</v>
      </c>
      <c r="B18" s="4"/>
      <c r="C18" s="6" t="s">
        <v>90</v>
      </c>
      <c r="D18" s="5"/>
      <c r="E18" s="5" t="s">
        <v>61</v>
      </c>
      <c r="F18" s="5" t="s">
        <v>50</v>
      </c>
      <c r="G18" s="5" t="s">
        <v>207</v>
      </c>
      <c r="H18" s="5" t="s">
        <v>60</v>
      </c>
      <c r="I18" s="5" t="s">
        <v>67</v>
      </c>
      <c r="J18" s="5" t="s">
        <v>64</v>
      </c>
      <c r="K18" s="5" t="s">
        <v>54</v>
      </c>
      <c r="L18" s="5" t="s">
        <v>66</v>
      </c>
      <c r="M18" s="5" t="s">
        <v>47</v>
      </c>
      <c r="N18" s="5" t="s">
        <v>55</v>
      </c>
      <c r="O18" s="5" t="s">
        <v>52</v>
      </c>
      <c r="P18" s="5" t="s">
        <v>209</v>
      </c>
      <c r="Q18" s="5" t="s">
        <v>210</v>
      </c>
      <c r="R18" s="5" t="s">
        <v>75</v>
      </c>
      <c r="S18" s="5" t="s">
        <v>53</v>
      </c>
      <c r="T18" s="1">
        <v>11</v>
      </c>
      <c r="U18" s="1">
        <v>24</v>
      </c>
      <c r="V18" s="1">
        <v>41</v>
      </c>
      <c r="AA18">
        <f t="shared" si="13"/>
        <v>16</v>
      </c>
      <c r="AB18">
        <f t="shared" si="5"/>
        <v>0</v>
      </c>
    </row>
    <row r="19" spans="1:28" ht="28.8" x14ac:dyDescent="0.3">
      <c r="A19" s="3">
        <v>4</v>
      </c>
      <c r="B19" s="4"/>
      <c r="C19" s="6" t="s">
        <v>80</v>
      </c>
      <c r="D19" s="5"/>
      <c r="E19" s="5" t="s">
        <v>72</v>
      </c>
      <c r="F19" s="5" t="s">
        <v>63</v>
      </c>
      <c r="G19" s="5" t="s">
        <v>207</v>
      </c>
      <c r="H19" s="5" t="s">
        <v>58</v>
      </c>
      <c r="I19" s="5" t="s">
        <v>67</v>
      </c>
      <c r="J19" s="5" t="s">
        <v>59</v>
      </c>
      <c r="K19" s="5" t="s">
        <v>54</v>
      </c>
      <c r="L19" s="5" t="s">
        <v>68</v>
      </c>
      <c r="M19" s="5" t="s">
        <v>208</v>
      </c>
      <c r="N19" s="5" t="s">
        <v>71</v>
      </c>
      <c r="O19" s="5" t="s">
        <v>52</v>
      </c>
      <c r="P19" s="5" t="s">
        <v>209</v>
      </c>
      <c r="Q19" s="5" t="s">
        <v>69</v>
      </c>
      <c r="R19" s="5" t="s">
        <v>75</v>
      </c>
      <c r="S19" s="5" t="s">
        <v>53</v>
      </c>
      <c r="T19" s="1">
        <v>11</v>
      </c>
      <c r="U19" s="1">
        <v>25</v>
      </c>
      <c r="V19" s="1">
        <v>40</v>
      </c>
      <c r="AA19">
        <f t="shared" si="13"/>
        <v>17</v>
      </c>
      <c r="AB19">
        <f t="shared" si="5"/>
        <v>0</v>
      </c>
    </row>
    <row r="20" spans="1:28" ht="28.8" x14ac:dyDescent="0.3">
      <c r="A20" s="3">
        <v>5</v>
      </c>
      <c r="B20" s="4"/>
      <c r="C20" s="6" t="s">
        <v>139</v>
      </c>
      <c r="D20" s="5"/>
      <c r="E20" s="5" t="s">
        <v>61</v>
      </c>
      <c r="F20" s="5" t="s">
        <v>63</v>
      </c>
      <c r="G20" s="5" t="s">
        <v>207</v>
      </c>
      <c r="H20" s="5" t="s">
        <v>60</v>
      </c>
      <c r="I20" s="5" t="s">
        <v>67</v>
      </c>
      <c r="J20" s="5" t="s">
        <v>59</v>
      </c>
      <c r="K20" s="5" t="s">
        <v>54</v>
      </c>
      <c r="L20" s="5" t="s">
        <v>66</v>
      </c>
      <c r="M20" s="5" t="s">
        <v>47</v>
      </c>
      <c r="N20" s="5" t="s">
        <v>55</v>
      </c>
      <c r="O20" s="5" t="s">
        <v>52</v>
      </c>
      <c r="P20" s="5" t="s">
        <v>48</v>
      </c>
      <c r="Q20" s="5" t="s">
        <v>210</v>
      </c>
      <c r="R20" s="5" t="s">
        <v>75</v>
      </c>
      <c r="S20" s="5" t="s">
        <v>53</v>
      </c>
      <c r="T20" s="1">
        <v>10</v>
      </c>
      <c r="U20" s="1">
        <v>22</v>
      </c>
      <c r="V20" s="1">
        <v>52</v>
      </c>
      <c r="AA20">
        <f t="shared" si="13"/>
        <v>18</v>
      </c>
      <c r="AB20">
        <f t="shared" si="5"/>
        <v>0</v>
      </c>
    </row>
    <row r="21" spans="1:28" x14ac:dyDescent="0.3">
      <c r="A21" s="3">
        <v>6</v>
      </c>
      <c r="B21" s="4"/>
      <c r="C21" s="6" t="s">
        <v>118</v>
      </c>
      <c r="D21" s="5"/>
      <c r="E21" s="5" t="s">
        <v>61</v>
      </c>
      <c r="F21" s="5" t="s">
        <v>63</v>
      </c>
      <c r="G21" s="5" t="s">
        <v>207</v>
      </c>
      <c r="H21" s="5" t="s">
        <v>58</v>
      </c>
      <c r="I21" s="5" t="s">
        <v>67</v>
      </c>
      <c r="J21" s="5" t="s">
        <v>59</v>
      </c>
      <c r="K21" s="5" t="s">
        <v>54</v>
      </c>
      <c r="L21" s="5" t="s">
        <v>66</v>
      </c>
      <c r="M21" s="5" t="s">
        <v>47</v>
      </c>
      <c r="N21" s="5" t="s">
        <v>55</v>
      </c>
      <c r="O21" s="5" t="s">
        <v>52</v>
      </c>
      <c r="P21" s="5" t="s">
        <v>209</v>
      </c>
      <c r="Q21" s="5" t="s">
        <v>210</v>
      </c>
      <c r="R21" s="5" t="s">
        <v>75</v>
      </c>
      <c r="S21" s="5" t="s">
        <v>53</v>
      </c>
      <c r="T21" s="1">
        <v>10</v>
      </c>
      <c r="U21" s="1">
        <v>24</v>
      </c>
      <c r="V21" s="1">
        <v>52</v>
      </c>
      <c r="AA21">
        <f t="shared" si="13"/>
        <v>19</v>
      </c>
      <c r="AB21">
        <f t="shared" si="5"/>
        <v>1</v>
      </c>
    </row>
    <row r="22" spans="1:28" x14ac:dyDescent="0.3">
      <c r="A22" s="3">
        <v>7</v>
      </c>
      <c r="B22" s="4"/>
      <c r="C22" s="6" t="s">
        <v>106</v>
      </c>
      <c r="D22" s="5"/>
      <c r="E22" s="5" t="s">
        <v>72</v>
      </c>
      <c r="F22" s="5" t="s">
        <v>50</v>
      </c>
      <c r="G22" s="5" t="s">
        <v>207</v>
      </c>
      <c r="H22" s="5" t="s">
        <v>60</v>
      </c>
      <c r="I22" s="5" t="s">
        <v>67</v>
      </c>
      <c r="J22" s="5" t="s">
        <v>64</v>
      </c>
      <c r="K22" s="5" t="s">
        <v>54</v>
      </c>
      <c r="L22" s="5" t="s">
        <v>66</v>
      </c>
      <c r="M22" s="5" t="s">
        <v>208</v>
      </c>
      <c r="N22" s="5" t="s">
        <v>71</v>
      </c>
      <c r="O22" s="5" t="s">
        <v>70</v>
      </c>
      <c r="P22" s="5" t="s">
        <v>209</v>
      </c>
      <c r="Q22" s="5" t="s">
        <v>210</v>
      </c>
      <c r="R22" s="5" t="s">
        <v>51</v>
      </c>
      <c r="S22" s="5" t="s">
        <v>53</v>
      </c>
      <c r="T22" s="1">
        <v>10</v>
      </c>
      <c r="U22" s="1">
        <v>26</v>
      </c>
      <c r="V22" s="1">
        <v>45</v>
      </c>
      <c r="AA22">
        <f t="shared" si="13"/>
        <v>20</v>
      </c>
      <c r="AB22">
        <f t="shared" si="5"/>
        <v>0</v>
      </c>
    </row>
    <row r="23" spans="1:28" ht="28.8" x14ac:dyDescent="0.3">
      <c r="A23" s="3">
        <v>8</v>
      </c>
      <c r="B23" s="4"/>
      <c r="C23" s="6" t="s">
        <v>179</v>
      </c>
      <c r="D23" s="5"/>
      <c r="E23" s="5" t="s">
        <v>61</v>
      </c>
      <c r="F23" s="5" t="s">
        <v>50</v>
      </c>
      <c r="G23" s="5" t="s">
        <v>207</v>
      </c>
      <c r="H23" s="5" t="s">
        <v>60</v>
      </c>
      <c r="I23" s="5" t="s">
        <v>67</v>
      </c>
      <c r="J23" s="5" t="s">
        <v>64</v>
      </c>
      <c r="K23" s="5" t="s">
        <v>54</v>
      </c>
      <c r="L23" s="5" t="s">
        <v>68</v>
      </c>
      <c r="M23" s="5" t="s">
        <v>208</v>
      </c>
      <c r="N23" s="5" t="s">
        <v>55</v>
      </c>
      <c r="O23" s="5" t="s">
        <v>52</v>
      </c>
      <c r="P23" s="5" t="s">
        <v>209</v>
      </c>
      <c r="Q23" s="5" t="s">
        <v>69</v>
      </c>
      <c r="R23" s="5" t="s">
        <v>75</v>
      </c>
      <c r="S23" s="5" t="s">
        <v>53</v>
      </c>
      <c r="T23" s="1">
        <v>10</v>
      </c>
      <c r="U23" s="1">
        <v>19</v>
      </c>
      <c r="V23" s="1">
        <v>45</v>
      </c>
      <c r="AA23">
        <f t="shared" si="13"/>
        <v>21</v>
      </c>
      <c r="AB23">
        <f t="shared" si="5"/>
        <v>0</v>
      </c>
    </row>
    <row r="24" spans="1:28" x14ac:dyDescent="0.3">
      <c r="A24" s="3">
        <v>9</v>
      </c>
      <c r="B24" s="4"/>
      <c r="C24" s="6" t="s">
        <v>173</v>
      </c>
      <c r="D24" s="5"/>
      <c r="E24" s="5" t="s">
        <v>72</v>
      </c>
      <c r="F24" s="5" t="s">
        <v>63</v>
      </c>
      <c r="G24" s="5" t="s">
        <v>207</v>
      </c>
      <c r="H24" s="5" t="s">
        <v>58</v>
      </c>
      <c r="I24" s="5" t="s">
        <v>67</v>
      </c>
      <c r="J24" s="5" t="s">
        <v>64</v>
      </c>
      <c r="K24" s="5" t="s">
        <v>54</v>
      </c>
      <c r="L24" s="5" t="s">
        <v>66</v>
      </c>
      <c r="M24" s="5" t="s">
        <v>208</v>
      </c>
      <c r="N24" s="5" t="s">
        <v>55</v>
      </c>
      <c r="O24" s="5" t="s">
        <v>52</v>
      </c>
      <c r="P24" s="5" t="s">
        <v>209</v>
      </c>
      <c r="Q24" s="5" t="s">
        <v>69</v>
      </c>
      <c r="R24" s="5" t="s">
        <v>75</v>
      </c>
      <c r="S24" s="5" t="s">
        <v>53</v>
      </c>
      <c r="T24" s="1">
        <v>10</v>
      </c>
      <c r="U24" s="1">
        <v>25</v>
      </c>
      <c r="V24" s="1">
        <v>45</v>
      </c>
      <c r="AA24">
        <f t="shared" si="13"/>
        <v>22</v>
      </c>
      <c r="AB24">
        <f t="shared" si="5"/>
        <v>1</v>
      </c>
    </row>
    <row r="25" spans="1:28" x14ac:dyDescent="0.3">
      <c r="A25" s="3">
        <v>10</v>
      </c>
      <c r="B25" s="4"/>
      <c r="C25" s="6" t="s">
        <v>168</v>
      </c>
      <c r="D25" s="5"/>
      <c r="E25" s="5" t="s">
        <v>72</v>
      </c>
      <c r="F25" s="5" t="s">
        <v>63</v>
      </c>
      <c r="G25" s="5" t="s">
        <v>207</v>
      </c>
      <c r="H25" s="5" t="s">
        <v>58</v>
      </c>
      <c r="I25" s="5" t="s">
        <v>65</v>
      </c>
      <c r="J25" s="5" t="s">
        <v>64</v>
      </c>
      <c r="K25" s="5" t="s">
        <v>54</v>
      </c>
      <c r="L25" s="5" t="s">
        <v>68</v>
      </c>
      <c r="M25" s="5" t="s">
        <v>47</v>
      </c>
      <c r="N25" s="5" t="s">
        <v>71</v>
      </c>
      <c r="O25" s="5" t="s">
        <v>70</v>
      </c>
      <c r="P25" s="5" t="s">
        <v>48</v>
      </c>
      <c r="Q25" s="5" t="s">
        <v>210</v>
      </c>
      <c r="R25" s="5" t="s">
        <v>51</v>
      </c>
      <c r="S25" s="5" t="s">
        <v>53</v>
      </c>
      <c r="T25" s="1">
        <v>10</v>
      </c>
      <c r="U25" s="1">
        <v>28</v>
      </c>
      <c r="V25" s="1">
        <v>44</v>
      </c>
      <c r="AA25">
        <f t="shared" si="13"/>
        <v>23</v>
      </c>
      <c r="AB25">
        <f t="shared" si="5"/>
        <v>0</v>
      </c>
    </row>
    <row r="26" spans="1:28" x14ac:dyDescent="0.3">
      <c r="A26" s="3">
        <v>11</v>
      </c>
      <c r="B26" s="4"/>
      <c r="C26" s="6" t="s">
        <v>13</v>
      </c>
      <c r="D26" s="5"/>
      <c r="E26" s="5" t="s">
        <v>72</v>
      </c>
      <c r="F26" s="5" t="s">
        <v>63</v>
      </c>
      <c r="G26" s="5" t="s">
        <v>207</v>
      </c>
      <c r="H26" s="5" t="s">
        <v>58</v>
      </c>
      <c r="I26" s="5" t="s">
        <v>67</v>
      </c>
      <c r="J26" s="5" t="s">
        <v>64</v>
      </c>
      <c r="K26" s="5" t="s">
        <v>54</v>
      </c>
      <c r="L26" s="5" t="s">
        <v>66</v>
      </c>
      <c r="M26" s="5" t="s">
        <v>47</v>
      </c>
      <c r="N26" s="5" t="s">
        <v>55</v>
      </c>
      <c r="O26" s="5" t="s">
        <v>52</v>
      </c>
      <c r="P26" s="5" t="s">
        <v>209</v>
      </c>
      <c r="Q26" s="5" t="s">
        <v>69</v>
      </c>
      <c r="R26" s="5" t="s">
        <v>75</v>
      </c>
      <c r="S26" s="5" t="s">
        <v>73</v>
      </c>
      <c r="T26" s="1">
        <v>10</v>
      </c>
      <c r="U26" s="1">
        <v>26</v>
      </c>
      <c r="V26" s="1">
        <v>44</v>
      </c>
      <c r="AA26">
        <f t="shared" si="13"/>
        <v>24</v>
      </c>
      <c r="AB26">
        <f t="shared" si="5"/>
        <v>2</v>
      </c>
    </row>
    <row r="27" spans="1:28" ht="28.8" x14ac:dyDescent="0.3">
      <c r="A27" s="3">
        <v>12</v>
      </c>
      <c r="B27" s="4"/>
      <c r="C27" s="6" t="s">
        <v>143</v>
      </c>
      <c r="D27" s="5"/>
      <c r="E27" s="5" t="s">
        <v>72</v>
      </c>
      <c r="F27" s="5" t="s">
        <v>63</v>
      </c>
      <c r="G27" s="5" t="s">
        <v>57</v>
      </c>
      <c r="H27" s="5" t="s">
        <v>58</v>
      </c>
      <c r="I27" s="5" t="s">
        <v>67</v>
      </c>
      <c r="J27" s="5" t="s">
        <v>59</v>
      </c>
      <c r="K27" s="5" t="s">
        <v>54</v>
      </c>
      <c r="L27" s="5" t="s">
        <v>66</v>
      </c>
      <c r="M27" s="5" t="s">
        <v>47</v>
      </c>
      <c r="N27" s="5" t="s">
        <v>71</v>
      </c>
      <c r="O27" s="5" t="s">
        <v>52</v>
      </c>
      <c r="P27" s="5" t="s">
        <v>209</v>
      </c>
      <c r="Q27" s="5" t="s">
        <v>69</v>
      </c>
      <c r="R27" s="5" t="s">
        <v>75</v>
      </c>
      <c r="S27" s="5" t="s">
        <v>53</v>
      </c>
      <c r="T27" s="1">
        <v>10</v>
      </c>
      <c r="U27" s="1">
        <v>23</v>
      </c>
      <c r="V27" s="1">
        <v>41</v>
      </c>
      <c r="AA27">
        <f t="shared" si="13"/>
        <v>25</v>
      </c>
      <c r="AB27">
        <f t="shared" si="5"/>
        <v>0</v>
      </c>
    </row>
    <row r="28" spans="1:28" x14ac:dyDescent="0.3">
      <c r="A28" s="3">
        <v>13</v>
      </c>
      <c r="B28" s="4"/>
      <c r="C28" s="6" t="s">
        <v>169</v>
      </c>
      <c r="D28" s="5"/>
      <c r="E28" s="5" t="s">
        <v>72</v>
      </c>
      <c r="F28" s="5" t="s">
        <v>50</v>
      </c>
      <c r="G28" s="5" t="s">
        <v>57</v>
      </c>
      <c r="H28" s="5" t="s">
        <v>60</v>
      </c>
      <c r="I28" s="5" t="s">
        <v>67</v>
      </c>
      <c r="J28" s="5" t="s">
        <v>64</v>
      </c>
      <c r="K28" s="5" t="s">
        <v>62</v>
      </c>
      <c r="L28" s="5" t="s">
        <v>66</v>
      </c>
      <c r="M28" s="5" t="s">
        <v>47</v>
      </c>
      <c r="N28" s="5" t="s">
        <v>71</v>
      </c>
      <c r="O28" s="5" t="s">
        <v>70</v>
      </c>
      <c r="P28" s="5" t="s">
        <v>209</v>
      </c>
      <c r="Q28" s="5" t="s">
        <v>210</v>
      </c>
      <c r="R28" s="5" t="s">
        <v>75</v>
      </c>
      <c r="S28" s="5" t="s">
        <v>53</v>
      </c>
      <c r="T28" s="1">
        <v>10</v>
      </c>
      <c r="U28" s="1">
        <v>21</v>
      </c>
      <c r="V28" s="1">
        <v>41</v>
      </c>
      <c r="AA28">
        <f t="shared" si="13"/>
        <v>26</v>
      </c>
      <c r="AB28">
        <f t="shared" si="5"/>
        <v>0</v>
      </c>
    </row>
    <row r="29" spans="1:28" x14ac:dyDescent="0.3">
      <c r="A29" s="3">
        <v>14</v>
      </c>
      <c r="B29" s="4"/>
      <c r="C29" s="6" t="s">
        <v>121</v>
      </c>
      <c r="D29" s="5"/>
      <c r="E29" s="5" t="s">
        <v>61</v>
      </c>
      <c r="F29" s="5" t="s">
        <v>63</v>
      </c>
      <c r="G29" s="5" t="s">
        <v>207</v>
      </c>
      <c r="H29" s="5" t="s">
        <v>60</v>
      </c>
      <c r="I29" s="5" t="s">
        <v>65</v>
      </c>
      <c r="J29" s="5" t="s">
        <v>59</v>
      </c>
      <c r="K29" s="5" t="s">
        <v>54</v>
      </c>
      <c r="L29" s="5" t="s">
        <v>66</v>
      </c>
      <c r="M29" s="5" t="s">
        <v>47</v>
      </c>
      <c r="N29" s="5" t="s">
        <v>71</v>
      </c>
      <c r="O29" s="5" t="s">
        <v>52</v>
      </c>
      <c r="P29" s="5" t="s">
        <v>48</v>
      </c>
      <c r="Q29" s="5" t="s">
        <v>210</v>
      </c>
      <c r="R29" s="5" t="s">
        <v>75</v>
      </c>
      <c r="S29" s="5" t="s">
        <v>53</v>
      </c>
      <c r="T29" s="1">
        <v>10</v>
      </c>
      <c r="U29" s="1">
        <v>25</v>
      </c>
      <c r="V29" s="1">
        <v>35</v>
      </c>
      <c r="AA29">
        <f t="shared" si="13"/>
        <v>27</v>
      </c>
      <c r="AB29">
        <f t="shared" si="5"/>
        <v>0</v>
      </c>
    </row>
    <row r="30" spans="1:28" x14ac:dyDescent="0.3">
      <c r="A30" s="3">
        <v>15</v>
      </c>
      <c r="B30" s="4"/>
      <c r="C30" s="6" t="s">
        <v>128</v>
      </c>
      <c r="D30" s="5"/>
      <c r="E30" s="5" t="s">
        <v>61</v>
      </c>
      <c r="F30" s="5" t="s">
        <v>63</v>
      </c>
      <c r="G30" s="5" t="s">
        <v>207</v>
      </c>
      <c r="H30" s="5" t="s">
        <v>60</v>
      </c>
      <c r="I30" s="5" t="s">
        <v>65</v>
      </c>
      <c r="J30" s="5" t="s">
        <v>64</v>
      </c>
      <c r="K30" s="5" t="s">
        <v>54</v>
      </c>
      <c r="L30" s="5" t="s">
        <v>66</v>
      </c>
      <c r="M30" s="5" t="s">
        <v>47</v>
      </c>
      <c r="N30" s="5" t="s">
        <v>71</v>
      </c>
      <c r="O30" s="5" t="s">
        <v>52</v>
      </c>
      <c r="P30" s="5" t="s">
        <v>48</v>
      </c>
      <c r="Q30" s="5" t="s">
        <v>210</v>
      </c>
      <c r="R30" s="5" t="s">
        <v>51</v>
      </c>
      <c r="S30" s="5" t="s">
        <v>53</v>
      </c>
      <c r="T30" s="1">
        <v>10</v>
      </c>
      <c r="U30" s="1">
        <v>22</v>
      </c>
      <c r="V30" s="1">
        <v>35</v>
      </c>
      <c r="AA30">
        <f t="shared" si="13"/>
        <v>28</v>
      </c>
      <c r="AB30">
        <f t="shared" si="5"/>
        <v>0</v>
      </c>
    </row>
    <row r="31" spans="1:28" x14ac:dyDescent="0.3">
      <c r="A31" s="3">
        <v>16</v>
      </c>
      <c r="B31" s="4"/>
      <c r="C31" s="6" t="s">
        <v>37</v>
      </c>
      <c r="D31" s="5"/>
      <c r="E31" s="5" t="s">
        <v>72</v>
      </c>
      <c r="F31" s="5" t="s">
        <v>50</v>
      </c>
      <c r="G31" s="5" t="s">
        <v>207</v>
      </c>
      <c r="H31" s="5" t="s">
        <v>60</v>
      </c>
      <c r="I31" s="5" t="s">
        <v>65</v>
      </c>
      <c r="J31" s="5" t="s">
        <v>64</v>
      </c>
      <c r="K31" s="5" t="s">
        <v>54</v>
      </c>
      <c r="L31" s="5" t="s">
        <v>66</v>
      </c>
      <c r="M31" s="5" t="s">
        <v>47</v>
      </c>
      <c r="N31" s="5" t="s">
        <v>71</v>
      </c>
      <c r="O31" s="5" t="s">
        <v>52</v>
      </c>
      <c r="P31" s="5" t="s">
        <v>48</v>
      </c>
      <c r="Q31" s="5" t="s">
        <v>69</v>
      </c>
      <c r="R31" s="5" t="s">
        <v>75</v>
      </c>
      <c r="S31" s="5" t="s">
        <v>53</v>
      </c>
      <c r="T31" s="1">
        <v>10</v>
      </c>
      <c r="U31" s="1">
        <v>26</v>
      </c>
      <c r="V31" s="1">
        <v>34</v>
      </c>
      <c r="AA31">
        <f t="shared" si="13"/>
        <v>29</v>
      </c>
      <c r="AB31">
        <f t="shared" si="5"/>
        <v>0</v>
      </c>
    </row>
    <row r="32" spans="1:28" x14ac:dyDescent="0.3">
      <c r="A32" s="3">
        <v>17</v>
      </c>
      <c r="B32" s="4"/>
      <c r="C32" s="6" t="s">
        <v>105</v>
      </c>
      <c r="D32" s="5"/>
      <c r="E32" s="5" t="s">
        <v>61</v>
      </c>
      <c r="F32" s="5" t="s">
        <v>63</v>
      </c>
      <c r="G32" s="5" t="s">
        <v>207</v>
      </c>
      <c r="H32" s="5" t="s">
        <v>58</v>
      </c>
      <c r="I32" s="5" t="s">
        <v>65</v>
      </c>
      <c r="J32" s="5" t="s">
        <v>59</v>
      </c>
      <c r="K32" s="5" t="s">
        <v>54</v>
      </c>
      <c r="L32" s="5" t="s">
        <v>66</v>
      </c>
      <c r="M32" s="5" t="s">
        <v>47</v>
      </c>
      <c r="N32" s="5" t="s">
        <v>71</v>
      </c>
      <c r="O32" s="5" t="s">
        <v>52</v>
      </c>
      <c r="P32" s="5" t="s">
        <v>209</v>
      </c>
      <c r="Q32" s="5" t="s">
        <v>210</v>
      </c>
      <c r="R32" s="5" t="s">
        <v>51</v>
      </c>
      <c r="S32" s="5" t="s">
        <v>53</v>
      </c>
      <c r="T32" s="1">
        <v>9</v>
      </c>
      <c r="U32" s="1">
        <v>23</v>
      </c>
      <c r="V32" s="1">
        <v>59</v>
      </c>
      <c r="AA32">
        <f t="shared" si="13"/>
        <v>30</v>
      </c>
      <c r="AB32">
        <f t="shared" si="5"/>
        <v>2</v>
      </c>
    </row>
    <row r="33" spans="1:28" ht="28.8" x14ac:dyDescent="0.3">
      <c r="A33" s="3">
        <v>18</v>
      </c>
      <c r="B33" s="4"/>
      <c r="C33" s="6" t="s">
        <v>123</v>
      </c>
      <c r="D33" s="5"/>
      <c r="E33" s="5" t="s">
        <v>61</v>
      </c>
      <c r="F33" s="5" t="s">
        <v>63</v>
      </c>
      <c r="G33" s="5" t="s">
        <v>57</v>
      </c>
      <c r="H33" s="5" t="s">
        <v>60</v>
      </c>
      <c r="I33" s="5" t="s">
        <v>67</v>
      </c>
      <c r="J33" s="5" t="s">
        <v>64</v>
      </c>
      <c r="K33" s="5" t="s">
        <v>54</v>
      </c>
      <c r="L33" s="5" t="s">
        <v>66</v>
      </c>
      <c r="M33" s="5" t="s">
        <v>47</v>
      </c>
      <c r="N33" s="5" t="s">
        <v>71</v>
      </c>
      <c r="O33" s="5" t="s">
        <v>52</v>
      </c>
      <c r="P33" s="5" t="s">
        <v>48</v>
      </c>
      <c r="Q33" s="5" t="s">
        <v>69</v>
      </c>
      <c r="R33" s="5" t="s">
        <v>75</v>
      </c>
      <c r="S33" s="5" t="s">
        <v>73</v>
      </c>
      <c r="T33" s="1">
        <v>9</v>
      </c>
      <c r="U33" s="1">
        <v>21</v>
      </c>
      <c r="V33" s="1">
        <v>55</v>
      </c>
      <c r="AA33">
        <f t="shared" si="13"/>
        <v>31</v>
      </c>
      <c r="AB33">
        <f t="shared" si="5"/>
        <v>2</v>
      </c>
    </row>
    <row r="34" spans="1:28" ht="28.8" x14ac:dyDescent="0.3">
      <c r="A34" s="3">
        <v>19</v>
      </c>
      <c r="B34" s="4"/>
      <c r="C34" s="6" t="s">
        <v>112</v>
      </c>
      <c r="D34" s="5"/>
      <c r="E34" s="5" t="s">
        <v>72</v>
      </c>
      <c r="F34" s="5" t="s">
        <v>63</v>
      </c>
      <c r="G34" s="5" t="s">
        <v>57</v>
      </c>
      <c r="H34" s="5" t="s">
        <v>60</v>
      </c>
      <c r="I34" s="5" t="s">
        <v>65</v>
      </c>
      <c r="J34" s="5" t="s">
        <v>59</v>
      </c>
      <c r="K34" s="5" t="s">
        <v>62</v>
      </c>
      <c r="L34" s="5" t="s">
        <v>66</v>
      </c>
      <c r="M34" s="5" t="s">
        <v>47</v>
      </c>
      <c r="N34" s="5" t="s">
        <v>71</v>
      </c>
      <c r="O34" s="5" t="s">
        <v>52</v>
      </c>
      <c r="P34" s="5" t="s">
        <v>48</v>
      </c>
      <c r="Q34" s="5" t="s">
        <v>210</v>
      </c>
      <c r="R34" s="5" t="s">
        <v>75</v>
      </c>
      <c r="S34" s="5" t="s">
        <v>53</v>
      </c>
      <c r="T34" s="1">
        <v>9</v>
      </c>
      <c r="U34" s="1">
        <v>20</v>
      </c>
      <c r="V34" s="1">
        <v>55</v>
      </c>
      <c r="AA34">
        <f t="shared" si="13"/>
        <v>32</v>
      </c>
      <c r="AB34">
        <f t="shared" si="5"/>
        <v>1</v>
      </c>
    </row>
    <row r="35" spans="1:28" ht="28.8" x14ac:dyDescent="0.3">
      <c r="A35" s="3">
        <v>20</v>
      </c>
      <c r="B35" s="4"/>
      <c r="C35" s="6" t="s">
        <v>191</v>
      </c>
      <c r="D35" s="5"/>
      <c r="E35" s="5" t="s">
        <v>72</v>
      </c>
      <c r="F35" s="5" t="s">
        <v>63</v>
      </c>
      <c r="G35" s="5" t="s">
        <v>207</v>
      </c>
      <c r="H35" s="5" t="s">
        <v>60</v>
      </c>
      <c r="I35" s="5" t="s">
        <v>67</v>
      </c>
      <c r="J35" s="5" t="s">
        <v>59</v>
      </c>
      <c r="K35" s="5" t="s">
        <v>62</v>
      </c>
      <c r="L35" s="5" t="s">
        <v>68</v>
      </c>
      <c r="M35" s="5" t="s">
        <v>47</v>
      </c>
      <c r="N35" s="5" t="s">
        <v>71</v>
      </c>
      <c r="O35" s="5" t="s">
        <v>70</v>
      </c>
      <c r="P35" s="5" t="s">
        <v>48</v>
      </c>
      <c r="Q35" s="5" t="s">
        <v>69</v>
      </c>
      <c r="R35" s="5" t="s">
        <v>51</v>
      </c>
      <c r="S35" s="5" t="s">
        <v>53</v>
      </c>
      <c r="T35" s="1">
        <v>9</v>
      </c>
      <c r="U35" s="1">
        <v>23</v>
      </c>
      <c r="V35" s="1">
        <v>52</v>
      </c>
      <c r="AA35">
        <f t="shared" si="13"/>
        <v>33</v>
      </c>
      <c r="AB35">
        <f t="shared" si="5"/>
        <v>1</v>
      </c>
    </row>
    <row r="36" spans="1:28" x14ac:dyDescent="0.3">
      <c r="A36" s="3">
        <v>21</v>
      </c>
      <c r="B36" s="4"/>
      <c r="C36" s="6" t="s">
        <v>44</v>
      </c>
      <c r="D36" s="5"/>
      <c r="E36" s="5" t="s">
        <v>72</v>
      </c>
      <c r="F36" s="5" t="s">
        <v>63</v>
      </c>
      <c r="G36" s="5" t="s">
        <v>57</v>
      </c>
      <c r="H36" s="5" t="s">
        <v>60</v>
      </c>
      <c r="I36" s="5" t="s">
        <v>67</v>
      </c>
      <c r="J36" s="5" t="s">
        <v>59</v>
      </c>
      <c r="K36" s="5" t="s">
        <v>54</v>
      </c>
      <c r="L36" s="5" t="s">
        <v>66</v>
      </c>
      <c r="M36" s="5" t="s">
        <v>208</v>
      </c>
      <c r="N36" s="5" t="s">
        <v>55</v>
      </c>
      <c r="O36" s="5" t="s">
        <v>52</v>
      </c>
      <c r="P36" s="5" t="s">
        <v>209</v>
      </c>
      <c r="Q36" s="5" t="s">
        <v>210</v>
      </c>
      <c r="R36" s="5" t="s">
        <v>75</v>
      </c>
      <c r="S36" s="5" t="s">
        <v>73</v>
      </c>
      <c r="T36" s="1">
        <v>9</v>
      </c>
      <c r="U36" s="1">
        <v>26</v>
      </c>
      <c r="V36" s="1">
        <v>48</v>
      </c>
      <c r="AA36">
        <f t="shared" si="13"/>
        <v>34</v>
      </c>
      <c r="AB36">
        <f t="shared" si="5"/>
        <v>3</v>
      </c>
    </row>
    <row r="37" spans="1:28" x14ac:dyDescent="0.3">
      <c r="A37" s="3">
        <v>22</v>
      </c>
      <c r="B37" s="4"/>
      <c r="C37" s="6" t="s">
        <v>183</v>
      </c>
      <c r="D37" s="5"/>
      <c r="E37" s="5" t="s">
        <v>72</v>
      </c>
      <c r="F37" s="5" t="s">
        <v>63</v>
      </c>
      <c r="G37" s="5" t="s">
        <v>57</v>
      </c>
      <c r="H37" s="5" t="s">
        <v>58</v>
      </c>
      <c r="I37" s="5" t="s">
        <v>67</v>
      </c>
      <c r="J37" s="5" t="s">
        <v>59</v>
      </c>
      <c r="K37" s="5" t="s">
        <v>62</v>
      </c>
      <c r="L37" s="5" t="s">
        <v>68</v>
      </c>
      <c r="M37" s="5" t="s">
        <v>47</v>
      </c>
      <c r="N37" s="5" t="s">
        <v>71</v>
      </c>
      <c r="O37" s="5" t="s">
        <v>52</v>
      </c>
      <c r="P37" s="5" t="s">
        <v>209</v>
      </c>
      <c r="Q37" s="5" t="s">
        <v>69</v>
      </c>
      <c r="R37" s="5" t="s">
        <v>75</v>
      </c>
      <c r="S37" s="5" t="s">
        <v>73</v>
      </c>
      <c r="T37" s="1">
        <v>9</v>
      </c>
      <c r="U37" s="1">
        <v>27</v>
      </c>
      <c r="V37" s="1">
        <v>48</v>
      </c>
      <c r="AA37">
        <f t="shared" si="13"/>
        <v>35</v>
      </c>
      <c r="AB37">
        <f t="shared" si="5"/>
        <v>8</v>
      </c>
    </row>
    <row r="38" spans="1:28" x14ac:dyDescent="0.3">
      <c r="A38" s="3">
        <v>23</v>
      </c>
      <c r="B38" s="4"/>
      <c r="C38" s="6" t="s">
        <v>109</v>
      </c>
      <c r="D38" s="5"/>
      <c r="E38" s="5" t="s">
        <v>72</v>
      </c>
      <c r="F38" s="5" t="s">
        <v>63</v>
      </c>
      <c r="G38" s="5" t="s">
        <v>207</v>
      </c>
      <c r="H38" s="5" t="s">
        <v>58</v>
      </c>
      <c r="I38" s="5" t="s">
        <v>67</v>
      </c>
      <c r="J38" s="5" t="s">
        <v>59</v>
      </c>
      <c r="K38" s="5" t="s">
        <v>62</v>
      </c>
      <c r="L38" s="5" t="s">
        <v>66</v>
      </c>
      <c r="M38" s="5" t="s">
        <v>208</v>
      </c>
      <c r="N38" s="5" t="s">
        <v>71</v>
      </c>
      <c r="O38" s="5" t="s">
        <v>52</v>
      </c>
      <c r="P38" s="5" t="s">
        <v>209</v>
      </c>
      <c r="Q38" s="5" t="s">
        <v>210</v>
      </c>
      <c r="R38" s="5" t="s">
        <v>75</v>
      </c>
      <c r="S38" s="5" t="s">
        <v>73</v>
      </c>
      <c r="T38" s="1">
        <v>9</v>
      </c>
      <c r="U38" s="1">
        <v>18</v>
      </c>
      <c r="V38" s="1">
        <v>48</v>
      </c>
      <c r="AA38">
        <f t="shared" si="13"/>
        <v>36</v>
      </c>
      <c r="AB38">
        <f t="shared" si="5"/>
        <v>1</v>
      </c>
    </row>
    <row r="39" spans="1:28" ht="28.8" x14ac:dyDescent="0.3">
      <c r="A39" s="3">
        <v>24</v>
      </c>
      <c r="B39" s="4"/>
      <c r="C39" s="6" t="s">
        <v>92</v>
      </c>
      <c r="D39" s="5"/>
      <c r="E39" s="5" t="s">
        <v>72</v>
      </c>
      <c r="F39" s="5" t="s">
        <v>63</v>
      </c>
      <c r="G39" s="5" t="s">
        <v>57</v>
      </c>
      <c r="H39" s="5" t="s">
        <v>58</v>
      </c>
      <c r="I39" s="5" t="s">
        <v>65</v>
      </c>
      <c r="J39" s="5" t="s">
        <v>64</v>
      </c>
      <c r="K39" s="5" t="s">
        <v>54</v>
      </c>
      <c r="L39" s="5" t="s">
        <v>68</v>
      </c>
      <c r="M39" s="5" t="s">
        <v>47</v>
      </c>
      <c r="N39" s="5" t="s">
        <v>71</v>
      </c>
      <c r="O39" s="5" t="s">
        <v>52</v>
      </c>
      <c r="P39" s="5" t="s">
        <v>48</v>
      </c>
      <c r="Q39" s="5" t="s">
        <v>69</v>
      </c>
      <c r="R39" s="5" t="s">
        <v>75</v>
      </c>
      <c r="S39" s="5" t="s">
        <v>73</v>
      </c>
      <c r="T39" s="1">
        <v>9</v>
      </c>
      <c r="U39" s="1">
        <v>22</v>
      </c>
      <c r="V39" s="1">
        <v>47</v>
      </c>
      <c r="AA39">
        <f t="shared" si="13"/>
        <v>37</v>
      </c>
      <c r="AB39">
        <f t="shared" si="5"/>
        <v>2</v>
      </c>
    </row>
    <row r="40" spans="1:28" x14ac:dyDescent="0.3">
      <c r="A40" s="3">
        <v>25</v>
      </c>
      <c r="B40" s="4"/>
      <c r="C40" s="6" t="s">
        <v>194</v>
      </c>
      <c r="D40" s="5"/>
      <c r="E40" s="5" t="s">
        <v>72</v>
      </c>
      <c r="F40" s="5" t="s">
        <v>50</v>
      </c>
      <c r="G40" s="5" t="s">
        <v>207</v>
      </c>
      <c r="H40" s="5" t="s">
        <v>58</v>
      </c>
      <c r="I40" s="5" t="s">
        <v>67</v>
      </c>
      <c r="J40" s="5" t="s">
        <v>59</v>
      </c>
      <c r="K40" s="5" t="s">
        <v>62</v>
      </c>
      <c r="L40" s="5" t="s">
        <v>68</v>
      </c>
      <c r="M40" s="5" t="s">
        <v>47</v>
      </c>
      <c r="N40" s="5" t="s">
        <v>71</v>
      </c>
      <c r="O40" s="5" t="s">
        <v>52</v>
      </c>
      <c r="P40" s="5" t="s">
        <v>48</v>
      </c>
      <c r="Q40" s="5" t="s">
        <v>210</v>
      </c>
      <c r="R40" s="5" t="s">
        <v>75</v>
      </c>
      <c r="S40" s="5" t="s">
        <v>73</v>
      </c>
      <c r="T40" s="1">
        <v>9</v>
      </c>
      <c r="U40" s="1">
        <v>21</v>
      </c>
      <c r="V40" s="1">
        <v>45</v>
      </c>
      <c r="AA40">
        <f t="shared" si="13"/>
        <v>38</v>
      </c>
      <c r="AB40">
        <f t="shared" si="5"/>
        <v>5</v>
      </c>
    </row>
    <row r="41" spans="1:28" x14ac:dyDescent="0.3">
      <c r="A41" s="3">
        <v>26</v>
      </c>
      <c r="B41" s="4"/>
      <c r="C41" s="6" t="s">
        <v>86</v>
      </c>
      <c r="D41" s="5"/>
      <c r="E41" s="5" t="s">
        <v>72</v>
      </c>
      <c r="F41" s="5" t="s">
        <v>63</v>
      </c>
      <c r="G41" s="5" t="s">
        <v>57</v>
      </c>
      <c r="H41" s="5" t="s">
        <v>60</v>
      </c>
      <c r="I41" s="5" t="s">
        <v>67</v>
      </c>
      <c r="J41" s="5" t="s">
        <v>59</v>
      </c>
      <c r="K41" s="5" t="s">
        <v>62</v>
      </c>
      <c r="L41" s="5" t="s">
        <v>66</v>
      </c>
      <c r="M41" s="5" t="s">
        <v>47</v>
      </c>
      <c r="N41" s="5" t="s">
        <v>71</v>
      </c>
      <c r="O41" s="5" t="s">
        <v>70</v>
      </c>
      <c r="P41" s="5" t="s">
        <v>48</v>
      </c>
      <c r="Q41" s="5" t="s">
        <v>210</v>
      </c>
      <c r="R41" s="5" t="s">
        <v>75</v>
      </c>
      <c r="S41" s="5" t="s">
        <v>53</v>
      </c>
      <c r="T41" s="1">
        <v>9</v>
      </c>
      <c r="U41" s="1">
        <v>21</v>
      </c>
      <c r="V41" s="1">
        <v>45</v>
      </c>
      <c r="AA41">
        <f t="shared" si="13"/>
        <v>39</v>
      </c>
      <c r="AB41">
        <f t="shared" si="5"/>
        <v>2</v>
      </c>
    </row>
    <row r="42" spans="1:28" ht="28.8" x14ac:dyDescent="0.3">
      <c r="A42" s="3">
        <v>27</v>
      </c>
      <c r="B42" s="4"/>
      <c r="C42" s="6" t="s">
        <v>167</v>
      </c>
      <c r="D42" s="5"/>
      <c r="E42" s="5" t="s">
        <v>61</v>
      </c>
      <c r="F42" s="5" t="s">
        <v>63</v>
      </c>
      <c r="G42" s="5" t="s">
        <v>207</v>
      </c>
      <c r="H42" s="5" t="s">
        <v>60</v>
      </c>
      <c r="I42" s="5" t="s">
        <v>65</v>
      </c>
      <c r="J42" s="5" t="s">
        <v>64</v>
      </c>
      <c r="K42" s="5" t="s">
        <v>62</v>
      </c>
      <c r="L42" s="5" t="s">
        <v>66</v>
      </c>
      <c r="M42" s="5" t="s">
        <v>208</v>
      </c>
      <c r="N42" s="5" t="s">
        <v>71</v>
      </c>
      <c r="O42" s="5" t="s">
        <v>52</v>
      </c>
      <c r="P42" s="5" t="s">
        <v>209</v>
      </c>
      <c r="Q42" s="5" t="s">
        <v>210</v>
      </c>
      <c r="R42" s="5" t="s">
        <v>51</v>
      </c>
      <c r="S42" s="5" t="s">
        <v>53</v>
      </c>
      <c r="T42" s="1">
        <v>9</v>
      </c>
      <c r="U42" s="1">
        <v>21</v>
      </c>
      <c r="V42" s="1">
        <v>44</v>
      </c>
      <c r="AA42">
        <f t="shared" si="13"/>
        <v>40</v>
      </c>
      <c r="AB42">
        <f t="shared" si="5"/>
        <v>5</v>
      </c>
    </row>
    <row r="43" spans="1:28" x14ac:dyDescent="0.3">
      <c r="A43" s="3">
        <v>28</v>
      </c>
      <c r="B43" s="4"/>
      <c r="C43" s="6" t="s">
        <v>33</v>
      </c>
      <c r="D43" s="5"/>
      <c r="E43" s="5" t="s">
        <v>72</v>
      </c>
      <c r="F43" s="5" t="s">
        <v>63</v>
      </c>
      <c r="G43" s="5" t="s">
        <v>207</v>
      </c>
      <c r="H43" s="5" t="s">
        <v>60</v>
      </c>
      <c r="I43" s="5" t="s">
        <v>67</v>
      </c>
      <c r="J43" s="5" t="s">
        <v>59</v>
      </c>
      <c r="K43" s="5" t="s">
        <v>62</v>
      </c>
      <c r="L43" s="5" t="s">
        <v>66</v>
      </c>
      <c r="M43" s="5" t="s">
        <v>208</v>
      </c>
      <c r="N43" s="5" t="s">
        <v>71</v>
      </c>
      <c r="O43" s="5" t="s">
        <v>70</v>
      </c>
      <c r="P43" s="5" t="s">
        <v>48</v>
      </c>
      <c r="Q43" s="5" t="s">
        <v>210</v>
      </c>
      <c r="R43" s="5" t="s">
        <v>75</v>
      </c>
      <c r="S43" s="5" t="s">
        <v>53</v>
      </c>
      <c r="T43" s="1">
        <v>9</v>
      </c>
      <c r="U43" s="1">
        <v>24</v>
      </c>
      <c r="V43" s="1">
        <v>42</v>
      </c>
      <c r="AA43">
        <f t="shared" si="13"/>
        <v>41</v>
      </c>
      <c r="AB43">
        <f t="shared" si="5"/>
        <v>11</v>
      </c>
    </row>
    <row r="44" spans="1:28" x14ac:dyDescent="0.3">
      <c r="A44" s="3">
        <v>29</v>
      </c>
      <c r="B44" s="4"/>
      <c r="C44" s="6" t="s">
        <v>156</v>
      </c>
      <c r="D44" s="5"/>
      <c r="E44" s="5" t="s">
        <v>61</v>
      </c>
      <c r="F44" s="5" t="s">
        <v>63</v>
      </c>
      <c r="G44" s="5" t="s">
        <v>57</v>
      </c>
      <c r="H44" s="5" t="s">
        <v>58</v>
      </c>
      <c r="I44" s="5" t="s">
        <v>65</v>
      </c>
      <c r="J44" s="5" t="s">
        <v>59</v>
      </c>
      <c r="K44" s="5" t="s">
        <v>54</v>
      </c>
      <c r="L44" s="5" t="s">
        <v>68</v>
      </c>
      <c r="M44" s="5" t="s">
        <v>208</v>
      </c>
      <c r="N44" s="5" t="s">
        <v>71</v>
      </c>
      <c r="O44" s="5" t="s">
        <v>52</v>
      </c>
      <c r="P44" s="5" t="s">
        <v>209</v>
      </c>
      <c r="Q44" s="5" t="s">
        <v>210</v>
      </c>
      <c r="R44" s="5" t="s">
        <v>75</v>
      </c>
      <c r="S44" s="5" t="s">
        <v>53</v>
      </c>
      <c r="T44" s="1">
        <v>9</v>
      </c>
      <c r="U44" s="1">
        <v>24</v>
      </c>
      <c r="V44" s="1">
        <v>42</v>
      </c>
      <c r="AA44">
        <f t="shared" si="13"/>
        <v>42</v>
      </c>
      <c r="AB44">
        <f t="shared" si="5"/>
        <v>20</v>
      </c>
    </row>
    <row r="45" spans="1:28" ht="28.8" x14ac:dyDescent="0.3">
      <c r="A45" s="3">
        <v>30</v>
      </c>
      <c r="B45" s="4"/>
      <c r="C45" s="6" t="s">
        <v>81</v>
      </c>
      <c r="D45" s="5"/>
      <c r="E45" s="5" t="s">
        <v>61</v>
      </c>
      <c r="F45" s="5" t="s">
        <v>63</v>
      </c>
      <c r="G45" s="5" t="s">
        <v>207</v>
      </c>
      <c r="H45" s="5" t="s">
        <v>58</v>
      </c>
      <c r="I45" s="5" t="s">
        <v>65</v>
      </c>
      <c r="J45" s="5" t="s">
        <v>59</v>
      </c>
      <c r="K45" s="5" t="s">
        <v>54</v>
      </c>
      <c r="L45" s="5" t="s">
        <v>68</v>
      </c>
      <c r="M45" s="5" t="s">
        <v>47</v>
      </c>
      <c r="N45" s="5" t="s">
        <v>71</v>
      </c>
      <c r="O45" s="5" t="s">
        <v>52</v>
      </c>
      <c r="P45" s="5" t="s">
        <v>209</v>
      </c>
      <c r="Q45" s="5" t="s">
        <v>69</v>
      </c>
      <c r="R45" s="5" t="s">
        <v>75</v>
      </c>
      <c r="S45" s="5" t="s">
        <v>73</v>
      </c>
      <c r="T45" s="1">
        <v>9</v>
      </c>
      <c r="U45" s="1">
        <v>25</v>
      </c>
      <c r="V45" s="1">
        <v>42</v>
      </c>
      <c r="AA45">
        <f t="shared" si="13"/>
        <v>43</v>
      </c>
      <c r="AB45">
        <f t="shared" si="5"/>
        <v>8</v>
      </c>
    </row>
    <row r="46" spans="1:28" ht="28.8" x14ac:dyDescent="0.3">
      <c r="A46" s="3">
        <v>31</v>
      </c>
      <c r="B46" s="4"/>
      <c r="C46" s="6" t="s">
        <v>17</v>
      </c>
      <c r="D46" s="5"/>
      <c r="E46" s="5" t="s">
        <v>61</v>
      </c>
      <c r="F46" s="5" t="s">
        <v>50</v>
      </c>
      <c r="G46" s="5" t="s">
        <v>207</v>
      </c>
      <c r="H46" s="5" t="s">
        <v>60</v>
      </c>
      <c r="I46" s="5" t="s">
        <v>67</v>
      </c>
      <c r="J46" s="5" t="s">
        <v>59</v>
      </c>
      <c r="K46" s="5" t="s">
        <v>54</v>
      </c>
      <c r="L46" s="5" t="s">
        <v>68</v>
      </c>
      <c r="M46" s="5" t="s">
        <v>208</v>
      </c>
      <c r="N46" s="5" t="s">
        <v>71</v>
      </c>
      <c r="O46" s="5" t="s">
        <v>52</v>
      </c>
      <c r="P46" s="5" t="s">
        <v>209</v>
      </c>
      <c r="Q46" s="5" t="s">
        <v>210</v>
      </c>
      <c r="R46" s="5" t="s">
        <v>51</v>
      </c>
      <c r="S46" s="5" t="s">
        <v>73</v>
      </c>
      <c r="T46" s="1">
        <v>9</v>
      </c>
      <c r="U46" s="1">
        <v>27</v>
      </c>
      <c r="V46" s="1">
        <v>40</v>
      </c>
      <c r="AA46">
        <f t="shared" si="13"/>
        <v>44</v>
      </c>
      <c r="AB46">
        <f t="shared" si="5"/>
        <v>14</v>
      </c>
    </row>
    <row r="47" spans="1:28" x14ac:dyDescent="0.3">
      <c r="A47" s="3">
        <v>32</v>
      </c>
      <c r="B47" s="4"/>
      <c r="C47" s="6" t="s">
        <v>189</v>
      </c>
      <c r="D47" s="5"/>
      <c r="E47" s="5" t="s">
        <v>72</v>
      </c>
      <c r="F47" s="5" t="s">
        <v>63</v>
      </c>
      <c r="G47" s="5" t="s">
        <v>207</v>
      </c>
      <c r="H47" s="5" t="s">
        <v>58</v>
      </c>
      <c r="I47" s="5" t="s">
        <v>67</v>
      </c>
      <c r="J47" s="5" t="s">
        <v>59</v>
      </c>
      <c r="K47" s="5" t="s">
        <v>62</v>
      </c>
      <c r="L47" s="5" t="s">
        <v>68</v>
      </c>
      <c r="M47" s="5" t="s">
        <v>47</v>
      </c>
      <c r="N47" s="5" t="s">
        <v>71</v>
      </c>
      <c r="O47" s="5" t="s">
        <v>70</v>
      </c>
      <c r="P47" s="5" t="s">
        <v>209</v>
      </c>
      <c r="Q47" s="5" t="s">
        <v>210</v>
      </c>
      <c r="R47" s="5" t="s">
        <v>51</v>
      </c>
      <c r="S47" s="5" t="s">
        <v>73</v>
      </c>
      <c r="T47" s="1">
        <v>9</v>
      </c>
      <c r="U47" s="1">
        <v>22</v>
      </c>
      <c r="V47" s="1">
        <v>38</v>
      </c>
      <c r="AA47">
        <f t="shared" si="13"/>
        <v>45</v>
      </c>
      <c r="AB47">
        <f t="shared" si="5"/>
        <v>19</v>
      </c>
    </row>
    <row r="48" spans="1:28" x14ac:dyDescent="0.3">
      <c r="A48" s="3">
        <v>33</v>
      </c>
      <c r="B48" s="4"/>
      <c r="C48" s="6" t="s">
        <v>11</v>
      </c>
      <c r="D48" s="5"/>
      <c r="E48" s="5" t="s">
        <v>72</v>
      </c>
      <c r="F48" s="5" t="s">
        <v>63</v>
      </c>
      <c r="G48" s="5" t="s">
        <v>57</v>
      </c>
      <c r="H48" s="5" t="s">
        <v>58</v>
      </c>
      <c r="I48" s="5" t="s">
        <v>67</v>
      </c>
      <c r="J48" s="5" t="s">
        <v>59</v>
      </c>
      <c r="K48" s="5" t="s">
        <v>54</v>
      </c>
      <c r="L48" s="5" t="s">
        <v>66</v>
      </c>
      <c r="M48" s="5" t="s">
        <v>47</v>
      </c>
      <c r="N48" s="5" t="s">
        <v>55</v>
      </c>
      <c r="O48" s="5" t="s">
        <v>52</v>
      </c>
      <c r="P48" s="5" t="s">
        <v>48</v>
      </c>
      <c r="Q48" s="5" t="s">
        <v>210</v>
      </c>
      <c r="R48" s="5" t="s">
        <v>75</v>
      </c>
      <c r="S48" s="5" t="s">
        <v>53</v>
      </c>
      <c r="T48" s="1">
        <v>9</v>
      </c>
      <c r="U48" s="1">
        <v>22</v>
      </c>
      <c r="V48" s="1">
        <v>38</v>
      </c>
      <c r="AA48">
        <f t="shared" si="13"/>
        <v>46</v>
      </c>
      <c r="AB48">
        <f t="shared" si="5"/>
        <v>10</v>
      </c>
    </row>
    <row r="49" spans="1:28" x14ac:dyDescent="0.3">
      <c r="A49" s="3">
        <v>34</v>
      </c>
      <c r="B49" s="4"/>
      <c r="C49" s="6" t="s">
        <v>138</v>
      </c>
      <c r="D49" s="5"/>
      <c r="E49" s="5" t="s">
        <v>61</v>
      </c>
      <c r="F49" s="5" t="s">
        <v>50</v>
      </c>
      <c r="G49" s="5" t="s">
        <v>207</v>
      </c>
      <c r="H49" s="5" t="s">
        <v>58</v>
      </c>
      <c r="I49" s="5" t="s">
        <v>67</v>
      </c>
      <c r="J49" s="5" t="s">
        <v>59</v>
      </c>
      <c r="K49" s="5" t="s">
        <v>54</v>
      </c>
      <c r="L49" s="5" t="s">
        <v>66</v>
      </c>
      <c r="M49" s="5" t="s">
        <v>47</v>
      </c>
      <c r="N49" s="5" t="s">
        <v>71</v>
      </c>
      <c r="O49" s="5" t="s">
        <v>52</v>
      </c>
      <c r="P49" s="5" t="s">
        <v>209</v>
      </c>
      <c r="Q49" s="5" t="s">
        <v>69</v>
      </c>
      <c r="R49" s="5" t="s">
        <v>75</v>
      </c>
      <c r="S49" s="5" t="s">
        <v>53</v>
      </c>
      <c r="T49" s="1">
        <v>9</v>
      </c>
      <c r="U49" s="1">
        <v>26</v>
      </c>
      <c r="V49" s="1">
        <v>38</v>
      </c>
      <c r="AA49">
        <f t="shared" si="13"/>
        <v>47</v>
      </c>
      <c r="AB49">
        <f t="shared" si="5"/>
        <v>11</v>
      </c>
    </row>
    <row r="50" spans="1:28" ht="28.8" x14ac:dyDescent="0.3">
      <c r="A50" s="3">
        <v>35</v>
      </c>
      <c r="B50" s="4"/>
      <c r="C50" s="6" t="s">
        <v>137</v>
      </c>
      <c r="D50" s="5"/>
      <c r="E50" s="5" t="s">
        <v>61</v>
      </c>
      <c r="F50" s="5" t="s">
        <v>63</v>
      </c>
      <c r="G50" s="5" t="s">
        <v>57</v>
      </c>
      <c r="H50" s="5" t="s">
        <v>60</v>
      </c>
      <c r="I50" s="5" t="s">
        <v>65</v>
      </c>
      <c r="J50" s="5" t="s">
        <v>59</v>
      </c>
      <c r="K50" s="5" t="s">
        <v>54</v>
      </c>
      <c r="L50" s="5" t="s">
        <v>68</v>
      </c>
      <c r="M50" s="5" t="s">
        <v>208</v>
      </c>
      <c r="N50" s="5" t="s">
        <v>71</v>
      </c>
      <c r="O50" s="5" t="s">
        <v>52</v>
      </c>
      <c r="P50" s="5" t="s">
        <v>48</v>
      </c>
      <c r="Q50" s="5" t="s">
        <v>210</v>
      </c>
      <c r="R50" s="5" t="s">
        <v>75</v>
      </c>
      <c r="S50" s="5" t="s">
        <v>53</v>
      </c>
      <c r="T50" s="1">
        <v>9</v>
      </c>
      <c r="U50" s="1">
        <v>20</v>
      </c>
      <c r="V50" s="1">
        <v>37</v>
      </c>
      <c r="AA50">
        <f t="shared" si="13"/>
        <v>48</v>
      </c>
      <c r="AB50">
        <f t="shared" si="5"/>
        <v>13</v>
      </c>
    </row>
    <row r="51" spans="1:28" x14ac:dyDescent="0.3">
      <c r="A51" s="3">
        <v>36</v>
      </c>
      <c r="B51" s="4"/>
      <c r="C51" s="6" t="s">
        <v>12</v>
      </c>
      <c r="D51" s="5"/>
      <c r="E51" s="5" t="s">
        <v>72</v>
      </c>
      <c r="F51" s="5" t="s">
        <v>63</v>
      </c>
      <c r="G51" s="5" t="s">
        <v>57</v>
      </c>
      <c r="H51" s="5" t="s">
        <v>58</v>
      </c>
      <c r="I51" s="5" t="s">
        <v>65</v>
      </c>
      <c r="J51" s="5" t="s">
        <v>64</v>
      </c>
      <c r="K51" s="5" t="s">
        <v>62</v>
      </c>
      <c r="L51" s="5" t="s">
        <v>66</v>
      </c>
      <c r="M51" s="5" t="s">
        <v>47</v>
      </c>
      <c r="N51" s="5" t="s">
        <v>71</v>
      </c>
      <c r="O51" s="5" t="s">
        <v>52</v>
      </c>
      <c r="P51" s="5" t="s">
        <v>209</v>
      </c>
      <c r="Q51" s="5" t="s">
        <v>210</v>
      </c>
      <c r="R51" s="5" t="s">
        <v>51</v>
      </c>
      <c r="S51" s="5" t="s">
        <v>53</v>
      </c>
      <c r="T51" s="1">
        <v>9</v>
      </c>
      <c r="U51" s="1">
        <v>22</v>
      </c>
      <c r="V51" s="1">
        <v>35</v>
      </c>
      <c r="AA51">
        <f t="shared" si="13"/>
        <v>49</v>
      </c>
      <c r="AB51">
        <f t="shared" si="5"/>
        <v>2</v>
      </c>
    </row>
    <row r="52" spans="1:28" ht="28.8" x14ac:dyDescent="0.3">
      <c r="A52" s="3">
        <v>37</v>
      </c>
      <c r="B52" s="4"/>
      <c r="C52" s="6" t="s">
        <v>125</v>
      </c>
      <c r="D52" s="5"/>
      <c r="E52" s="5" t="s">
        <v>72</v>
      </c>
      <c r="F52" s="5" t="s">
        <v>63</v>
      </c>
      <c r="G52" s="5" t="s">
        <v>57</v>
      </c>
      <c r="H52" s="5" t="s">
        <v>60</v>
      </c>
      <c r="I52" s="5" t="s">
        <v>65</v>
      </c>
      <c r="J52" s="5" t="s">
        <v>59</v>
      </c>
      <c r="K52" s="5" t="s">
        <v>62</v>
      </c>
      <c r="L52" s="5" t="s">
        <v>66</v>
      </c>
      <c r="M52" s="5" t="s">
        <v>47</v>
      </c>
      <c r="N52" s="5" t="s">
        <v>55</v>
      </c>
      <c r="O52" s="5" t="s">
        <v>52</v>
      </c>
      <c r="P52" s="5" t="s">
        <v>209</v>
      </c>
      <c r="Q52" s="5" t="s">
        <v>210</v>
      </c>
      <c r="R52" s="5" t="s">
        <v>75</v>
      </c>
      <c r="S52" s="5" t="s">
        <v>53</v>
      </c>
      <c r="T52" s="1">
        <v>9</v>
      </c>
      <c r="U52" s="1">
        <v>23</v>
      </c>
      <c r="V52" s="1">
        <v>35</v>
      </c>
      <c r="AA52">
        <f t="shared" si="13"/>
        <v>50</v>
      </c>
      <c r="AB52">
        <f t="shared" si="5"/>
        <v>0</v>
      </c>
    </row>
    <row r="53" spans="1:28" x14ac:dyDescent="0.3">
      <c r="A53" s="3">
        <v>38</v>
      </c>
      <c r="B53" s="4"/>
      <c r="C53" s="6" t="s">
        <v>110</v>
      </c>
      <c r="D53" s="5"/>
      <c r="E53" s="5" t="s">
        <v>61</v>
      </c>
      <c r="F53" s="5" t="s">
        <v>63</v>
      </c>
      <c r="G53" s="5" t="s">
        <v>57</v>
      </c>
      <c r="H53" s="5" t="s">
        <v>58</v>
      </c>
      <c r="I53" s="5" t="s">
        <v>67</v>
      </c>
      <c r="J53" s="5" t="s">
        <v>59</v>
      </c>
      <c r="K53" s="5" t="s">
        <v>54</v>
      </c>
      <c r="L53" s="5" t="s">
        <v>66</v>
      </c>
      <c r="M53" s="5" t="s">
        <v>47</v>
      </c>
      <c r="N53" s="5" t="s">
        <v>71</v>
      </c>
      <c r="O53" s="5" t="s">
        <v>52</v>
      </c>
      <c r="P53" s="5" t="s">
        <v>209</v>
      </c>
      <c r="Q53" s="5" t="s">
        <v>210</v>
      </c>
      <c r="R53" s="5" t="s">
        <v>75</v>
      </c>
      <c r="S53" s="5" t="s">
        <v>73</v>
      </c>
      <c r="T53" s="1">
        <v>9</v>
      </c>
      <c r="U53" s="1">
        <v>17</v>
      </c>
      <c r="V53" s="1">
        <v>35</v>
      </c>
      <c r="AA53">
        <f t="shared" si="13"/>
        <v>51</v>
      </c>
      <c r="AB53">
        <f t="shared" si="5"/>
        <v>2</v>
      </c>
    </row>
    <row r="54" spans="1:28" ht="28.8" x14ac:dyDescent="0.3">
      <c r="A54" s="3">
        <v>39</v>
      </c>
      <c r="B54" s="4"/>
      <c r="C54" s="6" t="s">
        <v>196</v>
      </c>
      <c r="D54" s="5"/>
      <c r="E54" s="5" t="s">
        <v>72</v>
      </c>
      <c r="F54" s="5" t="s">
        <v>63</v>
      </c>
      <c r="G54" s="5" t="s">
        <v>57</v>
      </c>
      <c r="H54" s="5" t="s">
        <v>60</v>
      </c>
      <c r="I54" s="5" t="s">
        <v>67</v>
      </c>
      <c r="J54" s="5" t="s">
        <v>64</v>
      </c>
      <c r="K54" s="5" t="s">
        <v>54</v>
      </c>
      <c r="L54" s="5" t="s">
        <v>66</v>
      </c>
      <c r="M54" s="5" t="s">
        <v>47</v>
      </c>
      <c r="N54" s="5" t="s">
        <v>55</v>
      </c>
      <c r="O54" s="5" t="s">
        <v>70</v>
      </c>
      <c r="P54" s="5" t="s">
        <v>48</v>
      </c>
      <c r="Q54" s="5" t="s">
        <v>210</v>
      </c>
      <c r="R54" s="5" t="s">
        <v>75</v>
      </c>
      <c r="S54" s="5" t="s">
        <v>73</v>
      </c>
      <c r="T54" s="1">
        <v>9</v>
      </c>
      <c r="U54" s="1">
        <v>21</v>
      </c>
      <c r="V54" s="1">
        <v>35</v>
      </c>
      <c r="AA54">
        <f t="shared" si="13"/>
        <v>52</v>
      </c>
      <c r="AB54">
        <f t="shared" si="5"/>
        <v>6</v>
      </c>
    </row>
    <row r="55" spans="1:28" x14ac:dyDescent="0.3">
      <c r="A55" s="3">
        <v>40</v>
      </c>
      <c r="B55" s="4"/>
      <c r="C55" s="6" t="s">
        <v>111</v>
      </c>
      <c r="D55" s="5"/>
      <c r="E55" s="5" t="s">
        <v>72</v>
      </c>
      <c r="F55" s="5" t="s">
        <v>50</v>
      </c>
      <c r="G55" s="5" t="s">
        <v>57</v>
      </c>
      <c r="H55" s="5" t="s">
        <v>60</v>
      </c>
      <c r="I55" s="5" t="s">
        <v>65</v>
      </c>
      <c r="J55" s="5" t="s">
        <v>64</v>
      </c>
      <c r="K55" s="5" t="s">
        <v>54</v>
      </c>
      <c r="L55" s="5" t="s">
        <v>68</v>
      </c>
      <c r="M55" s="5" t="s">
        <v>208</v>
      </c>
      <c r="N55" s="5" t="s">
        <v>71</v>
      </c>
      <c r="O55" s="5" t="s">
        <v>52</v>
      </c>
      <c r="P55" s="5" t="s">
        <v>48</v>
      </c>
      <c r="Q55" s="5" t="s">
        <v>210</v>
      </c>
      <c r="R55" s="5" t="s">
        <v>51</v>
      </c>
      <c r="S55" s="5" t="s">
        <v>53</v>
      </c>
      <c r="T55" s="1">
        <v>9</v>
      </c>
      <c r="U55" s="1">
        <v>22</v>
      </c>
      <c r="V55" s="1">
        <v>9</v>
      </c>
      <c r="AA55">
        <f t="shared" si="13"/>
        <v>53</v>
      </c>
      <c r="AB55">
        <f t="shared" si="5"/>
        <v>1</v>
      </c>
    </row>
    <row r="56" spans="1:28" x14ac:dyDescent="0.3">
      <c r="A56" s="3">
        <v>41</v>
      </c>
      <c r="B56" s="4"/>
      <c r="C56" s="6" t="s">
        <v>127</v>
      </c>
      <c r="D56" s="5"/>
      <c r="E56" s="5" t="s">
        <v>61</v>
      </c>
      <c r="F56" s="5" t="s">
        <v>63</v>
      </c>
      <c r="G56" s="5" t="s">
        <v>207</v>
      </c>
      <c r="H56" s="5" t="s">
        <v>58</v>
      </c>
      <c r="I56" s="5" t="s">
        <v>65</v>
      </c>
      <c r="J56" s="5" t="s">
        <v>59</v>
      </c>
      <c r="K56" s="5" t="s">
        <v>54</v>
      </c>
      <c r="L56" s="5" t="s">
        <v>66</v>
      </c>
      <c r="M56" s="5" t="s">
        <v>47</v>
      </c>
      <c r="N56" s="5" t="s">
        <v>71</v>
      </c>
      <c r="O56" s="5" t="s">
        <v>52</v>
      </c>
      <c r="P56" s="5" t="s">
        <v>209</v>
      </c>
      <c r="Q56" s="5" t="s">
        <v>210</v>
      </c>
      <c r="R56" s="5" t="s">
        <v>51</v>
      </c>
      <c r="S56" s="5" t="s">
        <v>73</v>
      </c>
      <c r="T56" s="1">
        <v>8</v>
      </c>
      <c r="U56" s="1">
        <v>20</v>
      </c>
      <c r="V56" s="1">
        <v>62</v>
      </c>
      <c r="AA56">
        <f t="shared" si="13"/>
        <v>54</v>
      </c>
      <c r="AB56">
        <f t="shared" si="5"/>
        <v>1</v>
      </c>
    </row>
    <row r="57" spans="1:28" ht="28.8" x14ac:dyDescent="0.3">
      <c r="A57" s="3">
        <v>42</v>
      </c>
      <c r="B57" s="4"/>
      <c r="C57" s="6" t="s">
        <v>27</v>
      </c>
      <c r="D57" s="5"/>
      <c r="E57" s="5" t="s">
        <v>72</v>
      </c>
      <c r="F57" s="5" t="s">
        <v>63</v>
      </c>
      <c r="G57" s="5" t="s">
        <v>57</v>
      </c>
      <c r="H57" s="5" t="s">
        <v>60</v>
      </c>
      <c r="I57" s="5" t="s">
        <v>65</v>
      </c>
      <c r="J57" s="5" t="s">
        <v>64</v>
      </c>
      <c r="K57" s="5" t="s">
        <v>54</v>
      </c>
      <c r="L57" s="5" t="s">
        <v>66</v>
      </c>
      <c r="M57" s="5" t="s">
        <v>47</v>
      </c>
      <c r="N57" s="5" t="s">
        <v>55</v>
      </c>
      <c r="O57" s="5" t="s">
        <v>70</v>
      </c>
      <c r="P57" s="5" t="s">
        <v>48</v>
      </c>
      <c r="Q57" s="5" t="s">
        <v>210</v>
      </c>
      <c r="R57" s="5" t="s">
        <v>75</v>
      </c>
      <c r="S57" s="5" t="s">
        <v>73</v>
      </c>
      <c r="T57" s="1">
        <v>8</v>
      </c>
      <c r="U57" s="1">
        <v>21</v>
      </c>
      <c r="V57" s="1">
        <v>52</v>
      </c>
      <c r="AA57">
        <f t="shared" si="13"/>
        <v>55</v>
      </c>
      <c r="AB57">
        <f t="shared" si="5"/>
        <v>3</v>
      </c>
    </row>
    <row r="58" spans="1:28" x14ac:dyDescent="0.3">
      <c r="A58" s="3">
        <v>43</v>
      </c>
      <c r="B58" s="4"/>
      <c r="C58" s="6" t="s">
        <v>144</v>
      </c>
      <c r="D58" s="5"/>
      <c r="E58" s="5" t="s">
        <v>72</v>
      </c>
      <c r="F58" s="5" t="s">
        <v>63</v>
      </c>
      <c r="G58" s="5" t="s">
        <v>57</v>
      </c>
      <c r="H58" s="5" t="s">
        <v>58</v>
      </c>
      <c r="I58" s="5" t="s">
        <v>67</v>
      </c>
      <c r="J58" s="5" t="s">
        <v>59</v>
      </c>
      <c r="K58" s="5" t="s">
        <v>54</v>
      </c>
      <c r="L58" s="5" t="s">
        <v>66</v>
      </c>
      <c r="M58" s="5" t="s">
        <v>208</v>
      </c>
      <c r="N58" s="5" t="s">
        <v>55</v>
      </c>
      <c r="O58" s="5" t="s">
        <v>52</v>
      </c>
      <c r="P58" s="5" t="s">
        <v>209</v>
      </c>
      <c r="Q58" s="5" t="s">
        <v>69</v>
      </c>
      <c r="R58" s="5" t="s">
        <v>75</v>
      </c>
      <c r="S58" s="5" t="s">
        <v>53</v>
      </c>
      <c r="T58" s="1">
        <v>8</v>
      </c>
      <c r="U58" s="1">
        <v>21</v>
      </c>
      <c r="V58" s="1">
        <v>51</v>
      </c>
      <c r="AA58">
        <f t="shared" si="13"/>
        <v>56</v>
      </c>
      <c r="AB58">
        <f t="shared" si="5"/>
        <v>1</v>
      </c>
    </row>
    <row r="59" spans="1:28" x14ac:dyDescent="0.3">
      <c r="A59" s="3">
        <v>44</v>
      </c>
      <c r="B59" s="4"/>
      <c r="C59" s="6" t="s">
        <v>23</v>
      </c>
      <c r="D59" s="5"/>
      <c r="E59" s="5" t="s">
        <v>61</v>
      </c>
      <c r="F59" s="5" t="s">
        <v>50</v>
      </c>
      <c r="G59" s="5" t="s">
        <v>57</v>
      </c>
      <c r="H59" s="5" t="s">
        <v>60</v>
      </c>
      <c r="I59" s="5" t="s">
        <v>67</v>
      </c>
      <c r="J59" s="5" t="s">
        <v>59</v>
      </c>
      <c r="K59" s="5" t="s">
        <v>54</v>
      </c>
      <c r="L59" s="5" t="s">
        <v>66</v>
      </c>
      <c r="M59" s="5" t="s">
        <v>208</v>
      </c>
      <c r="N59" s="5" t="s">
        <v>71</v>
      </c>
      <c r="O59" s="5" t="s">
        <v>52</v>
      </c>
      <c r="P59" s="5" t="s">
        <v>209</v>
      </c>
      <c r="Q59" s="5" t="s">
        <v>210</v>
      </c>
      <c r="R59" s="5" t="s">
        <v>75</v>
      </c>
      <c r="S59" s="5" t="s">
        <v>73</v>
      </c>
      <c r="T59" s="1">
        <v>8</v>
      </c>
      <c r="U59" s="1">
        <v>21</v>
      </c>
      <c r="V59" s="1">
        <v>51</v>
      </c>
      <c r="AA59">
        <f t="shared" si="13"/>
        <v>57</v>
      </c>
      <c r="AB59">
        <f t="shared" si="5"/>
        <v>1</v>
      </c>
    </row>
    <row r="60" spans="1:28" x14ac:dyDescent="0.3">
      <c r="A60" s="3">
        <v>45</v>
      </c>
      <c r="B60" s="4"/>
      <c r="C60" s="6" t="s">
        <v>129</v>
      </c>
      <c r="D60" s="5"/>
      <c r="E60" s="5" t="s">
        <v>72</v>
      </c>
      <c r="F60" s="5" t="s">
        <v>50</v>
      </c>
      <c r="G60" s="5" t="s">
        <v>57</v>
      </c>
      <c r="H60" s="5" t="s">
        <v>60</v>
      </c>
      <c r="I60" s="5" t="s">
        <v>65</v>
      </c>
      <c r="J60" s="5" t="s">
        <v>59</v>
      </c>
      <c r="K60" s="5" t="s">
        <v>54</v>
      </c>
      <c r="L60" s="5" t="s">
        <v>66</v>
      </c>
      <c r="M60" s="5" t="s">
        <v>47</v>
      </c>
      <c r="N60" s="5" t="s">
        <v>71</v>
      </c>
      <c r="O60" s="5" t="s">
        <v>52</v>
      </c>
      <c r="P60" s="5" t="s">
        <v>48</v>
      </c>
      <c r="Q60" s="5" t="s">
        <v>210</v>
      </c>
      <c r="R60" s="5" t="s">
        <v>75</v>
      </c>
      <c r="S60" s="5" t="s">
        <v>73</v>
      </c>
      <c r="T60" s="1">
        <v>8</v>
      </c>
      <c r="U60" s="1">
        <v>23</v>
      </c>
      <c r="V60" s="1">
        <v>49</v>
      </c>
      <c r="AA60">
        <f t="shared" si="13"/>
        <v>58</v>
      </c>
      <c r="AB60">
        <f t="shared" si="5"/>
        <v>0</v>
      </c>
    </row>
    <row r="61" spans="1:28" x14ac:dyDescent="0.3">
      <c r="A61" s="3">
        <v>46</v>
      </c>
      <c r="B61" s="4"/>
      <c r="C61" s="6" t="s">
        <v>84</v>
      </c>
      <c r="D61" s="5"/>
      <c r="E61" s="5" t="s">
        <v>61</v>
      </c>
      <c r="F61" s="5" t="s">
        <v>63</v>
      </c>
      <c r="G61" s="5" t="s">
        <v>207</v>
      </c>
      <c r="H61" s="5" t="s">
        <v>58</v>
      </c>
      <c r="I61" s="5" t="s">
        <v>65</v>
      </c>
      <c r="J61" s="5" t="s">
        <v>59</v>
      </c>
      <c r="K61" s="5" t="s">
        <v>54</v>
      </c>
      <c r="L61" s="5" t="s">
        <v>66</v>
      </c>
      <c r="M61" s="5" t="s">
        <v>47</v>
      </c>
      <c r="N61" s="5" t="s">
        <v>55</v>
      </c>
      <c r="O61" s="5" t="s">
        <v>52</v>
      </c>
      <c r="P61" s="5" t="s">
        <v>209</v>
      </c>
      <c r="Q61" s="5" t="s">
        <v>210</v>
      </c>
      <c r="R61" s="5" t="s">
        <v>75</v>
      </c>
      <c r="S61" s="5" t="s">
        <v>73</v>
      </c>
      <c r="T61" s="1">
        <v>8</v>
      </c>
      <c r="U61" s="1">
        <v>23</v>
      </c>
      <c r="V61" s="1">
        <v>48</v>
      </c>
      <c r="AA61">
        <f t="shared" si="13"/>
        <v>59</v>
      </c>
      <c r="AB61">
        <f t="shared" si="5"/>
        <v>1</v>
      </c>
    </row>
    <row r="62" spans="1:28" ht="28.8" x14ac:dyDescent="0.3">
      <c r="A62" s="3">
        <v>47</v>
      </c>
      <c r="B62" s="4"/>
      <c r="C62" s="6" t="s">
        <v>113</v>
      </c>
      <c r="D62" s="5"/>
      <c r="E62" s="5" t="s">
        <v>61</v>
      </c>
      <c r="F62" s="5" t="s">
        <v>50</v>
      </c>
      <c r="G62" s="5" t="s">
        <v>57</v>
      </c>
      <c r="H62" s="5" t="s">
        <v>60</v>
      </c>
      <c r="I62" s="5" t="s">
        <v>67</v>
      </c>
      <c r="J62" s="5" t="s">
        <v>59</v>
      </c>
      <c r="K62" s="5" t="s">
        <v>62</v>
      </c>
      <c r="L62" s="5" t="s">
        <v>66</v>
      </c>
      <c r="M62" s="5" t="s">
        <v>47</v>
      </c>
      <c r="N62" s="5" t="s">
        <v>71</v>
      </c>
      <c r="O62" s="5" t="s">
        <v>52</v>
      </c>
      <c r="P62" s="5" t="s">
        <v>48</v>
      </c>
      <c r="Q62" s="5" t="s">
        <v>210</v>
      </c>
      <c r="R62" s="5" t="s">
        <v>75</v>
      </c>
      <c r="S62" s="5" t="s">
        <v>53</v>
      </c>
      <c r="T62" s="1">
        <v>8</v>
      </c>
      <c r="U62" s="1">
        <v>24</v>
      </c>
      <c r="V62" s="1">
        <v>48</v>
      </c>
      <c r="AA62">
        <f t="shared" si="13"/>
        <v>60</v>
      </c>
      <c r="AB62">
        <f t="shared" si="5"/>
        <v>0</v>
      </c>
    </row>
    <row r="63" spans="1:28" ht="28.8" x14ac:dyDescent="0.3">
      <c r="A63" s="3">
        <v>48</v>
      </c>
      <c r="B63" s="4"/>
      <c r="C63" s="6" t="s">
        <v>147</v>
      </c>
      <c r="D63" s="5"/>
      <c r="E63" s="5" t="s">
        <v>72</v>
      </c>
      <c r="F63" s="5" t="s">
        <v>50</v>
      </c>
      <c r="G63" s="5" t="s">
        <v>207</v>
      </c>
      <c r="H63" s="5" t="s">
        <v>58</v>
      </c>
      <c r="I63" s="5" t="s">
        <v>67</v>
      </c>
      <c r="J63" s="5" t="s">
        <v>64</v>
      </c>
      <c r="K63" s="5" t="s">
        <v>62</v>
      </c>
      <c r="L63" s="5" t="s">
        <v>66</v>
      </c>
      <c r="M63" s="5" t="s">
        <v>208</v>
      </c>
      <c r="N63" s="5" t="s">
        <v>71</v>
      </c>
      <c r="O63" s="5" t="s">
        <v>52</v>
      </c>
      <c r="P63" s="5" t="s">
        <v>209</v>
      </c>
      <c r="Q63" s="5" t="s">
        <v>69</v>
      </c>
      <c r="R63" s="5" t="s">
        <v>51</v>
      </c>
      <c r="S63" s="5" t="s">
        <v>53</v>
      </c>
      <c r="T63" s="1">
        <v>8</v>
      </c>
      <c r="U63" s="1">
        <v>26</v>
      </c>
      <c r="V63" s="1">
        <v>48</v>
      </c>
      <c r="AA63">
        <f t="shared" si="13"/>
        <v>61</v>
      </c>
      <c r="AB63">
        <f t="shared" si="5"/>
        <v>0</v>
      </c>
    </row>
    <row r="64" spans="1:28" x14ac:dyDescent="0.3">
      <c r="A64" s="3">
        <v>49</v>
      </c>
      <c r="B64" s="4"/>
      <c r="C64" s="6" t="s">
        <v>101</v>
      </c>
      <c r="D64" s="5"/>
      <c r="E64" s="5" t="s">
        <v>61</v>
      </c>
      <c r="F64" s="5" t="s">
        <v>63</v>
      </c>
      <c r="G64" s="5" t="s">
        <v>207</v>
      </c>
      <c r="H64" s="5" t="s">
        <v>58</v>
      </c>
      <c r="I64" s="5" t="s">
        <v>65</v>
      </c>
      <c r="J64" s="5" t="s">
        <v>59</v>
      </c>
      <c r="K64" s="5" t="s">
        <v>62</v>
      </c>
      <c r="L64" s="5" t="s">
        <v>68</v>
      </c>
      <c r="M64" s="5" t="s">
        <v>47</v>
      </c>
      <c r="N64" s="5" t="s">
        <v>71</v>
      </c>
      <c r="O64" s="5" t="s">
        <v>52</v>
      </c>
      <c r="P64" s="5" t="s">
        <v>209</v>
      </c>
      <c r="Q64" s="5" t="s">
        <v>69</v>
      </c>
      <c r="R64" s="5" t="s">
        <v>75</v>
      </c>
      <c r="S64" s="5" t="s">
        <v>73</v>
      </c>
      <c r="T64" s="1">
        <v>8</v>
      </c>
      <c r="U64" s="1">
        <v>23</v>
      </c>
      <c r="V64" s="1">
        <v>48</v>
      </c>
      <c r="AA64">
        <f t="shared" si="13"/>
        <v>62</v>
      </c>
      <c r="AB64">
        <f t="shared" si="5"/>
        <v>1</v>
      </c>
    </row>
    <row r="65" spans="1:28" x14ac:dyDescent="0.3">
      <c r="A65" s="3">
        <v>50</v>
      </c>
      <c r="B65" s="4"/>
      <c r="C65" s="6" t="s">
        <v>151</v>
      </c>
      <c r="D65" s="5"/>
      <c r="E65" s="5" t="s">
        <v>61</v>
      </c>
      <c r="F65" s="5" t="s">
        <v>63</v>
      </c>
      <c r="G65" s="5" t="s">
        <v>207</v>
      </c>
      <c r="H65" s="5" t="s">
        <v>58</v>
      </c>
      <c r="I65" s="5" t="s">
        <v>67</v>
      </c>
      <c r="J65" s="5" t="s">
        <v>64</v>
      </c>
      <c r="K65" s="5" t="s">
        <v>62</v>
      </c>
      <c r="L65" s="5" t="s">
        <v>68</v>
      </c>
      <c r="M65" s="5" t="s">
        <v>208</v>
      </c>
      <c r="N65" s="5" t="s">
        <v>55</v>
      </c>
      <c r="O65" s="5" t="s">
        <v>52</v>
      </c>
      <c r="P65" s="5" t="s">
        <v>209</v>
      </c>
      <c r="Q65" s="5" t="s">
        <v>69</v>
      </c>
      <c r="R65" s="5" t="s">
        <v>51</v>
      </c>
      <c r="S65" s="5" t="s">
        <v>53</v>
      </c>
      <c r="T65" s="1">
        <v>8</v>
      </c>
      <c r="U65" s="1">
        <v>22</v>
      </c>
      <c r="V65" s="1">
        <v>47</v>
      </c>
      <c r="AA65">
        <f t="shared" si="13"/>
        <v>63</v>
      </c>
      <c r="AB65">
        <f t="shared" si="5"/>
        <v>0</v>
      </c>
    </row>
    <row r="66" spans="1:28" x14ac:dyDescent="0.3">
      <c r="A66" s="3">
        <v>51</v>
      </c>
      <c r="B66" s="4"/>
      <c r="C66" s="6" t="s">
        <v>26</v>
      </c>
      <c r="D66" s="5"/>
      <c r="E66" s="5" t="s">
        <v>61</v>
      </c>
      <c r="F66" s="5" t="s">
        <v>63</v>
      </c>
      <c r="G66" s="5" t="s">
        <v>57</v>
      </c>
      <c r="H66" s="5" t="s">
        <v>60</v>
      </c>
      <c r="I66" s="5" t="s">
        <v>65</v>
      </c>
      <c r="J66" s="5" t="s">
        <v>59</v>
      </c>
      <c r="K66" s="5" t="s">
        <v>54</v>
      </c>
      <c r="L66" s="5" t="s">
        <v>68</v>
      </c>
      <c r="M66" s="5" t="s">
        <v>47</v>
      </c>
      <c r="N66" s="5" t="s">
        <v>55</v>
      </c>
      <c r="O66" s="5" t="s">
        <v>70</v>
      </c>
      <c r="P66" s="5" t="s">
        <v>209</v>
      </c>
      <c r="Q66" s="5" t="s">
        <v>210</v>
      </c>
      <c r="R66" s="5" t="s">
        <v>75</v>
      </c>
      <c r="S66" s="5" t="s">
        <v>73</v>
      </c>
      <c r="T66" s="1">
        <v>8</v>
      </c>
      <c r="U66" s="1">
        <v>21</v>
      </c>
      <c r="V66" s="1">
        <v>46</v>
      </c>
      <c r="AA66">
        <f t="shared" si="13"/>
        <v>64</v>
      </c>
      <c r="AB66">
        <f t="shared" si="5"/>
        <v>0</v>
      </c>
    </row>
    <row r="67" spans="1:28" x14ac:dyDescent="0.3">
      <c r="A67" s="3">
        <v>52</v>
      </c>
      <c r="B67" s="4"/>
      <c r="C67" s="6" t="s">
        <v>93</v>
      </c>
      <c r="D67" s="5"/>
      <c r="E67" s="5" t="s">
        <v>61</v>
      </c>
      <c r="F67" s="5" t="s">
        <v>63</v>
      </c>
      <c r="G67" s="5" t="s">
        <v>57</v>
      </c>
      <c r="H67" s="5" t="s">
        <v>58</v>
      </c>
      <c r="I67" s="5" t="s">
        <v>67</v>
      </c>
      <c r="J67" s="5" t="s">
        <v>59</v>
      </c>
      <c r="K67" s="5" t="s">
        <v>62</v>
      </c>
      <c r="L67" s="5" t="s">
        <v>66</v>
      </c>
      <c r="M67" s="5" t="s">
        <v>47</v>
      </c>
      <c r="N67" s="5" t="s">
        <v>71</v>
      </c>
      <c r="O67" s="5" t="s">
        <v>52</v>
      </c>
      <c r="P67" s="5" t="s">
        <v>209</v>
      </c>
      <c r="Q67" s="5" t="s">
        <v>210</v>
      </c>
      <c r="R67" s="5" t="s">
        <v>75</v>
      </c>
      <c r="S67" s="5" t="s">
        <v>73</v>
      </c>
      <c r="T67" s="1">
        <v>8</v>
      </c>
      <c r="U67" s="1">
        <v>23</v>
      </c>
      <c r="V67" s="1">
        <v>46</v>
      </c>
      <c r="AA67">
        <f t="shared" si="13"/>
        <v>65</v>
      </c>
      <c r="AB67">
        <f t="shared" ref="AB67:AB120" si="14">COUNTIF(V$16:V$179,AA67)</f>
        <v>0</v>
      </c>
    </row>
    <row r="68" spans="1:28" ht="28.8" x14ac:dyDescent="0.3">
      <c r="A68" s="3">
        <v>53</v>
      </c>
      <c r="B68" s="4"/>
      <c r="C68" s="6" t="s">
        <v>165</v>
      </c>
      <c r="D68" s="5"/>
      <c r="E68" s="5" t="s">
        <v>72</v>
      </c>
      <c r="F68" s="5" t="s">
        <v>50</v>
      </c>
      <c r="G68" s="5" t="s">
        <v>207</v>
      </c>
      <c r="H68" s="5" t="s">
        <v>60</v>
      </c>
      <c r="I68" s="5" t="s">
        <v>65</v>
      </c>
      <c r="J68" s="5" t="s">
        <v>64</v>
      </c>
      <c r="K68" s="5" t="s">
        <v>54</v>
      </c>
      <c r="L68" s="5" t="s">
        <v>68</v>
      </c>
      <c r="M68" s="5" t="s">
        <v>208</v>
      </c>
      <c r="N68" s="5" t="s">
        <v>55</v>
      </c>
      <c r="O68" s="5" t="s">
        <v>70</v>
      </c>
      <c r="P68" s="5" t="s">
        <v>209</v>
      </c>
      <c r="Q68" s="5" t="s">
        <v>69</v>
      </c>
      <c r="R68" s="5" t="s">
        <v>51</v>
      </c>
      <c r="S68" s="5" t="s">
        <v>53</v>
      </c>
      <c r="T68" s="1">
        <v>8</v>
      </c>
      <c r="U68" s="1">
        <v>24</v>
      </c>
      <c r="V68" s="1">
        <v>46</v>
      </c>
      <c r="AA68">
        <f t="shared" si="13"/>
        <v>66</v>
      </c>
      <c r="AB68">
        <f t="shared" si="14"/>
        <v>0</v>
      </c>
    </row>
    <row r="69" spans="1:28" ht="28.8" x14ac:dyDescent="0.3">
      <c r="A69" s="3">
        <v>54</v>
      </c>
      <c r="B69" s="4"/>
      <c r="C69" s="6" t="s">
        <v>158</v>
      </c>
      <c r="D69" s="5"/>
      <c r="E69" s="5" t="s">
        <v>72</v>
      </c>
      <c r="F69" s="5" t="s">
        <v>63</v>
      </c>
      <c r="G69" s="5" t="s">
        <v>207</v>
      </c>
      <c r="H69" s="5" t="s">
        <v>58</v>
      </c>
      <c r="I69" s="5" t="s">
        <v>65</v>
      </c>
      <c r="J69" s="5" t="s">
        <v>59</v>
      </c>
      <c r="K69" s="5" t="s">
        <v>54</v>
      </c>
      <c r="L69" s="5" t="s">
        <v>68</v>
      </c>
      <c r="M69" s="5" t="s">
        <v>47</v>
      </c>
      <c r="N69" s="5" t="s">
        <v>55</v>
      </c>
      <c r="O69" s="5" t="s">
        <v>52</v>
      </c>
      <c r="P69" s="5" t="s">
        <v>48</v>
      </c>
      <c r="Q69" s="5" t="s">
        <v>69</v>
      </c>
      <c r="R69" s="5" t="s">
        <v>75</v>
      </c>
      <c r="S69" s="5" t="s">
        <v>73</v>
      </c>
      <c r="T69" s="1">
        <v>8</v>
      </c>
      <c r="U69" s="1">
        <v>21</v>
      </c>
      <c r="V69" s="1">
        <v>46</v>
      </c>
      <c r="AA69">
        <f t="shared" si="13"/>
        <v>67</v>
      </c>
      <c r="AB69">
        <f t="shared" si="14"/>
        <v>0</v>
      </c>
    </row>
    <row r="70" spans="1:28" x14ac:dyDescent="0.3">
      <c r="A70" s="3">
        <v>55</v>
      </c>
      <c r="B70" s="4"/>
      <c r="C70" s="6" t="s">
        <v>83</v>
      </c>
      <c r="D70" s="5"/>
      <c r="E70" s="5" t="s">
        <v>61</v>
      </c>
      <c r="F70" s="5" t="s">
        <v>63</v>
      </c>
      <c r="G70" s="5" t="s">
        <v>207</v>
      </c>
      <c r="H70" s="5" t="s">
        <v>58</v>
      </c>
      <c r="I70" s="5" t="s">
        <v>67</v>
      </c>
      <c r="J70" s="5" t="s">
        <v>59</v>
      </c>
      <c r="K70" s="5" t="s">
        <v>62</v>
      </c>
      <c r="L70" s="5" t="s">
        <v>66</v>
      </c>
      <c r="M70" s="5" t="s">
        <v>47</v>
      </c>
      <c r="N70" s="5" t="s">
        <v>55</v>
      </c>
      <c r="O70" s="5" t="s">
        <v>70</v>
      </c>
      <c r="P70" s="5" t="s">
        <v>209</v>
      </c>
      <c r="Q70" s="5" t="s">
        <v>210</v>
      </c>
      <c r="R70" s="5" t="s">
        <v>75</v>
      </c>
      <c r="S70" s="5" t="s">
        <v>53</v>
      </c>
      <c r="T70" s="1">
        <v>8</v>
      </c>
      <c r="U70" s="1">
        <v>23</v>
      </c>
      <c r="V70" s="1">
        <v>46</v>
      </c>
      <c r="AA70">
        <f t="shared" si="13"/>
        <v>68</v>
      </c>
      <c r="AB70">
        <f t="shared" si="14"/>
        <v>0</v>
      </c>
    </row>
    <row r="71" spans="1:28" ht="28.8" x14ac:dyDescent="0.3">
      <c r="A71" s="3">
        <v>56</v>
      </c>
      <c r="B71" s="4"/>
      <c r="C71" s="6" t="s">
        <v>174</v>
      </c>
      <c r="D71" s="5"/>
      <c r="E71" s="5" t="s">
        <v>61</v>
      </c>
      <c r="F71" s="5" t="s">
        <v>63</v>
      </c>
      <c r="G71" s="5" t="s">
        <v>57</v>
      </c>
      <c r="H71" s="5" t="s">
        <v>60</v>
      </c>
      <c r="I71" s="5" t="s">
        <v>67</v>
      </c>
      <c r="J71" s="5" t="s">
        <v>59</v>
      </c>
      <c r="K71" s="5" t="s">
        <v>62</v>
      </c>
      <c r="L71" s="5" t="s">
        <v>68</v>
      </c>
      <c r="M71" s="5" t="s">
        <v>47</v>
      </c>
      <c r="N71" s="5" t="s">
        <v>71</v>
      </c>
      <c r="O71" s="5" t="s">
        <v>70</v>
      </c>
      <c r="P71" s="5" t="s">
        <v>48</v>
      </c>
      <c r="Q71" s="5" t="s">
        <v>210</v>
      </c>
      <c r="R71" s="5" t="s">
        <v>75</v>
      </c>
      <c r="S71" s="5" t="s">
        <v>73</v>
      </c>
      <c r="T71" s="1">
        <v>8</v>
      </c>
      <c r="U71" s="1">
        <v>23</v>
      </c>
      <c r="V71" s="1">
        <v>45</v>
      </c>
      <c r="AA71">
        <f t="shared" ref="AA71:AA120" si="15">AA70+1</f>
        <v>69</v>
      </c>
      <c r="AB71">
        <f t="shared" si="14"/>
        <v>0</v>
      </c>
    </row>
    <row r="72" spans="1:28" ht="28.8" x14ac:dyDescent="0.3">
      <c r="A72" s="3">
        <v>57</v>
      </c>
      <c r="B72" s="4"/>
      <c r="C72" s="6" t="s">
        <v>197</v>
      </c>
      <c r="D72" s="5"/>
      <c r="E72" s="5" t="s">
        <v>61</v>
      </c>
      <c r="F72" s="5" t="s">
        <v>63</v>
      </c>
      <c r="G72" s="5" t="s">
        <v>57</v>
      </c>
      <c r="H72" s="5" t="s">
        <v>60</v>
      </c>
      <c r="I72" s="5" t="s">
        <v>65</v>
      </c>
      <c r="J72" s="5" t="s">
        <v>59</v>
      </c>
      <c r="K72" s="5" t="s">
        <v>54</v>
      </c>
      <c r="L72" s="5" t="s">
        <v>66</v>
      </c>
      <c r="M72" s="5" t="s">
        <v>47</v>
      </c>
      <c r="N72" s="5" t="s">
        <v>55</v>
      </c>
      <c r="O72" s="5" t="s">
        <v>52</v>
      </c>
      <c r="P72" s="5" t="s">
        <v>48</v>
      </c>
      <c r="Q72" s="5" t="s">
        <v>210</v>
      </c>
      <c r="R72" s="5" t="s">
        <v>75</v>
      </c>
      <c r="S72" s="5" t="s">
        <v>53</v>
      </c>
      <c r="T72" s="1">
        <v>8</v>
      </c>
      <c r="U72" s="1">
        <v>19</v>
      </c>
      <c r="V72" s="1">
        <v>45</v>
      </c>
      <c r="AA72">
        <f t="shared" si="15"/>
        <v>70</v>
      </c>
      <c r="AB72">
        <f t="shared" si="14"/>
        <v>0</v>
      </c>
    </row>
    <row r="73" spans="1:28" ht="28.8" x14ac:dyDescent="0.3">
      <c r="A73" s="3">
        <v>58</v>
      </c>
      <c r="B73" s="4"/>
      <c r="C73" s="6" t="s">
        <v>89</v>
      </c>
      <c r="D73" s="5"/>
      <c r="E73" s="5" t="s">
        <v>61</v>
      </c>
      <c r="F73" s="5" t="s">
        <v>50</v>
      </c>
      <c r="G73" s="5" t="s">
        <v>207</v>
      </c>
      <c r="H73" s="5" t="s">
        <v>60</v>
      </c>
      <c r="I73" s="5" t="s">
        <v>67</v>
      </c>
      <c r="J73" s="5" t="s">
        <v>64</v>
      </c>
      <c r="K73" s="5" t="s">
        <v>62</v>
      </c>
      <c r="L73" s="5" t="s">
        <v>68</v>
      </c>
      <c r="M73" s="5" t="s">
        <v>208</v>
      </c>
      <c r="N73" s="5" t="s">
        <v>55</v>
      </c>
      <c r="O73" s="5" t="s">
        <v>52</v>
      </c>
      <c r="P73" s="5" t="s">
        <v>209</v>
      </c>
      <c r="Q73" s="5" t="s">
        <v>210</v>
      </c>
      <c r="R73" s="5" t="s">
        <v>51</v>
      </c>
      <c r="S73" s="5" t="s">
        <v>73</v>
      </c>
      <c r="T73" s="1">
        <v>8</v>
      </c>
      <c r="U73" s="1">
        <v>24</v>
      </c>
      <c r="V73" s="1">
        <v>45</v>
      </c>
      <c r="AA73">
        <f t="shared" si="15"/>
        <v>71</v>
      </c>
      <c r="AB73">
        <f t="shared" si="14"/>
        <v>0</v>
      </c>
    </row>
    <row r="74" spans="1:28" x14ac:dyDescent="0.3">
      <c r="A74" s="3">
        <v>59</v>
      </c>
      <c r="B74" s="4"/>
      <c r="C74" s="6" t="s">
        <v>94</v>
      </c>
      <c r="D74" s="5"/>
      <c r="E74" s="5" t="s">
        <v>72</v>
      </c>
      <c r="F74" s="5" t="s">
        <v>63</v>
      </c>
      <c r="G74" s="5" t="s">
        <v>57</v>
      </c>
      <c r="H74" s="5" t="s">
        <v>60</v>
      </c>
      <c r="I74" s="5" t="s">
        <v>65</v>
      </c>
      <c r="J74" s="5" t="s">
        <v>59</v>
      </c>
      <c r="K74" s="5" t="s">
        <v>54</v>
      </c>
      <c r="L74" s="5" t="s">
        <v>66</v>
      </c>
      <c r="M74" s="5" t="s">
        <v>47</v>
      </c>
      <c r="N74" s="5" t="s">
        <v>55</v>
      </c>
      <c r="O74" s="5" t="s">
        <v>52</v>
      </c>
      <c r="P74" s="5" t="s">
        <v>48</v>
      </c>
      <c r="Q74" s="5" t="s">
        <v>210</v>
      </c>
      <c r="R74" s="5" t="s">
        <v>75</v>
      </c>
      <c r="S74" s="5" t="s">
        <v>73</v>
      </c>
      <c r="T74" s="1">
        <v>8</v>
      </c>
      <c r="U74" s="1">
        <v>28</v>
      </c>
      <c r="V74" s="1">
        <v>45</v>
      </c>
      <c r="AA74">
        <f t="shared" si="15"/>
        <v>72</v>
      </c>
      <c r="AB74">
        <f t="shared" si="14"/>
        <v>0</v>
      </c>
    </row>
    <row r="75" spans="1:28" ht="28.8" x14ac:dyDescent="0.3">
      <c r="A75" s="3">
        <v>60</v>
      </c>
      <c r="B75" s="4"/>
      <c r="C75" s="6" t="s">
        <v>28</v>
      </c>
      <c r="D75" s="5"/>
      <c r="E75" s="5" t="s">
        <v>61</v>
      </c>
      <c r="F75" s="5" t="s">
        <v>63</v>
      </c>
      <c r="G75" s="5" t="s">
        <v>207</v>
      </c>
      <c r="H75" s="5" t="s">
        <v>60</v>
      </c>
      <c r="I75" s="5" t="s">
        <v>67</v>
      </c>
      <c r="J75" s="5" t="s">
        <v>59</v>
      </c>
      <c r="K75" s="5" t="s">
        <v>54</v>
      </c>
      <c r="L75" s="5" t="s">
        <v>66</v>
      </c>
      <c r="M75" s="5" t="s">
        <v>47</v>
      </c>
      <c r="N75" s="5" t="s">
        <v>71</v>
      </c>
      <c r="O75" s="5" t="s">
        <v>70</v>
      </c>
      <c r="P75" s="5" t="s">
        <v>48</v>
      </c>
      <c r="Q75" s="5" t="s">
        <v>210</v>
      </c>
      <c r="R75" s="5" t="s">
        <v>51</v>
      </c>
      <c r="S75" s="5" t="s">
        <v>73</v>
      </c>
      <c r="T75" s="1">
        <v>8</v>
      </c>
      <c r="U75" s="1">
        <v>21</v>
      </c>
      <c r="V75" s="1">
        <v>44</v>
      </c>
      <c r="AA75">
        <f t="shared" si="15"/>
        <v>73</v>
      </c>
      <c r="AB75">
        <f t="shared" si="14"/>
        <v>0</v>
      </c>
    </row>
    <row r="76" spans="1:28" ht="28.8" x14ac:dyDescent="0.3">
      <c r="A76" s="3">
        <v>61</v>
      </c>
      <c r="B76" s="4"/>
      <c r="C76" s="6" t="s">
        <v>99</v>
      </c>
      <c r="D76" s="5"/>
      <c r="E76" s="5" t="s">
        <v>61</v>
      </c>
      <c r="F76" s="5" t="s">
        <v>63</v>
      </c>
      <c r="G76" s="5" t="s">
        <v>57</v>
      </c>
      <c r="H76" s="5" t="s">
        <v>60</v>
      </c>
      <c r="I76" s="5" t="s">
        <v>67</v>
      </c>
      <c r="J76" s="5" t="s">
        <v>59</v>
      </c>
      <c r="K76" s="5" t="s">
        <v>54</v>
      </c>
      <c r="L76" s="5" t="s">
        <v>66</v>
      </c>
      <c r="M76" s="5" t="s">
        <v>208</v>
      </c>
      <c r="N76" s="5" t="s">
        <v>71</v>
      </c>
      <c r="O76" s="5" t="s">
        <v>52</v>
      </c>
      <c r="P76" s="5" t="s">
        <v>48</v>
      </c>
      <c r="Q76" s="5" t="s">
        <v>210</v>
      </c>
      <c r="R76" s="5" t="s">
        <v>75</v>
      </c>
      <c r="S76" s="5" t="s">
        <v>73</v>
      </c>
      <c r="T76" s="1">
        <v>8</v>
      </c>
      <c r="U76" s="1">
        <v>22</v>
      </c>
      <c r="V76" s="1">
        <v>44</v>
      </c>
      <c r="AA76">
        <f t="shared" si="15"/>
        <v>74</v>
      </c>
      <c r="AB76">
        <f t="shared" si="14"/>
        <v>0</v>
      </c>
    </row>
    <row r="77" spans="1:28" ht="28.8" x14ac:dyDescent="0.3">
      <c r="A77" s="3">
        <v>62</v>
      </c>
      <c r="B77" s="4"/>
      <c r="C77" s="6" t="s">
        <v>172</v>
      </c>
      <c r="D77" s="5"/>
      <c r="E77" s="5" t="s">
        <v>61</v>
      </c>
      <c r="F77" s="5" t="s">
        <v>63</v>
      </c>
      <c r="G77" s="5" t="s">
        <v>57</v>
      </c>
      <c r="H77" s="5" t="s">
        <v>60</v>
      </c>
      <c r="I77" s="5" t="s">
        <v>65</v>
      </c>
      <c r="J77" s="5" t="s">
        <v>64</v>
      </c>
      <c r="K77" s="5" t="s">
        <v>62</v>
      </c>
      <c r="L77" s="5" t="s">
        <v>66</v>
      </c>
      <c r="M77" s="5" t="s">
        <v>208</v>
      </c>
      <c r="N77" s="5" t="s">
        <v>71</v>
      </c>
      <c r="O77" s="5" t="s">
        <v>52</v>
      </c>
      <c r="P77" s="5" t="s">
        <v>48</v>
      </c>
      <c r="Q77" s="5" t="s">
        <v>210</v>
      </c>
      <c r="R77" s="5" t="s">
        <v>75</v>
      </c>
      <c r="S77" s="5" t="s">
        <v>53</v>
      </c>
      <c r="T77" s="1">
        <v>8</v>
      </c>
      <c r="U77" s="1">
        <v>21</v>
      </c>
      <c r="V77" s="1">
        <v>44</v>
      </c>
      <c r="AA77">
        <f t="shared" si="15"/>
        <v>75</v>
      </c>
      <c r="AB77">
        <f t="shared" si="14"/>
        <v>0</v>
      </c>
    </row>
    <row r="78" spans="1:28" x14ac:dyDescent="0.3">
      <c r="A78" s="3">
        <v>63</v>
      </c>
      <c r="B78" s="4"/>
      <c r="C78" s="6" t="s">
        <v>16</v>
      </c>
      <c r="D78" s="5"/>
      <c r="E78" s="5" t="s">
        <v>72</v>
      </c>
      <c r="F78" s="5" t="s">
        <v>63</v>
      </c>
      <c r="G78" s="5" t="s">
        <v>207</v>
      </c>
      <c r="H78" s="5" t="s">
        <v>58</v>
      </c>
      <c r="I78" s="5" t="s">
        <v>65</v>
      </c>
      <c r="J78" s="5" t="s">
        <v>59</v>
      </c>
      <c r="K78" s="5" t="s">
        <v>62</v>
      </c>
      <c r="L78" s="5" t="s">
        <v>66</v>
      </c>
      <c r="M78" s="5" t="s">
        <v>47</v>
      </c>
      <c r="N78" s="5" t="s">
        <v>71</v>
      </c>
      <c r="O78" s="5" t="s">
        <v>52</v>
      </c>
      <c r="P78" s="5" t="s">
        <v>48</v>
      </c>
      <c r="Q78" s="5" t="s">
        <v>69</v>
      </c>
      <c r="R78" s="5" t="s">
        <v>75</v>
      </c>
      <c r="S78" s="5" t="s">
        <v>53</v>
      </c>
      <c r="T78" s="1">
        <v>8</v>
      </c>
      <c r="U78" s="1">
        <v>21</v>
      </c>
      <c r="V78" s="1">
        <v>43</v>
      </c>
      <c r="AA78">
        <f t="shared" si="15"/>
        <v>76</v>
      </c>
      <c r="AB78">
        <f t="shared" si="14"/>
        <v>0</v>
      </c>
    </row>
    <row r="79" spans="1:28" ht="28.8" x14ac:dyDescent="0.3">
      <c r="A79" s="3">
        <v>64</v>
      </c>
      <c r="B79" s="4"/>
      <c r="C79" s="6" t="s">
        <v>193</v>
      </c>
      <c r="D79" s="5"/>
      <c r="E79" s="5" t="s">
        <v>61</v>
      </c>
      <c r="F79" s="5" t="s">
        <v>63</v>
      </c>
      <c r="G79" s="5" t="s">
        <v>57</v>
      </c>
      <c r="H79" s="5" t="s">
        <v>60</v>
      </c>
      <c r="I79" s="5" t="s">
        <v>67</v>
      </c>
      <c r="J79" s="5" t="s">
        <v>59</v>
      </c>
      <c r="K79" s="5" t="s">
        <v>62</v>
      </c>
      <c r="L79" s="5" t="s">
        <v>66</v>
      </c>
      <c r="M79" s="5" t="s">
        <v>47</v>
      </c>
      <c r="N79" s="5" t="s">
        <v>71</v>
      </c>
      <c r="O79" s="5" t="s">
        <v>52</v>
      </c>
      <c r="P79" s="5" t="s">
        <v>48</v>
      </c>
      <c r="Q79" s="5" t="s">
        <v>210</v>
      </c>
      <c r="R79" s="5" t="s">
        <v>75</v>
      </c>
      <c r="S79" s="5" t="s">
        <v>73</v>
      </c>
      <c r="T79" s="1">
        <v>8</v>
      </c>
      <c r="U79" s="1">
        <v>16</v>
      </c>
      <c r="V79" s="1">
        <v>43</v>
      </c>
      <c r="AA79">
        <f t="shared" si="15"/>
        <v>77</v>
      </c>
      <c r="AB79">
        <f t="shared" si="14"/>
        <v>0</v>
      </c>
    </row>
    <row r="80" spans="1:28" ht="28.8" x14ac:dyDescent="0.3">
      <c r="A80" s="3">
        <v>65</v>
      </c>
      <c r="B80" s="4"/>
      <c r="C80" s="6" t="s">
        <v>117</v>
      </c>
      <c r="D80" s="5"/>
      <c r="E80" s="5" t="s">
        <v>61</v>
      </c>
      <c r="F80" s="5" t="s">
        <v>63</v>
      </c>
      <c r="G80" s="5" t="s">
        <v>207</v>
      </c>
      <c r="H80" s="5" t="s">
        <v>58</v>
      </c>
      <c r="I80" s="5" t="s">
        <v>65</v>
      </c>
      <c r="J80" s="5" t="s">
        <v>59</v>
      </c>
      <c r="K80" s="5" t="s">
        <v>54</v>
      </c>
      <c r="L80" s="5" t="s">
        <v>66</v>
      </c>
      <c r="M80" s="5" t="s">
        <v>47</v>
      </c>
      <c r="N80" s="5" t="s">
        <v>55</v>
      </c>
      <c r="O80" s="5" t="s">
        <v>52</v>
      </c>
      <c r="P80" s="5" t="s">
        <v>209</v>
      </c>
      <c r="Q80" s="5" t="s">
        <v>69</v>
      </c>
      <c r="R80" s="5" t="s">
        <v>75</v>
      </c>
      <c r="S80" s="5" t="s">
        <v>53</v>
      </c>
      <c r="T80" s="1">
        <v>8</v>
      </c>
      <c r="U80" s="1">
        <v>23</v>
      </c>
      <c r="V80" s="1">
        <v>43</v>
      </c>
      <c r="AA80">
        <f t="shared" si="15"/>
        <v>78</v>
      </c>
      <c r="AB80">
        <f t="shared" si="14"/>
        <v>0</v>
      </c>
    </row>
    <row r="81" spans="1:28" x14ac:dyDescent="0.3">
      <c r="A81" s="3">
        <v>66</v>
      </c>
      <c r="B81" s="4"/>
      <c r="C81" s="6" t="s">
        <v>141</v>
      </c>
      <c r="D81" s="5"/>
      <c r="E81" s="5" t="s">
        <v>72</v>
      </c>
      <c r="F81" s="5" t="s">
        <v>50</v>
      </c>
      <c r="G81" s="5" t="s">
        <v>207</v>
      </c>
      <c r="H81" s="5" t="s">
        <v>58</v>
      </c>
      <c r="I81" s="5" t="s">
        <v>65</v>
      </c>
      <c r="J81" s="5" t="s">
        <v>64</v>
      </c>
      <c r="K81" s="5" t="s">
        <v>54</v>
      </c>
      <c r="L81" s="5" t="s">
        <v>66</v>
      </c>
      <c r="M81" s="5" t="s">
        <v>208</v>
      </c>
      <c r="N81" s="5" t="s">
        <v>71</v>
      </c>
      <c r="O81" s="5" t="s">
        <v>52</v>
      </c>
      <c r="P81" s="5" t="s">
        <v>209</v>
      </c>
      <c r="Q81" s="5" t="s">
        <v>69</v>
      </c>
      <c r="R81" s="5" t="s">
        <v>51</v>
      </c>
      <c r="S81" s="5" t="s">
        <v>53</v>
      </c>
      <c r="T81" s="1">
        <v>8</v>
      </c>
      <c r="U81" s="1">
        <v>24</v>
      </c>
      <c r="V81" s="1">
        <v>43</v>
      </c>
      <c r="AA81">
        <f t="shared" si="15"/>
        <v>79</v>
      </c>
      <c r="AB81">
        <f t="shared" si="14"/>
        <v>0</v>
      </c>
    </row>
    <row r="82" spans="1:28" ht="28.8" x14ac:dyDescent="0.3">
      <c r="A82" s="3">
        <v>67</v>
      </c>
      <c r="B82" s="4"/>
      <c r="C82" s="6" t="s">
        <v>41</v>
      </c>
      <c r="D82" s="5"/>
      <c r="E82" s="5" t="s">
        <v>72</v>
      </c>
      <c r="F82" s="5" t="s">
        <v>50</v>
      </c>
      <c r="G82" s="5" t="s">
        <v>207</v>
      </c>
      <c r="H82" s="5" t="s">
        <v>60</v>
      </c>
      <c r="I82" s="5" t="s">
        <v>67</v>
      </c>
      <c r="J82" s="5" t="s">
        <v>64</v>
      </c>
      <c r="K82" s="5" t="s">
        <v>54</v>
      </c>
      <c r="L82" s="5" t="s">
        <v>66</v>
      </c>
      <c r="M82" s="5" t="s">
        <v>208</v>
      </c>
      <c r="N82" s="5" t="s">
        <v>55</v>
      </c>
      <c r="O82" s="5" t="s">
        <v>52</v>
      </c>
      <c r="P82" s="5" t="s">
        <v>48</v>
      </c>
      <c r="Q82" s="5" t="s">
        <v>69</v>
      </c>
      <c r="R82" s="5" t="s">
        <v>75</v>
      </c>
      <c r="S82" s="5" t="s">
        <v>73</v>
      </c>
      <c r="T82" s="1">
        <v>8</v>
      </c>
      <c r="U82" s="1">
        <v>19</v>
      </c>
      <c r="V82" s="1">
        <v>43</v>
      </c>
      <c r="AA82">
        <f t="shared" si="15"/>
        <v>80</v>
      </c>
      <c r="AB82">
        <f t="shared" si="14"/>
        <v>0</v>
      </c>
    </row>
    <row r="83" spans="1:28" x14ac:dyDescent="0.3">
      <c r="A83" s="3">
        <v>68</v>
      </c>
      <c r="B83" s="4"/>
      <c r="C83" s="6" t="s">
        <v>31</v>
      </c>
      <c r="D83" s="5"/>
      <c r="E83" s="5" t="s">
        <v>61</v>
      </c>
      <c r="F83" s="5" t="s">
        <v>63</v>
      </c>
      <c r="G83" s="5" t="s">
        <v>57</v>
      </c>
      <c r="H83" s="5" t="s">
        <v>60</v>
      </c>
      <c r="I83" s="5" t="s">
        <v>65</v>
      </c>
      <c r="J83" s="5" t="s">
        <v>59</v>
      </c>
      <c r="K83" s="5" t="s">
        <v>54</v>
      </c>
      <c r="L83" s="5" t="s">
        <v>66</v>
      </c>
      <c r="M83" s="5" t="s">
        <v>47</v>
      </c>
      <c r="N83" s="5" t="s">
        <v>71</v>
      </c>
      <c r="O83" s="5" t="s">
        <v>52</v>
      </c>
      <c r="P83" s="5" t="s">
        <v>48</v>
      </c>
      <c r="Q83" s="5" t="s">
        <v>210</v>
      </c>
      <c r="R83" s="5" t="s">
        <v>75</v>
      </c>
      <c r="S83" s="5" t="s">
        <v>73</v>
      </c>
      <c r="T83" s="1">
        <v>8</v>
      </c>
      <c r="U83" s="1">
        <v>20</v>
      </c>
      <c r="V83" s="1">
        <v>42</v>
      </c>
      <c r="AA83">
        <f t="shared" si="15"/>
        <v>81</v>
      </c>
      <c r="AB83">
        <f t="shared" si="14"/>
        <v>0</v>
      </c>
    </row>
    <row r="84" spans="1:28" ht="28.8" x14ac:dyDescent="0.3">
      <c r="A84" s="3">
        <v>69</v>
      </c>
      <c r="B84" s="4"/>
      <c r="C84" s="6" t="s">
        <v>176</v>
      </c>
      <c r="D84" s="5"/>
      <c r="E84" s="5" t="s">
        <v>61</v>
      </c>
      <c r="F84" s="5" t="s">
        <v>63</v>
      </c>
      <c r="G84" s="5" t="s">
        <v>207</v>
      </c>
      <c r="H84" s="5" t="s">
        <v>58</v>
      </c>
      <c r="I84" s="5" t="s">
        <v>65</v>
      </c>
      <c r="J84" s="5" t="s">
        <v>59</v>
      </c>
      <c r="K84" s="5" t="s">
        <v>54</v>
      </c>
      <c r="L84" s="5" t="s">
        <v>66</v>
      </c>
      <c r="M84" s="5" t="s">
        <v>47</v>
      </c>
      <c r="N84" s="5" t="s">
        <v>55</v>
      </c>
      <c r="O84" s="5" t="s">
        <v>52</v>
      </c>
      <c r="P84" s="5" t="s">
        <v>209</v>
      </c>
      <c r="Q84" s="5" t="s">
        <v>210</v>
      </c>
      <c r="R84" s="5" t="s">
        <v>51</v>
      </c>
      <c r="S84" s="5" t="s">
        <v>53</v>
      </c>
      <c r="T84" s="1">
        <v>8</v>
      </c>
      <c r="U84" s="1">
        <v>22</v>
      </c>
      <c r="V84" s="1">
        <v>42</v>
      </c>
      <c r="AA84">
        <f t="shared" si="15"/>
        <v>82</v>
      </c>
      <c r="AB84">
        <f t="shared" si="14"/>
        <v>0</v>
      </c>
    </row>
    <row r="85" spans="1:28" ht="28.8" x14ac:dyDescent="0.3">
      <c r="A85" s="3">
        <v>70</v>
      </c>
      <c r="B85" s="4"/>
      <c r="C85" s="6" t="s">
        <v>198</v>
      </c>
      <c r="D85" s="5"/>
      <c r="E85" s="5" t="s">
        <v>72</v>
      </c>
      <c r="F85" s="5" t="s">
        <v>50</v>
      </c>
      <c r="G85" s="5" t="s">
        <v>207</v>
      </c>
      <c r="H85" s="5" t="s">
        <v>60</v>
      </c>
      <c r="I85" s="5" t="s">
        <v>67</v>
      </c>
      <c r="J85" s="5" t="s">
        <v>59</v>
      </c>
      <c r="K85" s="5" t="s">
        <v>62</v>
      </c>
      <c r="L85" s="5" t="s">
        <v>66</v>
      </c>
      <c r="M85" s="5" t="s">
        <v>208</v>
      </c>
      <c r="N85" s="5" t="s">
        <v>71</v>
      </c>
      <c r="O85" s="5" t="s">
        <v>52</v>
      </c>
      <c r="P85" s="5" t="s">
        <v>48</v>
      </c>
      <c r="Q85" s="5" t="s">
        <v>210</v>
      </c>
      <c r="R85" s="5" t="s">
        <v>75</v>
      </c>
      <c r="S85" s="5" t="s">
        <v>73</v>
      </c>
      <c r="T85" s="1">
        <v>8</v>
      </c>
      <c r="U85" s="1">
        <v>21</v>
      </c>
      <c r="V85" s="1">
        <v>42</v>
      </c>
      <c r="AA85">
        <f t="shared" si="15"/>
        <v>83</v>
      </c>
      <c r="AB85">
        <f t="shared" si="14"/>
        <v>0</v>
      </c>
    </row>
    <row r="86" spans="1:28" x14ac:dyDescent="0.3">
      <c r="A86" s="3">
        <v>71</v>
      </c>
      <c r="B86" s="4"/>
      <c r="C86" s="6" t="s">
        <v>98</v>
      </c>
      <c r="D86" s="5"/>
      <c r="E86" s="5" t="s">
        <v>61</v>
      </c>
      <c r="F86" s="5" t="s">
        <v>50</v>
      </c>
      <c r="G86" s="5" t="s">
        <v>207</v>
      </c>
      <c r="H86" s="5" t="s">
        <v>58</v>
      </c>
      <c r="I86" s="5" t="s">
        <v>67</v>
      </c>
      <c r="J86" s="5" t="s">
        <v>59</v>
      </c>
      <c r="K86" s="5" t="s">
        <v>54</v>
      </c>
      <c r="L86" s="5" t="s">
        <v>66</v>
      </c>
      <c r="M86" s="5" t="s">
        <v>47</v>
      </c>
      <c r="N86" s="5" t="s">
        <v>71</v>
      </c>
      <c r="O86" s="5" t="s">
        <v>52</v>
      </c>
      <c r="P86" s="5" t="s">
        <v>209</v>
      </c>
      <c r="Q86" s="5" t="s">
        <v>69</v>
      </c>
      <c r="R86" s="5" t="s">
        <v>75</v>
      </c>
      <c r="S86" s="5" t="s">
        <v>73</v>
      </c>
      <c r="T86" s="1">
        <v>8</v>
      </c>
      <c r="U86" s="1">
        <v>24</v>
      </c>
      <c r="V86" s="1">
        <v>42</v>
      </c>
      <c r="AA86">
        <f t="shared" si="15"/>
        <v>84</v>
      </c>
      <c r="AB86">
        <f t="shared" si="14"/>
        <v>0</v>
      </c>
    </row>
    <row r="87" spans="1:28" ht="43.2" x14ac:dyDescent="0.3">
      <c r="A87" s="3">
        <v>72</v>
      </c>
      <c r="B87" s="4"/>
      <c r="C87" s="6" t="s">
        <v>132</v>
      </c>
      <c r="D87" s="5"/>
      <c r="E87" s="5" t="s">
        <v>72</v>
      </c>
      <c r="F87" s="5" t="s">
        <v>63</v>
      </c>
      <c r="G87" s="5" t="s">
        <v>207</v>
      </c>
      <c r="H87" s="5" t="s">
        <v>58</v>
      </c>
      <c r="I87" s="5" t="s">
        <v>67</v>
      </c>
      <c r="J87" s="5" t="s">
        <v>59</v>
      </c>
      <c r="K87" s="5" t="s">
        <v>54</v>
      </c>
      <c r="L87" s="5" t="s">
        <v>66</v>
      </c>
      <c r="M87" s="5" t="s">
        <v>47</v>
      </c>
      <c r="N87" s="5" t="s">
        <v>55</v>
      </c>
      <c r="O87" s="5" t="s">
        <v>70</v>
      </c>
      <c r="P87" s="5" t="s">
        <v>48</v>
      </c>
      <c r="Q87" s="5" t="s">
        <v>69</v>
      </c>
      <c r="R87" s="5" t="s">
        <v>75</v>
      </c>
      <c r="S87" s="5" t="s">
        <v>53</v>
      </c>
      <c r="T87" s="1">
        <v>8</v>
      </c>
      <c r="U87" s="1">
        <v>21</v>
      </c>
      <c r="V87" s="1">
        <v>40</v>
      </c>
      <c r="AA87">
        <f t="shared" si="15"/>
        <v>85</v>
      </c>
      <c r="AB87">
        <f t="shared" si="14"/>
        <v>0</v>
      </c>
    </row>
    <row r="88" spans="1:28" ht="28.8" x14ac:dyDescent="0.3">
      <c r="A88" s="3">
        <v>73</v>
      </c>
      <c r="B88" s="4"/>
      <c r="C88" s="6" t="s">
        <v>25</v>
      </c>
      <c r="D88" s="5"/>
      <c r="E88" s="5" t="s">
        <v>72</v>
      </c>
      <c r="F88" s="5" t="s">
        <v>63</v>
      </c>
      <c r="G88" s="5" t="s">
        <v>57</v>
      </c>
      <c r="H88" s="5" t="s">
        <v>58</v>
      </c>
      <c r="I88" s="5" t="s">
        <v>67</v>
      </c>
      <c r="J88" s="5" t="s">
        <v>59</v>
      </c>
      <c r="K88" s="5" t="s">
        <v>54</v>
      </c>
      <c r="L88" s="5" t="s">
        <v>68</v>
      </c>
      <c r="M88" s="5" t="s">
        <v>208</v>
      </c>
      <c r="N88" s="5" t="s">
        <v>55</v>
      </c>
      <c r="O88" s="5" t="s">
        <v>52</v>
      </c>
      <c r="P88" s="5" t="s">
        <v>48</v>
      </c>
      <c r="Q88" s="5" t="s">
        <v>69</v>
      </c>
      <c r="R88" s="5" t="s">
        <v>75</v>
      </c>
      <c r="S88" s="5" t="s">
        <v>53</v>
      </c>
      <c r="T88" s="1">
        <v>8</v>
      </c>
      <c r="U88" s="1">
        <v>20</v>
      </c>
      <c r="V88" s="1">
        <v>39</v>
      </c>
      <c r="AA88">
        <f t="shared" si="15"/>
        <v>86</v>
      </c>
      <c r="AB88">
        <f t="shared" si="14"/>
        <v>0</v>
      </c>
    </row>
    <row r="89" spans="1:28" x14ac:dyDescent="0.3">
      <c r="A89" s="3">
        <v>74</v>
      </c>
      <c r="B89" s="4"/>
      <c r="C89" s="6" t="s">
        <v>14</v>
      </c>
      <c r="D89" s="5"/>
      <c r="E89" s="5" t="s">
        <v>72</v>
      </c>
      <c r="F89" s="5" t="s">
        <v>63</v>
      </c>
      <c r="G89" s="5" t="s">
        <v>207</v>
      </c>
      <c r="H89" s="5" t="s">
        <v>58</v>
      </c>
      <c r="I89" s="5" t="s">
        <v>67</v>
      </c>
      <c r="J89" s="5" t="s">
        <v>59</v>
      </c>
      <c r="K89" s="5" t="s">
        <v>54</v>
      </c>
      <c r="L89" s="5" t="s">
        <v>66</v>
      </c>
      <c r="M89" s="5" t="s">
        <v>47</v>
      </c>
      <c r="N89" s="5" t="s">
        <v>55</v>
      </c>
      <c r="O89" s="5" t="s">
        <v>70</v>
      </c>
      <c r="P89" s="5" t="s">
        <v>48</v>
      </c>
      <c r="Q89" s="5" t="s">
        <v>210</v>
      </c>
      <c r="R89" s="5" t="s">
        <v>75</v>
      </c>
      <c r="S89" s="5" t="s">
        <v>73</v>
      </c>
      <c r="T89" s="1">
        <v>8</v>
      </c>
      <c r="U89" s="1">
        <v>23</v>
      </c>
      <c r="V89" s="1">
        <v>38</v>
      </c>
      <c r="AA89">
        <f t="shared" si="15"/>
        <v>87</v>
      </c>
      <c r="AB89">
        <f t="shared" si="14"/>
        <v>0</v>
      </c>
    </row>
    <row r="90" spans="1:28" ht="28.8" x14ac:dyDescent="0.3">
      <c r="A90" s="3">
        <v>75</v>
      </c>
      <c r="B90" s="4"/>
      <c r="C90" s="6" t="s">
        <v>104</v>
      </c>
      <c r="D90" s="5"/>
      <c r="E90" s="5" t="s">
        <v>61</v>
      </c>
      <c r="F90" s="5" t="s">
        <v>63</v>
      </c>
      <c r="G90" s="5" t="s">
        <v>207</v>
      </c>
      <c r="H90" s="5" t="s">
        <v>58</v>
      </c>
      <c r="I90" s="5" t="s">
        <v>67</v>
      </c>
      <c r="J90" s="5" t="s">
        <v>59</v>
      </c>
      <c r="K90" s="5" t="s">
        <v>54</v>
      </c>
      <c r="L90" s="5" t="s">
        <v>66</v>
      </c>
      <c r="M90" s="5" t="s">
        <v>47</v>
      </c>
      <c r="N90" s="5" t="s">
        <v>55</v>
      </c>
      <c r="O90" s="5" t="s">
        <v>70</v>
      </c>
      <c r="P90" s="5" t="s">
        <v>209</v>
      </c>
      <c r="Q90" s="5" t="s">
        <v>210</v>
      </c>
      <c r="R90" s="5" t="s">
        <v>75</v>
      </c>
      <c r="S90" s="5" t="s">
        <v>73</v>
      </c>
      <c r="T90" s="1">
        <v>8</v>
      </c>
      <c r="U90" s="1">
        <v>20</v>
      </c>
      <c r="V90" s="1">
        <v>38</v>
      </c>
      <c r="AA90">
        <f t="shared" si="15"/>
        <v>88</v>
      </c>
      <c r="AB90">
        <f t="shared" si="14"/>
        <v>0</v>
      </c>
    </row>
    <row r="91" spans="1:28" ht="28.8" x14ac:dyDescent="0.3">
      <c r="A91" s="3">
        <v>76</v>
      </c>
      <c r="B91" s="4"/>
      <c r="C91" s="6" t="s">
        <v>134</v>
      </c>
      <c r="D91" s="5"/>
      <c r="E91" s="5" t="s">
        <v>72</v>
      </c>
      <c r="F91" s="5" t="s">
        <v>63</v>
      </c>
      <c r="G91" s="5" t="s">
        <v>57</v>
      </c>
      <c r="H91" s="5" t="s">
        <v>58</v>
      </c>
      <c r="I91" s="5" t="s">
        <v>65</v>
      </c>
      <c r="J91" s="5" t="s">
        <v>59</v>
      </c>
      <c r="K91" s="5" t="s">
        <v>54</v>
      </c>
      <c r="L91" s="5" t="s">
        <v>66</v>
      </c>
      <c r="M91" s="5" t="s">
        <v>208</v>
      </c>
      <c r="N91" s="5" t="s">
        <v>55</v>
      </c>
      <c r="O91" s="5" t="s">
        <v>52</v>
      </c>
      <c r="P91" s="5" t="s">
        <v>209</v>
      </c>
      <c r="Q91" s="5" t="s">
        <v>210</v>
      </c>
      <c r="R91" s="5" t="s">
        <v>75</v>
      </c>
      <c r="S91" s="5" t="s">
        <v>53</v>
      </c>
      <c r="T91" s="1">
        <v>8</v>
      </c>
      <c r="U91" s="1">
        <v>20</v>
      </c>
      <c r="V91" s="1">
        <v>37</v>
      </c>
      <c r="AA91">
        <f t="shared" si="15"/>
        <v>89</v>
      </c>
      <c r="AB91">
        <f t="shared" si="14"/>
        <v>0</v>
      </c>
    </row>
    <row r="92" spans="1:28" x14ac:dyDescent="0.3">
      <c r="A92" s="3">
        <v>77</v>
      </c>
      <c r="B92" s="4"/>
      <c r="C92" s="6" t="s">
        <v>35</v>
      </c>
      <c r="D92" s="5"/>
      <c r="E92" s="5" t="s">
        <v>61</v>
      </c>
      <c r="F92" s="5" t="s">
        <v>50</v>
      </c>
      <c r="G92" s="5" t="s">
        <v>57</v>
      </c>
      <c r="H92" s="5" t="s">
        <v>58</v>
      </c>
      <c r="I92" s="5" t="s">
        <v>67</v>
      </c>
      <c r="J92" s="5" t="s">
        <v>59</v>
      </c>
      <c r="K92" s="5" t="s">
        <v>54</v>
      </c>
      <c r="L92" s="5" t="s">
        <v>68</v>
      </c>
      <c r="M92" s="5" t="s">
        <v>47</v>
      </c>
      <c r="N92" s="5" t="s">
        <v>71</v>
      </c>
      <c r="O92" s="5" t="s">
        <v>52</v>
      </c>
      <c r="P92" s="5" t="s">
        <v>48</v>
      </c>
      <c r="Q92" s="5" t="s">
        <v>210</v>
      </c>
      <c r="R92" s="5" t="s">
        <v>75</v>
      </c>
      <c r="S92" s="5" t="s">
        <v>73</v>
      </c>
      <c r="T92" s="1">
        <v>8</v>
      </c>
      <c r="U92" s="1">
        <v>21</v>
      </c>
      <c r="V92" s="1">
        <v>35</v>
      </c>
      <c r="AA92">
        <f t="shared" si="15"/>
        <v>90</v>
      </c>
      <c r="AB92">
        <f t="shared" si="14"/>
        <v>0</v>
      </c>
    </row>
    <row r="93" spans="1:28" ht="28.8" x14ac:dyDescent="0.3">
      <c r="A93" s="3">
        <v>78</v>
      </c>
      <c r="B93" s="4"/>
      <c r="C93" s="6" t="s">
        <v>103</v>
      </c>
      <c r="D93" s="5"/>
      <c r="E93" s="5" t="s">
        <v>61</v>
      </c>
      <c r="F93" s="5" t="s">
        <v>63</v>
      </c>
      <c r="G93" s="5" t="s">
        <v>207</v>
      </c>
      <c r="H93" s="5" t="s">
        <v>58</v>
      </c>
      <c r="I93" s="5" t="s">
        <v>65</v>
      </c>
      <c r="J93" s="5" t="s">
        <v>59</v>
      </c>
      <c r="K93" s="5" t="s">
        <v>62</v>
      </c>
      <c r="L93" s="5" t="s">
        <v>68</v>
      </c>
      <c r="M93" s="5" t="s">
        <v>47</v>
      </c>
      <c r="N93" s="5" t="s">
        <v>55</v>
      </c>
      <c r="O93" s="5" t="s">
        <v>70</v>
      </c>
      <c r="P93" s="5" t="s">
        <v>209</v>
      </c>
      <c r="Q93" s="5" t="s">
        <v>210</v>
      </c>
      <c r="R93" s="5" t="s">
        <v>75</v>
      </c>
      <c r="S93" s="5" t="s">
        <v>53</v>
      </c>
      <c r="T93" s="1">
        <v>8</v>
      </c>
      <c r="U93" s="1">
        <v>18</v>
      </c>
      <c r="V93" s="1">
        <v>35</v>
      </c>
      <c r="AA93">
        <f t="shared" si="15"/>
        <v>91</v>
      </c>
      <c r="AB93">
        <f t="shared" si="14"/>
        <v>0</v>
      </c>
    </row>
    <row r="94" spans="1:28" ht="28.8" x14ac:dyDescent="0.3">
      <c r="A94" s="3">
        <v>79</v>
      </c>
      <c r="B94" s="4"/>
      <c r="C94" s="6" t="s">
        <v>8</v>
      </c>
      <c r="D94" s="5"/>
      <c r="E94" s="5" t="s">
        <v>72</v>
      </c>
      <c r="F94" s="5" t="s">
        <v>63</v>
      </c>
      <c r="G94" s="5" t="s">
        <v>57</v>
      </c>
      <c r="H94" s="5" t="s">
        <v>58</v>
      </c>
      <c r="I94" s="5" t="s">
        <v>67</v>
      </c>
      <c r="J94" s="5" t="s">
        <v>59</v>
      </c>
      <c r="K94" s="5" t="s">
        <v>62</v>
      </c>
      <c r="L94" s="5" t="s">
        <v>66</v>
      </c>
      <c r="M94" s="5" t="s">
        <v>208</v>
      </c>
      <c r="N94" s="5" t="s">
        <v>71</v>
      </c>
      <c r="O94" s="5" t="s">
        <v>70</v>
      </c>
      <c r="P94" s="5" t="s">
        <v>209</v>
      </c>
      <c r="Q94" s="5" t="s">
        <v>210</v>
      </c>
      <c r="R94" s="5" t="s">
        <v>75</v>
      </c>
      <c r="S94" s="5" t="s">
        <v>53</v>
      </c>
      <c r="T94" s="1">
        <v>8</v>
      </c>
      <c r="U94" s="1">
        <v>24</v>
      </c>
      <c r="V94" s="1">
        <v>34</v>
      </c>
      <c r="AA94">
        <f t="shared" si="15"/>
        <v>92</v>
      </c>
      <c r="AB94">
        <f t="shared" si="14"/>
        <v>0</v>
      </c>
    </row>
    <row r="95" spans="1:28" x14ac:dyDescent="0.3">
      <c r="A95" s="3">
        <v>80</v>
      </c>
      <c r="B95" s="4"/>
      <c r="C95" s="6" t="s">
        <v>39</v>
      </c>
      <c r="D95" s="5"/>
      <c r="E95" s="5" t="s">
        <v>61</v>
      </c>
      <c r="F95" s="5" t="s">
        <v>63</v>
      </c>
      <c r="G95" s="5" t="s">
        <v>207</v>
      </c>
      <c r="H95" s="5" t="s">
        <v>58</v>
      </c>
      <c r="I95" s="5" t="s">
        <v>67</v>
      </c>
      <c r="J95" s="5" t="s">
        <v>64</v>
      </c>
      <c r="K95" s="5" t="s">
        <v>62</v>
      </c>
      <c r="L95" s="5" t="s">
        <v>68</v>
      </c>
      <c r="M95" s="5" t="s">
        <v>47</v>
      </c>
      <c r="N95" s="5" t="s">
        <v>55</v>
      </c>
      <c r="O95" s="5" t="s">
        <v>70</v>
      </c>
      <c r="P95" s="5" t="s">
        <v>48</v>
      </c>
      <c r="Q95" s="5" t="s">
        <v>210</v>
      </c>
      <c r="R95" s="5" t="s">
        <v>75</v>
      </c>
      <c r="S95" s="5" t="s">
        <v>73</v>
      </c>
      <c r="T95" s="1">
        <v>8</v>
      </c>
      <c r="U95" s="1">
        <v>23</v>
      </c>
      <c r="V95" s="1">
        <v>32</v>
      </c>
      <c r="AA95">
        <f t="shared" si="15"/>
        <v>93</v>
      </c>
      <c r="AB95">
        <f t="shared" si="14"/>
        <v>0</v>
      </c>
    </row>
    <row r="96" spans="1:28" ht="28.8" x14ac:dyDescent="0.3">
      <c r="A96" s="3">
        <v>81</v>
      </c>
      <c r="B96" s="4"/>
      <c r="C96" s="6" t="s">
        <v>184</v>
      </c>
      <c r="D96" s="5"/>
      <c r="E96" s="5" t="s">
        <v>61</v>
      </c>
      <c r="F96" s="5" t="s">
        <v>63</v>
      </c>
      <c r="G96" s="5" t="s">
        <v>207</v>
      </c>
      <c r="H96" s="5" t="s">
        <v>58</v>
      </c>
      <c r="I96" s="5" t="s">
        <v>67</v>
      </c>
      <c r="J96" s="5" t="s">
        <v>64</v>
      </c>
      <c r="K96" s="5" t="s">
        <v>62</v>
      </c>
      <c r="L96" s="5" t="s">
        <v>66</v>
      </c>
      <c r="M96" s="5" t="s">
        <v>208</v>
      </c>
      <c r="N96" s="5" t="s">
        <v>55</v>
      </c>
      <c r="O96" s="5" t="s">
        <v>52</v>
      </c>
      <c r="P96" s="5" t="s">
        <v>209</v>
      </c>
      <c r="Q96" s="5" t="s">
        <v>69</v>
      </c>
      <c r="R96" s="5" t="s">
        <v>51</v>
      </c>
      <c r="S96" s="5" t="s">
        <v>53</v>
      </c>
      <c r="T96" s="1">
        <v>7</v>
      </c>
      <c r="U96" s="1">
        <v>22</v>
      </c>
      <c r="V96" s="1">
        <v>54</v>
      </c>
      <c r="AA96">
        <f t="shared" si="15"/>
        <v>94</v>
      </c>
      <c r="AB96">
        <f t="shared" si="14"/>
        <v>0</v>
      </c>
    </row>
    <row r="97" spans="1:28" x14ac:dyDescent="0.3">
      <c r="A97" s="3">
        <v>82</v>
      </c>
      <c r="B97" s="4"/>
      <c r="C97" s="6" t="s">
        <v>186</v>
      </c>
      <c r="D97" s="5"/>
      <c r="E97" s="5" t="s">
        <v>61</v>
      </c>
      <c r="F97" s="5" t="s">
        <v>50</v>
      </c>
      <c r="G97" s="5" t="s">
        <v>207</v>
      </c>
      <c r="H97" s="5" t="s">
        <v>58</v>
      </c>
      <c r="I97" s="5" t="s">
        <v>67</v>
      </c>
      <c r="J97" s="5" t="s">
        <v>59</v>
      </c>
      <c r="K97" s="5" t="s">
        <v>54</v>
      </c>
      <c r="L97" s="5" t="s">
        <v>66</v>
      </c>
      <c r="M97" s="5" t="s">
        <v>208</v>
      </c>
      <c r="N97" s="5" t="s">
        <v>55</v>
      </c>
      <c r="O97" s="5" t="s">
        <v>52</v>
      </c>
      <c r="P97" s="5" t="s">
        <v>209</v>
      </c>
      <c r="Q97" s="5" t="s">
        <v>210</v>
      </c>
      <c r="R97" s="5" t="s">
        <v>75</v>
      </c>
      <c r="S97" s="5" t="s">
        <v>73</v>
      </c>
      <c r="T97" s="1">
        <v>7</v>
      </c>
      <c r="U97" s="1">
        <v>21</v>
      </c>
      <c r="V97" s="1">
        <v>53</v>
      </c>
      <c r="AA97">
        <f t="shared" si="15"/>
        <v>95</v>
      </c>
      <c r="AB97">
        <f t="shared" si="14"/>
        <v>0</v>
      </c>
    </row>
    <row r="98" spans="1:28" x14ac:dyDescent="0.3">
      <c r="A98" s="3">
        <v>83</v>
      </c>
      <c r="B98" s="4"/>
      <c r="C98" s="6" t="s">
        <v>88</v>
      </c>
      <c r="D98" s="5"/>
      <c r="E98" s="5" t="s">
        <v>72</v>
      </c>
      <c r="F98" s="5" t="s">
        <v>63</v>
      </c>
      <c r="G98" s="5" t="s">
        <v>57</v>
      </c>
      <c r="H98" s="5" t="s">
        <v>58</v>
      </c>
      <c r="I98" s="5" t="s">
        <v>65</v>
      </c>
      <c r="J98" s="5" t="s">
        <v>59</v>
      </c>
      <c r="K98" s="5" t="s">
        <v>54</v>
      </c>
      <c r="L98" s="5" t="s">
        <v>66</v>
      </c>
      <c r="M98" s="5" t="s">
        <v>208</v>
      </c>
      <c r="N98" s="5" t="s">
        <v>71</v>
      </c>
      <c r="O98" s="5" t="s">
        <v>52</v>
      </c>
      <c r="P98" s="5" t="s">
        <v>48</v>
      </c>
      <c r="Q98" s="5" t="s">
        <v>210</v>
      </c>
      <c r="R98" s="5" t="s">
        <v>75</v>
      </c>
      <c r="S98" s="5" t="s">
        <v>73</v>
      </c>
      <c r="T98" s="1">
        <v>7</v>
      </c>
      <c r="U98" s="1">
        <v>21</v>
      </c>
      <c r="V98" s="1">
        <v>52</v>
      </c>
      <c r="AA98">
        <f t="shared" si="15"/>
        <v>96</v>
      </c>
      <c r="AB98">
        <f t="shared" si="14"/>
        <v>0</v>
      </c>
    </row>
    <row r="99" spans="1:28" ht="28.8" x14ac:dyDescent="0.3">
      <c r="A99" s="3">
        <v>84</v>
      </c>
      <c r="B99" s="4"/>
      <c r="C99" s="6" t="s">
        <v>116</v>
      </c>
      <c r="D99" s="5"/>
      <c r="E99" s="5" t="s">
        <v>61</v>
      </c>
      <c r="F99" s="5" t="s">
        <v>50</v>
      </c>
      <c r="G99" s="5" t="s">
        <v>57</v>
      </c>
      <c r="H99" s="5" t="s">
        <v>58</v>
      </c>
      <c r="I99" s="5" t="s">
        <v>65</v>
      </c>
      <c r="J99" s="5" t="s">
        <v>59</v>
      </c>
      <c r="K99" s="5" t="s">
        <v>54</v>
      </c>
      <c r="L99" s="5" t="s">
        <v>68</v>
      </c>
      <c r="M99" s="5" t="s">
        <v>47</v>
      </c>
      <c r="N99" s="5" t="s">
        <v>55</v>
      </c>
      <c r="O99" s="5" t="s">
        <v>52</v>
      </c>
      <c r="P99" s="5" t="s">
        <v>48</v>
      </c>
      <c r="Q99" s="5" t="s">
        <v>210</v>
      </c>
      <c r="R99" s="5" t="s">
        <v>75</v>
      </c>
      <c r="S99" s="5" t="s">
        <v>53</v>
      </c>
      <c r="T99" s="1">
        <v>7</v>
      </c>
      <c r="U99" s="1">
        <v>19</v>
      </c>
      <c r="V99" s="1">
        <v>52</v>
      </c>
      <c r="AA99">
        <f t="shared" si="15"/>
        <v>97</v>
      </c>
      <c r="AB99">
        <f t="shared" si="14"/>
        <v>0</v>
      </c>
    </row>
    <row r="100" spans="1:28" ht="28.8" x14ac:dyDescent="0.3">
      <c r="A100" s="3">
        <v>85</v>
      </c>
      <c r="B100" s="4"/>
      <c r="C100" s="6" t="s">
        <v>107</v>
      </c>
      <c r="D100" s="5"/>
      <c r="E100" s="5" t="s">
        <v>72</v>
      </c>
      <c r="F100" s="5" t="s">
        <v>63</v>
      </c>
      <c r="G100" s="5" t="s">
        <v>57</v>
      </c>
      <c r="H100" s="5" t="s">
        <v>58</v>
      </c>
      <c r="I100" s="5" t="s">
        <v>67</v>
      </c>
      <c r="J100" s="5" t="s">
        <v>59</v>
      </c>
      <c r="K100" s="5" t="s">
        <v>54</v>
      </c>
      <c r="L100" s="5" t="s">
        <v>66</v>
      </c>
      <c r="M100" s="5" t="s">
        <v>208</v>
      </c>
      <c r="N100" s="5" t="s">
        <v>71</v>
      </c>
      <c r="O100" s="5" t="s">
        <v>52</v>
      </c>
      <c r="P100" s="5" t="s">
        <v>48</v>
      </c>
      <c r="Q100" s="5" t="s">
        <v>210</v>
      </c>
      <c r="R100" s="5" t="s">
        <v>51</v>
      </c>
      <c r="S100" s="5" t="s">
        <v>73</v>
      </c>
      <c r="T100" s="1">
        <v>7</v>
      </c>
      <c r="U100" s="1">
        <v>20</v>
      </c>
      <c r="V100" s="1">
        <v>48</v>
      </c>
      <c r="AA100">
        <f t="shared" si="15"/>
        <v>98</v>
      </c>
      <c r="AB100">
        <f t="shared" si="14"/>
        <v>0</v>
      </c>
    </row>
    <row r="101" spans="1:28" ht="28.8" x14ac:dyDescent="0.3">
      <c r="A101" s="3">
        <v>86</v>
      </c>
      <c r="B101" s="4"/>
      <c r="C101" s="6" t="s">
        <v>102</v>
      </c>
      <c r="D101" s="5"/>
      <c r="E101" s="5" t="s">
        <v>72</v>
      </c>
      <c r="F101" s="5" t="s">
        <v>63</v>
      </c>
      <c r="G101" s="5" t="s">
        <v>57</v>
      </c>
      <c r="H101" s="5" t="s">
        <v>58</v>
      </c>
      <c r="I101" s="5" t="s">
        <v>67</v>
      </c>
      <c r="J101" s="5" t="s">
        <v>59</v>
      </c>
      <c r="K101" s="5" t="s">
        <v>62</v>
      </c>
      <c r="L101" s="5" t="s">
        <v>66</v>
      </c>
      <c r="M101" s="5" t="s">
        <v>47</v>
      </c>
      <c r="N101" s="5" t="s">
        <v>55</v>
      </c>
      <c r="O101" s="5" t="s">
        <v>52</v>
      </c>
      <c r="P101" s="5" t="s">
        <v>209</v>
      </c>
      <c r="Q101" s="5" t="s">
        <v>69</v>
      </c>
      <c r="R101" s="5" t="s">
        <v>75</v>
      </c>
      <c r="S101" s="5" t="s">
        <v>73</v>
      </c>
      <c r="T101" s="1">
        <v>7</v>
      </c>
      <c r="U101" s="1">
        <v>20</v>
      </c>
      <c r="V101" s="1">
        <v>48</v>
      </c>
      <c r="AA101">
        <f t="shared" si="15"/>
        <v>99</v>
      </c>
      <c r="AB101">
        <f t="shared" si="14"/>
        <v>0</v>
      </c>
    </row>
    <row r="102" spans="1:28" x14ac:dyDescent="0.3">
      <c r="A102" s="3">
        <v>87</v>
      </c>
      <c r="B102" s="4"/>
      <c r="C102" s="6" t="s">
        <v>157</v>
      </c>
      <c r="D102" s="5"/>
      <c r="E102" s="5" t="s">
        <v>61</v>
      </c>
      <c r="F102" s="5" t="s">
        <v>50</v>
      </c>
      <c r="G102" s="5" t="s">
        <v>207</v>
      </c>
      <c r="H102" s="5" t="s">
        <v>60</v>
      </c>
      <c r="I102" s="5" t="s">
        <v>67</v>
      </c>
      <c r="J102" s="5" t="s">
        <v>59</v>
      </c>
      <c r="K102" s="5" t="s">
        <v>54</v>
      </c>
      <c r="L102" s="5" t="s">
        <v>66</v>
      </c>
      <c r="M102" s="5" t="s">
        <v>208</v>
      </c>
      <c r="N102" s="5" t="s">
        <v>55</v>
      </c>
      <c r="O102" s="5" t="s">
        <v>70</v>
      </c>
      <c r="P102" s="5" t="s">
        <v>48</v>
      </c>
      <c r="Q102" s="5" t="s">
        <v>210</v>
      </c>
      <c r="R102" s="5" t="s">
        <v>75</v>
      </c>
      <c r="S102" s="5" t="s">
        <v>53</v>
      </c>
      <c r="T102" s="1">
        <v>7</v>
      </c>
      <c r="U102" s="1">
        <v>18</v>
      </c>
      <c r="V102" s="1">
        <v>48</v>
      </c>
      <c r="AA102">
        <f t="shared" si="15"/>
        <v>100</v>
      </c>
      <c r="AB102">
        <f t="shared" si="14"/>
        <v>0</v>
      </c>
    </row>
    <row r="103" spans="1:28" x14ac:dyDescent="0.3">
      <c r="A103" s="3">
        <v>88</v>
      </c>
      <c r="B103" s="4"/>
      <c r="C103" s="6" t="s">
        <v>150</v>
      </c>
      <c r="D103" s="5"/>
      <c r="E103" s="5" t="s">
        <v>61</v>
      </c>
      <c r="F103" s="5" t="s">
        <v>50</v>
      </c>
      <c r="G103" s="5" t="s">
        <v>57</v>
      </c>
      <c r="H103" s="5" t="s">
        <v>60</v>
      </c>
      <c r="I103" s="5" t="s">
        <v>67</v>
      </c>
      <c r="J103" s="5" t="s">
        <v>64</v>
      </c>
      <c r="K103" s="5" t="s">
        <v>62</v>
      </c>
      <c r="L103" s="5" t="s">
        <v>68</v>
      </c>
      <c r="M103" s="5" t="s">
        <v>208</v>
      </c>
      <c r="N103" s="5" t="s">
        <v>71</v>
      </c>
      <c r="O103" s="5" t="s">
        <v>52</v>
      </c>
      <c r="P103" s="5" t="s">
        <v>209</v>
      </c>
      <c r="Q103" s="5" t="s">
        <v>69</v>
      </c>
      <c r="R103" s="5" t="s">
        <v>51</v>
      </c>
      <c r="S103" s="5" t="s">
        <v>73</v>
      </c>
      <c r="T103" s="1">
        <v>7</v>
      </c>
      <c r="U103" s="1">
        <v>17</v>
      </c>
      <c r="V103" s="1">
        <v>48</v>
      </c>
      <c r="AA103">
        <f t="shared" si="15"/>
        <v>101</v>
      </c>
      <c r="AB103">
        <f t="shared" si="14"/>
        <v>0</v>
      </c>
    </row>
    <row r="104" spans="1:28" x14ac:dyDescent="0.3">
      <c r="A104" s="3">
        <v>89</v>
      </c>
      <c r="B104" s="4"/>
      <c r="C104" s="6" t="s">
        <v>38</v>
      </c>
      <c r="D104" s="5"/>
      <c r="E104" s="5" t="s">
        <v>61</v>
      </c>
      <c r="F104" s="5" t="s">
        <v>50</v>
      </c>
      <c r="G104" s="5" t="s">
        <v>57</v>
      </c>
      <c r="H104" s="5" t="s">
        <v>60</v>
      </c>
      <c r="I104" s="5" t="s">
        <v>65</v>
      </c>
      <c r="J104" s="5" t="s">
        <v>59</v>
      </c>
      <c r="K104" s="5" t="s">
        <v>54</v>
      </c>
      <c r="L104" s="5" t="s">
        <v>68</v>
      </c>
      <c r="M104" s="5" t="s">
        <v>208</v>
      </c>
      <c r="N104" s="5" t="s">
        <v>71</v>
      </c>
      <c r="O104" s="5" t="s">
        <v>52</v>
      </c>
      <c r="P104" s="5" t="s">
        <v>48</v>
      </c>
      <c r="Q104" s="5" t="s">
        <v>69</v>
      </c>
      <c r="R104" s="5" t="s">
        <v>75</v>
      </c>
      <c r="S104" s="5" t="s">
        <v>53</v>
      </c>
      <c r="T104" s="1">
        <v>7</v>
      </c>
      <c r="U104" s="1">
        <v>21</v>
      </c>
      <c r="V104" s="1">
        <v>47</v>
      </c>
      <c r="AA104">
        <f t="shared" si="15"/>
        <v>102</v>
      </c>
      <c r="AB104">
        <f t="shared" si="14"/>
        <v>0</v>
      </c>
    </row>
    <row r="105" spans="1:28" ht="28.8" x14ac:dyDescent="0.3">
      <c r="A105" s="3">
        <v>90</v>
      </c>
      <c r="B105" s="4"/>
      <c r="C105" s="6" t="s">
        <v>185</v>
      </c>
      <c r="D105" s="5"/>
      <c r="E105" s="5" t="s">
        <v>72</v>
      </c>
      <c r="F105" s="5" t="s">
        <v>50</v>
      </c>
      <c r="G105" s="5" t="s">
        <v>57</v>
      </c>
      <c r="H105" s="5" t="s">
        <v>58</v>
      </c>
      <c r="I105" s="5" t="s">
        <v>65</v>
      </c>
      <c r="J105" s="5" t="s">
        <v>59</v>
      </c>
      <c r="K105" s="5" t="s">
        <v>54</v>
      </c>
      <c r="L105" s="5" t="s">
        <v>66</v>
      </c>
      <c r="M105" s="5" t="s">
        <v>47</v>
      </c>
      <c r="N105" s="5" t="s">
        <v>55</v>
      </c>
      <c r="O105" s="5" t="s">
        <v>52</v>
      </c>
      <c r="P105" s="5" t="s">
        <v>209</v>
      </c>
      <c r="Q105" s="5" t="s">
        <v>69</v>
      </c>
      <c r="R105" s="5" t="s">
        <v>75</v>
      </c>
      <c r="S105" s="5" t="s">
        <v>53</v>
      </c>
      <c r="T105" s="1">
        <v>7</v>
      </c>
      <c r="U105" s="1">
        <v>18</v>
      </c>
      <c r="V105" s="1">
        <v>47</v>
      </c>
      <c r="AA105">
        <f t="shared" si="15"/>
        <v>103</v>
      </c>
      <c r="AB105">
        <f t="shared" si="14"/>
        <v>0</v>
      </c>
    </row>
    <row r="106" spans="1:28" x14ac:dyDescent="0.3">
      <c r="A106" s="3">
        <v>91</v>
      </c>
      <c r="B106" s="4"/>
      <c r="C106" s="6" t="s">
        <v>152</v>
      </c>
      <c r="D106" s="5"/>
      <c r="E106" s="5" t="s">
        <v>72</v>
      </c>
      <c r="F106" s="5" t="s">
        <v>50</v>
      </c>
      <c r="G106" s="5" t="s">
        <v>57</v>
      </c>
      <c r="H106" s="5" t="s">
        <v>60</v>
      </c>
      <c r="I106" s="5" t="s">
        <v>67</v>
      </c>
      <c r="J106" s="5" t="s">
        <v>64</v>
      </c>
      <c r="K106" s="5" t="s">
        <v>62</v>
      </c>
      <c r="L106" s="5" t="s">
        <v>68</v>
      </c>
      <c r="M106" s="5" t="s">
        <v>208</v>
      </c>
      <c r="N106" s="5" t="s">
        <v>55</v>
      </c>
      <c r="O106" s="5" t="s">
        <v>52</v>
      </c>
      <c r="P106" s="5" t="s">
        <v>48</v>
      </c>
      <c r="Q106" s="5" t="s">
        <v>69</v>
      </c>
      <c r="R106" s="5" t="s">
        <v>51</v>
      </c>
      <c r="S106" s="5" t="s">
        <v>53</v>
      </c>
      <c r="T106" s="1">
        <v>7</v>
      </c>
      <c r="U106" s="1">
        <v>21</v>
      </c>
      <c r="V106" s="1">
        <v>47</v>
      </c>
      <c r="AA106">
        <f t="shared" si="15"/>
        <v>104</v>
      </c>
      <c r="AB106">
        <f t="shared" si="14"/>
        <v>0</v>
      </c>
    </row>
    <row r="107" spans="1:28" x14ac:dyDescent="0.3">
      <c r="A107" s="3">
        <v>92</v>
      </c>
      <c r="B107" s="4"/>
      <c r="C107" s="6" t="s">
        <v>97</v>
      </c>
      <c r="D107" s="5"/>
      <c r="E107" s="5" t="s">
        <v>61</v>
      </c>
      <c r="F107" s="5" t="s">
        <v>50</v>
      </c>
      <c r="G107" s="5" t="s">
        <v>57</v>
      </c>
      <c r="H107" s="5" t="s">
        <v>58</v>
      </c>
      <c r="I107" s="5" t="s">
        <v>65</v>
      </c>
      <c r="J107" s="5" t="s">
        <v>59</v>
      </c>
      <c r="K107" s="5" t="s">
        <v>54</v>
      </c>
      <c r="L107" s="5" t="s">
        <v>68</v>
      </c>
      <c r="M107" s="5" t="s">
        <v>47</v>
      </c>
      <c r="N107" s="5" t="s">
        <v>71</v>
      </c>
      <c r="O107" s="5" t="s">
        <v>52</v>
      </c>
      <c r="P107" s="5" t="s">
        <v>48</v>
      </c>
      <c r="Q107" s="5" t="s">
        <v>210</v>
      </c>
      <c r="R107" s="5" t="s">
        <v>75</v>
      </c>
      <c r="S107" s="5" t="s">
        <v>73</v>
      </c>
      <c r="T107" s="1">
        <v>7</v>
      </c>
      <c r="U107" s="1">
        <v>18</v>
      </c>
      <c r="V107" s="1">
        <v>47</v>
      </c>
      <c r="AA107">
        <f t="shared" si="15"/>
        <v>105</v>
      </c>
      <c r="AB107">
        <f t="shared" si="14"/>
        <v>0</v>
      </c>
    </row>
    <row r="108" spans="1:28" x14ac:dyDescent="0.3">
      <c r="A108" s="3">
        <v>93</v>
      </c>
      <c r="B108" s="4"/>
      <c r="C108" s="6" t="s">
        <v>149</v>
      </c>
      <c r="D108" s="5"/>
      <c r="E108" s="5" t="s">
        <v>72</v>
      </c>
      <c r="F108" s="5" t="s">
        <v>50</v>
      </c>
      <c r="G108" s="5" t="s">
        <v>207</v>
      </c>
      <c r="H108" s="5" t="s">
        <v>58</v>
      </c>
      <c r="I108" s="5" t="s">
        <v>67</v>
      </c>
      <c r="J108" s="5" t="s">
        <v>64</v>
      </c>
      <c r="K108" s="5" t="s">
        <v>62</v>
      </c>
      <c r="L108" s="5" t="s">
        <v>66</v>
      </c>
      <c r="M108" s="5" t="s">
        <v>208</v>
      </c>
      <c r="N108" s="5" t="s">
        <v>55</v>
      </c>
      <c r="O108" s="5" t="s">
        <v>52</v>
      </c>
      <c r="P108" s="5" t="s">
        <v>209</v>
      </c>
      <c r="Q108" s="5" t="s">
        <v>69</v>
      </c>
      <c r="R108" s="5" t="s">
        <v>51</v>
      </c>
      <c r="S108" s="5" t="s">
        <v>53</v>
      </c>
      <c r="T108" s="1">
        <v>7</v>
      </c>
      <c r="U108" s="1">
        <v>21</v>
      </c>
      <c r="V108" s="1">
        <v>47</v>
      </c>
      <c r="AA108">
        <f t="shared" si="15"/>
        <v>106</v>
      </c>
      <c r="AB108">
        <f t="shared" si="14"/>
        <v>0</v>
      </c>
    </row>
    <row r="109" spans="1:28" ht="28.8" x14ac:dyDescent="0.3">
      <c r="A109" s="3">
        <v>94</v>
      </c>
      <c r="B109" s="4"/>
      <c r="C109" s="6" t="s">
        <v>15</v>
      </c>
      <c r="D109" s="5"/>
      <c r="E109" s="5" t="s">
        <v>72</v>
      </c>
      <c r="F109" s="5" t="s">
        <v>50</v>
      </c>
      <c r="G109" s="5" t="s">
        <v>207</v>
      </c>
      <c r="H109" s="5" t="s">
        <v>60</v>
      </c>
      <c r="I109" s="5" t="s">
        <v>65</v>
      </c>
      <c r="J109" s="5" t="s">
        <v>59</v>
      </c>
      <c r="K109" s="5" t="s">
        <v>62</v>
      </c>
      <c r="L109" s="5" t="s">
        <v>66</v>
      </c>
      <c r="M109" s="5" t="s">
        <v>47</v>
      </c>
      <c r="N109" s="5" t="s">
        <v>55</v>
      </c>
      <c r="O109" s="5" t="s">
        <v>70</v>
      </c>
      <c r="P109" s="5" t="s">
        <v>48</v>
      </c>
      <c r="Q109" s="5" t="s">
        <v>210</v>
      </c>
      <c r="R109" s="5" t="s">
        <v>75</v>
      </c>
      <c r="S109" s="5" t="s">
        <v>53</v>
      </c>
      <c r="T109" s="1">
        <v>7</v>
      </c>
      <c r="U109" s="1">
        <v>19</v>
      </c>
      <c r="V109" s="1">
        <v>46</v>
      </c>
      <c r="AA109">
        <f t="shared" si="15"/>
        <v>107</v>
      </c>
      <c r="AB109">
        <f t="shared" si="14"/>
        <v>0</v>
      </c>
    </row>
    <row r="110" spans="1:28" ht="28.8" x14ac:dyDescent="0.3">
      <c r="A110" s="3">
        <v>95</v>
      </c>
      <c r="B110" s="4"/>
      <c r="C110" s="6" t="s">
        <v>114</v>
      </c>
      <c r="D110" s="5"/>
      <c r="E110" s="5" t="s">
        <v>72</v>
      </c>
      <c r="F110" s="5" t="s">
        <v>50</v>
      </c>
      <c r="G110" s="5" t="s">
        <v>57</v>
      </c>
      <c r="H110" s="5" t="s">
        <v>60</v>
      </c>
      <c r="I110" s="5" t="s">
        <v>65</v>
      </c>
      <c r="J110" s="5" t="s">
        <v>59</v>
      </c>
      <c r="K110" s="5" t="s">
        <v>54</v>
      </c>
      <c r="L110" s="5" t="s">
        <v>66</v>
      </c>
      <c r="M110" s="5" t="s">
        <v>47</v>
      </c>
      <c r="N110" s="5" t="s">
        <v>71</v>
      </c>
      <c r="O110" s="5" t="s">
        <v>70</v>
      </c>
      <c r="P110" s="5" t="s">
        <v>48</v>
      </c>
      <c r="Q110" s="5" t="s">
        <v>210</v>
      </c>
      <c r="R110" s="5" t="s">
        <v>51</v>
      </c>
      <c r="S110" s="5" t="s">
        <v>53</v>
      </c>
      <c r="T110" s="1">
        <v>7</v>
      </c>
      <c r="U110" s="1">
        <v>27</v>
      </c>
      <c r="V110" s="1">
        <v>45</v>
      </c>
      <c r="AA110">
        <f t="shared" si="15"/>
        <v>108</v>
      </c>
      <c r="AB110">
        <f t="shared" si="14"/>
        <v>0</v>
      </c>
    </row>
    <row r="111" spans="1:28" x14ac:dyDescent="0.3">
      <c r="A111" s="3">
        <v>96</v>
      </c>
      <c r="B111" s="4"/>
      <c r="C111" s="6" t="s">
        <v>190</v>
      </c>
      <c r="D111" s="5"/>
      <c r="E111" s="5" t="s">
        <v>61</v>
      </c>
      <c r="F111" s="5" t="s">
        <v>63</v>
      </c>
      <c r="G111" s="5" t="s">
        <v>207</v>
      </c>
      <c r="H111" s="5" t="s">
        <v>58</v>
      </c>
      <c r="I111" s="5" t="s">
        <v>67</v>
      </c>
      <c r="J111" s="5" t="s">
        <v>59</v>
      </c>
      <c r="K111" s="5" t="s">
        <v>62</v>
      </c>
      <c r="L111" s="5" t="s">
        <v>66</v>
      </c>
      <c r="M111" s="5" t="s">
        <v>47</v>
      </c>
      <c r="N111" s="5" t="s">
        <v>71</v>
      </c>
      <c r="O111" s="5" t="s">
        <v>70</v>
      </c>
      <c r="P111" s="5" t="s">
        <v>48</v>
      </c>
      <c r="Q111" s="5" t="s">
        <v>210</v>
      </c>
      <c r="R111" s="5" t="s">
        <v>75</v>
      </c>
      <c r="S111" s="5" t="s">
        <v>73</v>
      </c>
      <c r="T111" s="1">
        <v>7</v>
      </c>
      <c r="U111" s="1">
        <v>19</v>
      </c>
      <c r="V111" s="1">
        <v>45</v>
      </c>
      <c r="AA111">
        <f t="shared" si="15"/>
        <v>109</v>
      </c>
      <c r="AB111">
        <f t="shared" si="14"/>
        <v>0</v>
      </c>
    </row>
    <row r="112" spans="1:28" ht="28.8" x14ac:dyDescent="0.3">
      <c r="A112" s="3">
        <v>97</v>
      </c>
      <c r="B112" s="4"/>
      <c r="C112" s="6" t="s">
        <v>177</v>
      </c>
      <c r="D112" s="5"/>
      <c r="E112" s="5" t="s">
        <v>61</v>
      </c>
      <c r="F112" s="5" t="s">
        <v>63</v>
      </c>
      <c r="G112" s="5" t="s">
        <v>207</v>
      </c>
      <c r="H112" s="5" t="s">
        <v>58</v>
      </c>
      <c r="I112" s="5" t="s">
        <v>67</v>
      </c>
      <c r="J112" s="5" t="s">
        <v>59</v>
      </c>
      <c r="K112" s="5" t="s">
        <v>54</v>
      </c>
      <c r="L112" s="5" t="s">
        <v>66</v>
      </c>
      <c r="M112" s="5" t="s">
        <v>47</v>
      </c>
      <c r="N112" s="5" t="s">
        <v>55</v>
      </c>
      <c r="O112" s="5" t="s">
        <v>70</v>
      </c>
      <c r="P112" s="5" t="s">
        <v>48</v>
      </c>
      <c r="Q112" s="5" t="s">
        <v>210</v>
      </c>
      <c r="R112" s="5" t="s">
        <v>75</v>
      </c>
      <c r="S112" s="5" t="s">
        <v>73</v>
      </c>
      <c r="T112" s="1">
        <v>7</v>
      </c>
      <c r="U112" s="1">
        <v>20</v>
      </c>
      <c r="V112" s="1">
        <v>45</v>
      </c>
      <c r="AA112">
        <f t="shared" si="15"/>
        <v>110</v>
      </c>
      <c r="AB112">
        <f t="shared" si="14"/>
        <v>0</v>
      </c>
    </row>
    <row r="113" spans="1:28" x14ac:dyDescent="0.3">
      <c r="A113" s="3">
        <v>98</v>
      </c>
      <c r="B113" s="4"/>
      <c r="C113" s="6" t="s">
        <v>180</v>
      </c>
      <c r="D113" s="5"/>
      <c r="E113" s="5" t="s">
        <v>61</v>
      </c>
      <c r="F113" s="5" t="s">
        <v>63</v>
      </c>
      <c r="G113" s="5" t="s">
        <v>57</v>
      </c>
      <c r="H113" s="5" t="s">
        <v>58</v>
      </c>
      <c r="I113" s="5" t="s">
        <v>65</v>
      </c>
      <c r="J113" s="5" t="s">
        <v>59</v>
      </c>
      <c r="K113" s="5" t="s">
        <v>54</v>
      </c>
      <c r="L113" s="5" t="s">
        <v>66</v>
      </c>
      <c r="M113" s="5" t="s">
        <v>47</v>
      </c>
      <c r="N113" s="5" t="s">
        <v>71</v>
      </c>
      <c r="O113" s="5" t="s">
        <v>52</v>
      </c>
      <c r="P113" s="5" t="s">
        <v>48</v>
      </c>
      <c r="Q113" s="5" t="s">
        <v>210</v>
      </c>
      <c r="R113" s="5" t="s">
        <v>75</v>
      </c>
      <c r="S113" s="5" t="s">
        <v>73</v>
      </c>
      <c r="T113" s="1">
        <v>7</v>
      </c>
      <c r="U113" s="1">
        <v>20</v>
      </c>
      <c r="V113" s="1">
        <v>45</v>
      </c>
      <c r="AA113">
        <f t="shared" si="15"/>
        <v>111</v>
      </c>
      <c r="AB113">
        <f t="shared" si="14"/>
        <v>0</v>
      </c>
    </row>
    <row r="114" spans="1:28" ht="28.8" x14ac:dyDescent="0.3">
      <c r="A114" s="3">
        <v>99</v>
      </c>
      <c r="B114" s="4"/>
      <c r="C114" s="6" t="s">
        <v>10</v>
      </c>
      <c r="D114" s="5"/>
      <c r="E114" s="5" t="s">
        <v>61</v>
      </c>
      <c r="F114" s="5" t="s">
        <v>63</v>
      </c>
      <c r="G114" s="5" t="s">
        <v>207</v>
      </c>
      <c r="H114" s="5" t="s">
        <v>58</v>
      </c>
      <c r="I114" s="5" t="s">
        <v>65</v>
      </c>
      <c r="J114" s="5" t="s">
        <v>59</v>
      </c>
      <c r="K114" s="5" t="s">
        <v>54</v>
      </c>
      <c r="L114" s="5" t="s">
        <v>66</v>
      </c>
      <c r="M114" s="5" t="s">
        <v>47</v>
      </c>
      <c r="N114" s="5" t="s">
        <v>55</v>
      </c>
      <c r="O114" s="5" t="s">
        <v>52</v>
      </c>
      <c r="P114" s="5" t="s">
        <v>209</v>
      </c>
      <c r="Q114" s="5" t="s">
        <v>69</v>
      </c>
      <c r="R114" s="5" t="s">
        <v>75</v>
      </c>
      <c r="S114" s="5" t="s">
        <v>73</v>
      </c>
      <c r="T114" s="1">
        <v>7</v>
      </c>
      <c r="U114" s="1">
        <v>20</v>
      </c>
      <c r="V114" s="1">
        <v>45</v>
      </c>
      <c r="AA114">
        <f t="shared" si="15"/>
        <v>112</v>
      </c>
      <c r="AB114">
        <f t="shared" si="14"/>
        <v>0</v>
      </c>
    </row>
    <row r="115" spans="1:28" x14ac:dyDescent="0.3">
      <c r="A115" s="3">
        <v>100</v>
      </c>
      <c r="B115" s="4"/>
      <c r="C115" s="6" t="s">
        <v>91</v>
      </c>
      <c r="D115" s="5"/>
      <c r="E115" s="5" t="s">
        <v>72</v>
      </c>
      <c r="F115" s="5" t="s">
        <v>63</v>
      </c>
      <c r="G115" s="5" t="s">
        <v>207</v>
      </c>
      <c r="H115" s="5" t="s">
        <v>58</v>
      </c>
      <c r="I115" s="5" t="s">
        <v>67</v>
      </c>
      <c r="J115" s="5" t="s">
        <v>64</v>
      </c>
      <c r="K115" s="5" t="s">
        <v>62</v>
      </c>
      <c r="L115" s="5" t="s">
        <v>66</v>
      </c>
      <c r="M115" s="5" t="s">
        <v>47</v>
      </c>
      <c r="N115" s="5" t="s">
        <v>55</v>
      </c>
      <c r="O115" s="5" t="s">
        <v>70</v>
      </c>
      <c r="P115" s="5" t="s">
        <v>48</v>
      </c>
      <c r="Q115" s="5" t="s">
        <v>69</v>
      </c>
      <c r="R115" s="5" t="s">
        <v>75</v>
      </c>
      <c r="S115" s="5" t="s">
        <v>73</v>
      </c>
      <c r="T115" s="1">
        <v>7</v>
      </c>
      <c r="U115" s="1">
        <v>26</v>
      </c>
      <c r="V115" s="1">
        <v>45</v>
      </c>
      <c r="AA115">
        <f t="shared" si="15"/>
        <v>113</v>
      </c>
      <c r="AB115">
        <f t="shared" si="14"/>
        <v>0</v>
      </c>
    </row>
    <row r="116" spans="1:28" x14ac:dyDescent="0.3">
      <c r="A116" s="3">
        <v>101</v>
      </c>
      <c r="B116" s="4"/>
      <c r="C116" s="6" t="s">
        <v>142</v>
      </c>
      <c r="D116" s="5"/>
      <c r="E116" s="5" t="s">
        <v>61</v>
      </c>
      <c r="F116" s="5" t="s">
        <v>63</v>
      </c>
      <c r="G116" s="5" t="s">
        <v>207</v>
      </c>
      <c r="H116" s="5" t="s">
        <v>58</v>
      </c>
      <c r="I116" s="5" t="s">
        <v>67</v>
      </c>
      <c r="J116" s="5" t="s">
        <v>64</v>
      </c>
      <c r="K116" s="5" t="s">
        <v>62</v>
      </c>
      <c r="L116" s="5" t="s">
        <v>66</v>
      </c>
      <c r="M116" s="5" t="s">
        <v>208</v>
      </c>
      <c r="N116" s="5" t="s">
        <v>55</v>
      </c>
      <c r="O116" s="5" t="s">
        <v>52</v>
      </c>
      <c r="P116" s="5" t="s">
        <v>209</v>
      </c>
      <c r="Q116" s="5" t="s">
        <v>69</v>
      </c>
      <c r="R116" s="5" t="s">
        <v>51</v>
      </c>
      <c r="S116" s="5" t="s">
        <v>53</v>
      </c>
      <c r="T116" s="1">
        <v>7</v>
      </c>
      <c r="U116" s="1">
        <v>22</v>
      </c>
      <c r="V116" s="1">
        <v>45</v>
      </c>
      <c r="AA116">
        <f t="shared" si="15"/>
        <v>114</v>
      </c>
      <c r="AB116">
        <f t="shared" si="14"/>
        <v>0</v>
      </c>
    </row>
    <row r="117" spans="1:28" ht="28.8" x14ac:dyDescent="0.3">
      <c r="A117" s="3">
        <v>102</v>
      </c>
      <c r="B117" s="4"/>
      <c r="C117" s="6" t="s">
        <v>87</v>
      </c>
      <c r="D117" s="5"/>
      <c r="E117" s="5" t="s">
        <v>61</v>
      </c>
      <c r="F117" s="5" t="s">
        <v>63</v>
      </c>
      <c r="G117" s="5" t="s">
        <v>207</v>
      </c>
      <c r="H117" s="5" t="s">
        <v>60</v>
      </c>
      <c r="I117" s="5" t="s">
        <v>67</v>
      </c>
      <c r="J117" s="5" t="s">
        <v>59</v>
      </c>
      <c r="K117" s="5" t="s">
        <v>62</v>
      </c>
      <c r="L117" s="5" t="s">
        <v>66</v>
      </c>
      <c r="M117" s="5" t="s">
        <v>208</v>
      </c>
      <c r="N117" s="5" t="s">
        <v>55</v>
      </c>
      <c r="O117" s="5" t="s">
        <v>52</v>
      </c>
      <c r="P117" s="5" t="s">
        <v>48</v>
      </c>
      <c r="Q117" s="5" t="s">
        <v>69</v>
      </c>
      <c r="R117" s="5" t="s">
        <v>75</v>
      </c>
      <c r="S117" s="5" t="s">
        <v>53</v>
      </c>
      <c r="T117" s="1">
        <v>7</v>
      </c>
      <c r="U117" s="1">
        <v>13</v>
      </c>
      <c r="V117" s="1">
        <v>44</v>
      </c>
      <c r="AA117">
        <f t="shared" si="15"/>
        <v>115</v>
      </c>
      <c r="AB117">
        <f t="shared" si="14"/>
        <v>0</v>
      </c>
    </row>
    <row r="118" spans="1:28" x14ac:dyDescent="0.3">
      <c r="A118" s="3">
        <v>103</v>
      </c>
      <c r="B118" s="4"/>
      <c r="C118" s="6" t="s">
        <v>100</v>
      </c>
      <c r="D118" s="5"/>
      <c r="E118" s="5" t="s">
        <v>61</v>
      </c>
      <c r="F118" s="5" t="s">
        <v>63</v>
      </c>
      <c r="G118" s="5" t="s">
        <v>207</v>
      </c>
      <c r="H118" s="5" t="s">
        <v>58</v>
      </c>
      <c r="I118" s="5" t="s">
        <v>65</v>
      </c>
      <c r="J118" s="5" t="s">
        <v>59</v>
      </c>
      <c r="K118" s="5" t="s">
        <v>54</v>
      </c>
      <c r="L118" s="5" t="s">
        <v>66</v>
      </c>
      <c r="M118" s="5" t="s">
        <v>47</v>
      </c>
      <c r="N118" s="5" t="s">
        <v>55</v>
      </c>
      <c r="O118" s="5" t="s">
        <v>70</v>
      </c>
      <c r="P118" s="5" t="s">
        <v>209</v>
      </c>
      <c r="Q118" s="5" t="s">
        <v>210</v>
      </c>
      <c r="R118" s="5" t="s">
        <v>51</v>
      </c>
      <c r="S118" s="5" t="s">
        <v>53</v>
      </c>
      <c r="T118" s="1">
        <v>7</v>
      </c>
      <c r="U118" s="1">
        <v>21</v>
      </c>
      <c r="V118" s="1">
        <v>44</v>
      </c>
      <c r="AA118">
        <f t="shared" si="15"/>
        <v>116</v>
      </c>
      <c r="AB118">
        <f t="shared" si="14"/>
        <v>0</v>
      </c>
    </row>
    <row r="119" spans="1:28" x14ac:dyDescent="0.3">
      <c r="A119" s="3">
        <v>104</v>
      </c>
      <c r="B119" s="4"/>
      <c r="C119" s="6" t="s">
        <v>178</v>
      </c>
      <c r="D119" s="5"/>
      <c r="E119" s="5" t="s">
        <v>72</v>
      </c>
      <c r="F119" s="5" t="s">
        <v>50</v>
      </c>
      <c r="G119" s="5" t="s">
        <v>207</v>
      </c>
      <c r="H119" s="5" t="s">
        <v>58</v>
      </c>
      <c r="I119" s="5" t="s">
        <v>65</v>
      </c>
      <c r="J119" s="5" t="s">
        <v>64</v>
      </c>
      <c r="K119" s="5" t="s">
        <v>62</v>
      </c>
      <c r="L119" s="5" t="s">
        <v>68</v>
      </c>
      <c r="M119" s="5" t="s">
        <v>208</v>
      </c>
      <c r="N119" s="5" t="s">
        <v>71</v>
      </c>
      <c r="O119" s="5" t="s">
        <v>70</v>
      </c>
      <c r="P119" s="5" t="s">
        <v>209</v>
      </c>
      <c r="Q119" s="5" t="s">
        <v>210</v>
      </c>
      <c r="R119" s="5" t="s">
        <v>51</v>
      </c>
      <c r="S119" s="5" t="s">
        <v>73</v>
      </c>
      <c r="T119" s="1">
        <v>7</v>
      </c>
      <c r="U119" s="1">
        <v>21</v>
      </c>
      <c r="V119" s="1">
        <v>44</v>
      </c>
      <c r="AA119">
        <f t="shared" si="15"/>
        <v>117</v>
      </c>
      <c r="AB119">
        <f t="shared" si="14"/>
        <v>0</v>
      </c>
    </row>
    <row r="120" spans="1:28" x14ac:dyDescent="0.3">
      <c r="A120" s="3">
        <v>105</v>
      </c>
      <c r="B120" s="4"/>
      <c r="C120" s="6" t="s">
        <v>187</v>
      </c>
      <c r="D120" s="5"/>
      <c r="E120" s="5" t="s">
        <v>61</v>
      </c>
      <c r="F120" s="5" t="s">
        <v>50</v>
      </c>
      <c r="G120" s="5" t="s">
        <v>57</v>
      </c>
      <c r="H120" s="5" t="s">
        <v>58</v>
      </c>
      <c r="I120" s="5" t="s">
        <v>67</v>
      </c>
      <c r="J120" s="5" t="s">
        <v>59</v>
      </c>
      <c r="K120" s="5" t="s">
        <v>62</v>
      </c>
      <c r="L120" s="5" t="s">
        <v>68</v>
      </c>
      <c r="M120" s="5" t="s">
        <v>47</v>
      </c>
      <c r="N120" s="5" t="s">
        <v>71</v>
      </c>
      <c r="O120" s="5" t="s">
        <v>52</v>
      </c>
      <c r="P120" s="5" t="s">
        <v>48</v>
      </c>
      <c r="Q120" s="5" t="s">
        <v>69</v>
      </c>
      <c r="R120" s="5" t="s">
        <v>75</v>
      </c>
      <c r="S120" s="5" t="s">
        <v>53</v>
      </c>
      <c r="T120" s="1">
        <v>7</v>
      </c>
      <c r="U120" s="1">
        <v>18</v>
      </c>
      <c r="V120" s="1">
        <v>44</v>
      </c>
      <c r="AA120">
        <f t="shared" si="15"/>
        <v>118</v>
      </c>
      <c r="AB120">
        <f t="shared" si="14"/>
        <v>0</v>
      </c>
    </row>
    <row r="121" spans="1:28" ht="28.8" x14ac:dyDescent="0.3">
      <c r="A121" s="3">
        <v>106</v>
      </c>
      <c r="B121" s="4"/>
      <c r="C121" s="6" t="s">
        <v>159</v>
      </c>
      <c r="D121" s="5"/>
      <c r="E121" s="5" t="s">
        <v>61</v>
      </c>
      <c r="F121" s="5" t="s">
        <v>63</v>
      </c>
      <c r="G121" s="5" t="s">
        <v>207</v>
      </c>
      <c r="H121" s="5" t="s">
        <v>58</v>
      </c>
      <c r="I121" s="5" t="s">
        <v>65</v>
      </c>
      <c r="J121" s="5" t="s">
        <v>64</v>
      </c>
      <c r="K121" s="5" t="s">
        <v>54</v>
      </c>
      <c r="L121" s="5" t="s">
        <v>68</v>
      </c>
      <c r="M121" s="5" t="s">
        <v>208</v>
      </c>
      <c r="N121" s="5" t="s">
        <v>71</v>
      </c>
      <c r="O121" s="5" t="s">
        <v>52</v>
      </c>
      <c r="P121" s="5" t="s">
        <v>48</v>
      </c>
      <c r="Q121" s="5" t="s">
        <v>69</v>
      </c>
      <c r="R121" s="5" t="s">
        <v>51</v>
      </c>
      <c r="S121" s="5" t="s">
        <v>73</v>
      </c>
      <c r="T121" s="1">
        <v>7</v>
      </c>
      <c r="U121" s="1">
        <v>18</v>
      </c>
      <c r="V121" s="1">
        <v>43</v>
      </c>
    </row>
    <row r="122" spans="1:28" ht="28.8" x14ac:dyDescent="0.3">
      <c r="A122" s="3">
        <v>107</v>
      </c>
      <c r="B122" s="4"/>
      <c r="C122" s="6" t="s">
        <v>20</v>
      </c>
      <c r="D122" s="5"/>
      <c r="E122" s="5" t="s">
        <v>72</v>
      </c>
      <c r="F122" s="5" t="s">
        <v>63</v>
      </c>
      <c r="G122" s="5" t="s">
        <v>57</v>
      </c>
      <c r="H122" s="5" t="s">
        <v>58</v>
      </c>
      <c r="I122" s="5" t="s">
        <v>67</v>
      </c>
      <c r="J122" s="5" t="s">
        <v>59</v>
      </c>
      <c r="K122" s="5" t="s">
        <v>62</v>
      </c>
      <c r="L122" s="5" t="s">
        <v>66</v>
      </c>
      <c r="M122" s="5" t="s">
        <v>47</v>
      </c>
      <c r="N122" s="5" t="s">
        <v>71</v>
      </c>
      <c r="O122" s="5" t="s">
        <v>70</v>
      </c>
      <c r="P122" s="5" t="s">
        <v>48</v>
      </c>
      <c r="Q122" s="5" t="s">
        <v>210</v>
      </c>
      <c r="R122" s="5" t="s">
        <v>75</v>
      </c>
      <c r="S122" s="5" t="s">
        <v>73</v>
      </c>
      <c r="T122" s="1">
        <v>7</v>
      </c>
      <c r="U122" s="1">
        <v>19</v>
      </c>
      <c r="V122" s="1">
        <v>42</v>
      </c>
    </row>
    <row r="123" spans="1:28" ht="28.8" x14ac:dyDescent="0.3">
      <c r="A123" s="3">
        <v>108</v>
      </c>
      <c r="B123" s="4"/>
      <c r="C123" s="6" t="s">
        <v>160</v>
      </c>
      <c r="D123" s="5"/>
      <c r="E123" s="5" t="s">
        <v>61</v>
      </c>
      <c r="F123" s="5" t="s">
        <v>50</v>
      </c>
      <c r="G123" s="5" t="s">
        <v>207</v>
      </c>
      <c r="H123" s="5" t="s">
        <v>60</v>
      </c>
      <c r="I123" s="5" t="s">
        <v>65</v>
      </c>
      <c r="J123" s="5" t="s">
        <v>59</v>
      </c>
      <c r="K123" s="5" t="s">
        <v>62</v>
      </c>
      <c r="L123" s="5" t="s">
        <v>66</v>
      </c>
      <c r="M123" s="5" t="s">
        <v>208</v>
      </c>
      <c r="N123" s="5" t="s">
        <v>71</v>
      </c>
      <c r="O123" s="5" t="s">
        <v>52</v>
      </c>
      <c r="P123" s="5" t="s">
        <v>48</v>
      </c>
      <c r="Q123" s="5" t="s">
        <v>210</v>
      </c>
      <c r="R123" s="5" t="s">
        <v>75</v>
      </c>
      <c r="S123" s="5" t="s">
        <v>53</v>
      </c>
      <c r="T123" s="1">
        <v>7</v>
      </c>
      <c r="U123" s="1">
        <v>17</v>
      </c>
      <c r="V123" s="1">
        <v>42</v>
      </c>
    </row>
    <row r="124" spans="1:28" ht="28.8" x14ac:dyDescent="0.3">
      <c r="A124" s="3">
        <v>109</v>
      </c>
      <c r="B124" s="4"/>
      <c r="C124" s="6" t="s">
        <v>175</v>
      </c>
      <c r="D124" s="5"/>
      <c r="E124" s="5" t="s">
        <v>61</v>
      </c>
      <c r="F124" s="5" t="s">
        <v>50</v>
      </c>
      <c r="G124" s="5" t="s">
        <v>57</v>
      </c>
      <c r="H124" s="5" t="s">
        <v>60</v>
      </c>
      <c r="I124" s="5" t="s">
        <v>65</v>
      </c>
      <c r="J124" s="5" t="s">
        <v>59</v>
      </c>
      <c r="K124" s="5" t="s">
        <v>54</v>
      </c>
      <c r="L124" s="5" t="s">
        <v>66</v>
      </c>
      <c r="M124" s="5" t="s">
        <v>47</v>
      </c>
      <c r="N124" s="5" t="s">
        <v>71</v>
      </c>
      <c r="O124" s="5" t="s">
        <v>52</v>
      </c>
      <c r="P124" s="5" t="s">
        <v>48</v>
      </c>
      <c r="Q124" s="5" t="s">
        <v>210</v>
      </c>
      <c r="R124" s="5" t="s">
        <v>51</v>
      </c>
      <c r="S124" s="5" t="s">
        <v>53</v>
      </c>
      <c r="T124" s="1">
        <v>7</v>
      </c>
      <c r="U124" s="1">
        <v>12</v>
      </c>
      <c r="V124" s="1">
        <v>42</v>
      </c>
    </row>
    <row r="125" spans="1:28" ht="28.8" x14ac:dyDescent="0.3">
      <c r="A125" s="3">
        <v>110</v>
      </c>
      <c r="B125" s="4"/>
      <c r="C125" s="6" t="s">
        <v>36</v>
      </c>
      <c r="D125" s="5"/>
      <c r="E125" s="5" t="s">
        <v>61</v>
      </c>
      <c r="F125" s="5" t="s">
        <v>50</v>
      </c>
      <c r="G125" s="5" t="s">
        <v>57</v>
      </c>
      <c r="H125" s="5" t="s">
        <v>60</v>
      </c>
      <c r="I125" s="5" t="s">
        <v>65</v>
      </c>
      <c r="J125" s="5" t="s">
        <v>59</v>
      </c>
      <c r="K125" s="5" t="s">
        <v>54</v>
      </c>
      <c r="L125" s="5" t="s">
        <v>68</v>
      </c>
      <c r="M125" s="5" t="s">
        <v>208</v>
      </c>
      <c r="N125" s="5" t="s">
        <v>71</v>
      </c>
      <c r="O125" s="5" t="s">
        <v>52</v>
      </c>
      <c r="P125" s="5" t="s">
        <v>48</v>
      </c>
      <c r="Q125" s="5" t="s">
        <v>69</v>
      </c>
      <c r="R125" s="5" t="s">
        <v>75</v>
      </c>
      <c r="S125" s="5" t="s">
        <v>53</v>
      </c>
      <c r="T125" s="1">
        <v>7</v>
      </c>
      <c r="U125" s="1">
        <v>21</v>
      </c>
      <c r="V125" s="1">
        <v>42</v>
      </c>
    </row>
    <row r="126" spans="1:28" ht="43.2" x14ac:dyDescent="0.3">
      <c r="A126" s="3">
        <v>111</v>
      </c>
      <c r="B126" s="4"/>
      <c r="C126" s="6" t="s">
        <v>188</v>
      </c>
      <c r="D126" s="5"/>
      <c r="E126" s="5" t="s">
        <v>61</v>
      </c>
      <c r="F126" s="5" t="s">
        <v>50</v>
      </c>
      <c r="G126" s="5" t="s">
        <v>207</v>
      </c>
      <c r="H126" s="5" t="s">
        <v>58</v>
      </c>
      <c r="I126" s="5" t="s">
        <v>67</v>
      </c>
      <c r="J126" s="5" t="s">
        <v>59</v>
      </c>
      <c r="K126" s="5" t="s">
        <v>54</v>
      </c>
      <c r="L126" s="5" t="s">
        <v>66</v>
      </c>
      <c r="M126" s="5" t="s">
        <v>47</v>
      </c>
      <c r="N126" s="5" t="s">
        <v>71</v>
      </c>
      <c r="O126" s="5" t="s">
        <v>52</v>
      </c>
      <c r="P126" s="5" t="s">
        <v>48</v>
      </c>
      <c r="Q126" s="5" t="s">
        <v>69</v>
      </c>
      <c r="R126" s="5" t="s">
        <v>75</v>
      </c>
      <c r="S126" s="5" t="s">
        <v>73</v>
      </c>
      <c r="T126" s="1">
        <v>7</v>
      </c>
      <c r="U126" s="1">
        <v>19</v>
      </c>
      <c r="V126" s="1">
        <v>42</v>
      </c>
    </row>
    <row r="127" spans="1:28" x14ac:dyDescent="0.3">
      <c r="A127" s="3">
        <v>112</v>
      </c>
      <c r="B127" s="4"/>
      <c r="C127" s="6" t="s">
        <v>136</v>
      </c>
      <c r="D127" s="5"/>
      <c r="E127" s="5" t="s">
        <v>72</v>
      </c>
      <c r="F127" s="5" t="s">
        <v>63</v>
      </c>
      <c r="G127" s="5" t="s">
        <v>57</v>
      </c>
      <c r="H127" s="5" t="s">
        <v>58</v>
      </c>
      <c r="I127" s="5" t="s">
        <v>65</v>
      </c>
      <c r="J127" s="5" t="s">
        <v>59</v>
      </c>
      <c r="K127" s="5" t="s">
        <v>54</v>
      </c>
      <c r="L127" s="5" t="s">
        <v>66</v>
      </c>
      <c r="M127" s="5" t="s">
        <v>208</v>
      </c>
      <c r="N127" s="5" t="s">
        <v>55</v>
      </c>
      <c r="O127" s="5" t="s">
        <v>52</v>
      </c>
      <c r="P127" s="5" t="s">
        <v>209</v>
      </c>
      <c r="Q127" s="5" t="s">
        <v>69</v>
      </c>
      <c r="R127" s="5" t="s">
        <v>75</v>
      </c>
      <c r="S127" s="5" t="s">
        <v>53</v>
      </c>
      <c r="T127" s="1">
        <v>7</v>
      </c>
      <c r="U127" s="1">
        <v>17</v>
      </c>
      <c r="V127" s="1">
        <v>41</v>
      </c>
    </row>
    <row r="128" spans="1:28" ht="28.8" x14ac:dyDescent="0.3">
      <c r="A128" s="3">
        <v>113</v>
      </c>
      <c r="B128" s="4"/>
      <c r="C128" s="6" t="s">
        <v>162</v>
      </c>
      <c r="D128" s="5"/>
      <c r="E128" s="5" t="s">
        <v>72</v>
      </c>
      <c r="F128" s="5" t="s">
        <v>63</v>
      </c>
      <c r="G128" s="5" t="s">
        <v>207</v>
      </c>
      <c r="H128" s="5" t="s">
        <v>60</v>
      </c>
      <c r="I128" s="5" t="s">
        <v>65</v>
      </c>
      <c r="J128" s="5" t="s">
        <v>59</v>
      </c>
      <c r="K128" s="5" t="s">
        <v>54</v>
      </c>
      <c r="L128" s="5" t="s">
        <v>66</v>
      </c>
      <c r="M128" s="5" t="s">
        <v>208</v>
      </c>
      <c r="N128" s="5" t="s">
        <v>55</v>
      </c>
      <c r="O128" s="5" t="s">
        <v>52</v>
      </c>
      <c r="P128" s="5" t="s">
        <v>48</v>
      </c>
      <c r="Q128" s="5" t="s">
        <v>69</v>
      </c>
      <c r="R128" s="5" t="s">
        <v>75</v>
      </c>
      <c r="S128" s="5" t="s">
        <v>73</v>
      </c>
      <c r="T128" s="1">
        <v>7</v>
      </c>
      <c r="U128" s="1">
        <v>25</v>
      </c>
      <c r="V128" s="1">
        <v>41</v>
      </c>
    </row>
    <row r="129" spans="1:22" x14ac:dyDescent="0.3">
      <c r="A129" s="3">
        <v>114</v>
      </c>
      <c r="B129" s="4"/>
      <c r="C129" s="6" t="s">
        <v>119</v>
      </c>
      <c r="D129" s="5"/>
      <c r="E129" s="5" t="s">
        <v>61</v>
      </c>
      <c r="F129" s="5" t="s">
        <v>50</v>
      </c>
      <c r="G129" s="5" t="s">
        <v>57</v>
      </c>
      <c r="H129" s="5" t="s">
        <v>60</v>
      </c>
      <c r="I129" s="5" t="s">
        <v>65</v>
      </c>
      <c r="J129" s="5" t="s">
        <v>59</v>
      </c>
      <c r="K129" s="5" t="s">
        <v>54</v>
      </c>
      <c r="L129" s="5" t="s">
        <v>66</v>
      </c>
      <c r="M129" s="5" t="s">
        <v>47</v>
      </c>
      <c r="N129" s="5" t="s">
        <v>71</v>
      </c>
      <c r="O129" s="5" t="s">
        <v>70</v>
      </c>
      <c r="P129" s="5" t="s">
        <v>209</v>
      </c>
      <c r="Q129" s="5" t="s">
        <v>210</v>
      </c>
      <c r="R129" s="5" t="s">
        <v>75</v>
      </c>
      <c r="S129" s="5" t="s">
        <v>73</v>
      </c>
      <c r="T129" s="1">
        <v>7</v>
      </c>
      <c r="U129" s="1">
        <v>22</v>
      </c>
      <c r="V129" s="1">
        <v>41</v>
      </c>
    </row>
    <row r="130" spans="1:22" ht="28.8" x14ac:dyDescent="0.3">
      <c r="A130" s="3">
        <v>115</v>
      </c>
      <c r="B130" s="4"/>
      <c r="C130" s="6" t="s">
        <v>154</v>
      </c>
      <c r="D130" s="5"/>
      <c r="E130" s="5" t="s">
        <v>61</v>
      </c>
      <c r="F130" s="5" t="s">
        <v>63</v>
      </c>
      <c r="G130" s="5" t="s">
        <v>207</v>
      </c>
      <c r="H130" s="5" t="s">
        <v>58</v>
      </c>
      <c r="I130" s="5" t="s">
        <v>65</v>
      </c>
      <c r="J130" s="5" t="s">
        <v>59</v>
      </c>
      <c r="K130" s="5" t="s">
        <v>54</v>
      </c>
      <c r="L130" s="5" t="s">
        <v>66</v>
      </c>
      <c r="M130" s="5" t="s">
        <v>47</v>
      </c>
      <c r="N130" s="5" t="s">
        <v>55</v>
      </c>
      <c r="O130" s="5" t="s">
        <v>52</v>
      </c>
      <c r="P130" s="5" t="s">
        <v>48</v>
      </c>
      <c r="Q130" s="5" t="s">
        <v>69</v>
      </c>
      <c r="R130" s="5" t="s">
        <v>75</v>
      </c>
      <c r="S130" s="5" t="s">
        <v>53</v>
      </c>
      <c r="T130" s="1">
        <v>7</v>
      </c>
      <c r="U130" s="1">
        <v>21</v>
      </c>
      <c r="V130" s="1">
        <v>41</v>
      </c>
    </row>
    <row r="131" spans="1:22" ht="28.8" x14ac:dyDescent="0.3">
      <c r="A131" s="3">
        <v>116</v>
      </c>
      <c r="B131" s="4"/>
      <c r="C131" s="6" t="s">
        <v>153</v>
      </c>
      <c r="D131" s="5"/>
      <c r="E131" s="5" t="s">
        <v>61</v>
      </c>
      <c r="F131" s="5" t="s">
        <v>50</v>
      </c>
      <c r="G131" s="5" t="s">
        <v>207</v>
      </c>
      <c r="H131" s="5" t="s">
        <v>60</v>
      </c>
      <c r="I131" s="5" t="s">
        <v>65</v>
      </c>
      <c r="J131" s="5" t="s">
        <v>59</v>
      </c>
      <c r="K131" s="5" t="s">
        <v>62</v>
      </c>
      <c r="L131" s="5" t="s">
        <v>68</v>
      </c>
      <c r="M131" s="5" t="s">
        <v>208</v>
      </c>
      <c r="N131" s="5" t="s">
        <v>71</v>
      </c>
      <c r="O131" s="5" t="s">
        <v>70</v>
      </c>
      <c r="P131" s="5" t="s">
        <v>209</v>
      </c>
      <c r="Q131" s="5" t="s">
        <v>210</v>
      </c>
      <c r="R131" s="5" t="s">
        <v>75</v>
      </c>
      <c r="S131" s="5" t="s">
        <v>73</v>
      </c>
      <c r="T131" s="1">
        <v>7</v>
      </c>
      <c r="U131" s="1">
        <v>17</v>
      </c>
      <c r="V131" s="1">
        <v>41</v>
      </c>
    </row>
    <row r="132" spans="1:22" ht="28.8" x14ac:dyDescent="0.3">
      <c r="A132" s="3">
        <v>117</v>
      </c>
      <c r="B132" s="4"/>
      <c r="C132" s="6" t="s">
        <v>6</v>
      </c>
      <c r="D132" s="5"/>
      <c r="E132" s="5" t="s">
        <v>61</v>
      </c>
      <c r="F132" s="5" t="s">
        <v>50</v>
      </c>
      <c r="G132" s="5" t="s">
        <v>207</v>
      </c>
      <c r="H132" s="5" t="s">
        <v>58</v>
      </c>
      <c r="I132" s="5" t="s">
        <v>67</v>
      </c>
      <c r="J132" s="5" t="s">
        <v>59</v>
      </c>
      <c r="K132" s="5" t="s">
        <v>54</v>
      </c>
      <c r="L132" s="5" t="s">
        <v>66</v>
      </c>
      <c r="M132" s="5" t="s">
        <v>47</v>
      </c>
      <c r="N132" s="5" t="s">
        <v>55</v>
      </c>
      <c r="O132" s="5" t="s">
        <v>70</v>
      </c>
      <c r="P132" s="5" t="s">
        <v>48</v>
      </c>
      <c r="Q132" s="5" t="s">
        <v>210</v>
      </c>
      <c r="R132" s="5" t="s">
        <v>75</v>
      </c>
      <c r="S132" s="5" t="s">
        <v>53</v>
      </c>
      <c r="T132" s="1">
        <v>7</v>
      </c>
      <c r="U132" s="1">
        <v>22</v>
      </c>
      <c r="V132" s="1">
        <v>31</v>
      </c>
    </row>
    <row r="133" spans="1:22" x14ac:dyDescent="0.3">
      <c r="A133" s="3">
        <v>118</v>
      </c>
      <c r="B133" s="4"/>
      <c r="C133" s="6" t="s">
        <v>82</v>
      </c>
      <c r="D133" s="5"/>
      <c r="E133" s="5" t="s">
        <v>61</v>
      </c>
      <c r="F133" s="5" t="s">
        <v>63</v>
      </c>
      <c r="G133" s="5" t="s">
        <v>57</v>
      </c>
      <c r="H133" s="5" t="s">
        <v>58</v>
      </c>
      <c r="I133" s="5" t="s">
        <v>67</v>
      </c>
      <c r="J133" s="5" t="s">
        <v>64</v>
      </c>
      <c r="K133" s="5" t="s">
        <v>62</v>
      </c>
      <c r="L133" s="5" t="s">
        <v>68</v>
      </c>
      <c r="M133" s="5" t="s">
        <v>208</v>
      </c>
      <c r="N133" s="5" t="s">
        <v>71</v>
      </c>
      <c r="O133" s="5" t="s">
        <v>70</v>
      </c>
      <c r="P133" s="5" t="s">
        <v>48</v>
      </c>
      <c r="Q133" s="5" t="s">
        <v>210</v>
      </c>
      <c r="R133" s="5" t="s">
        <v>75</v>
      </c>
      <c r="S133" s="5" t="s">
        <v>73</v>
      </c>
      <c r="T133" s="1">
        <v>7</v>
      </c>
      <c r="U133" s="1">
        <v>22</v>
      </c>
      <c r="V133" s="1">
        <v>24</v>
      </c>
    </row>
    <row r="134" spans="1:22" ht="28.8" x14ac:dyDescent="0.3">
      <c r="A134" s="3">
        <v>119</v>
      </c>
      <c r="B134" s="4"/>
      <c r="C134" s="6" t="s">
        <v>192</v>
      </c>
      <c r="D134" s="5"/>
      <c r="E134" s="5" t="s">
        <v>61</v>
      </c>
      <c r="F134" s="5" t="s">
        <v>63</v>
      </c>
      <c r="G134" s="5" t="s">
        <v>207</v>
      </c>
      <c r="H134" s="5" t="s">
        <v>58</v>
      </c>
      <c r="I134" s="5" t="s">
        <v>65</v>
      </c>
      <c r="J134" s="5" t="s">
        <v>59</v>
      </c>
      <c r="K134" s="5" t="s">
        <v>62</v>
      </c>
      <c r="L134" s="5" t="s">
        <v>66</v>
      </c>
      <c r="M134" s="5" t="s">
        <v>47</v>
      </c>
      <c r="N134" s="5" t="s">
        <v>55</v>
      </c>
      <c r="O134" s="5" t="s">
        <v>52</v>
      </c>
      <c r="P134" s="5" t="s">
        <v>209</v>
      </c>
      <c r="Q134" s="5" t="s">
        <v>210</v>
      </c>
      <c r="R134" s="5" t="s">
        <v>75</v>
      </c>
      <c r="S134" s="5" t="s">
        <v>73</v>
      </c>
      <c r="T134" s="1">
        <v>7</v>
      </c>
      <c r="U134" s="1">
        <v>20</v>
      </c>
      <c r="V134" s="1">
        <v>19</v>
      </c>
    </row>
    <row r="135" spans="1:22" x14ac:dyDescent="0.3">
      <c r="A135" s="3">
        <v>120</v>
      </c>
      <c r="B135" s="4"/>
      <c r="C135" s="6" t="s">
        <v>126</v>
      </c>
      <c r="D135" s="5"/>
      <c r="E135" s="5" t="s">
        <v>61</v>
      </c>
      <c r="F135" s="5" t="s">
        <v>63</v>
      </c>
      <c r="G135" s="5" t="s">
        <v>57</v>
      </c>
      <c r="H135" s="5" t="s">
        <v>58</v>
      </c>
      <c r="I135" s="5" t="s">
        <v>67</v>
      </c>
      <c r="J135" s="5" t="s">
        <v>59</v>
      </c>
      <c r="K135" s="5" t="s">
        <v>62</v>
      </c>
      <c r="L135" s="5" t="s">
        <v>66</v>
      </c>
      <c r="M135" s="5" t="s">
        <v>208</v>
      </c>
      <c r="N135" s="5" t="s">
        <v>55</v>
      </c>
      <c r="O135" s="5" t="s">
        <v>52</v>
      </c>
      <c r="P135" s="5" t="s">
        <v>48</v>
      </c>
      <c r="Q135" s="5" t="s">
        <v>210</v>
      </c>
      <c r="R135" s="5" t="s">
        <v>75</v>
      </c>
      <c r="S135" s="5" t="s">
        <v>53</v>
      </c>
      <c r="T135" s="1">
        <v>6</v>
      </c>
      <c r="U135" s="1">
        <v>20</v>
      </c>
      <c r="V135" s="1">
        <v>57</v>
      </c>
    </row>
    <row r="136" spans="1:22" x14ac:dyDescent="0.3">
      <c r="A136" s="3">
        <v>121</v>
      </c>
      <c r="B136" s="4"/>
      <c r="C136" s="6" t="s">
        <v>120</v>
      </c>
      <c r="D136" s="5"/>
      <c r="E136" s="5" t="s">
        <v>61</v>
      </c>
      <c r="F136" s="5" t="s">
        <v>63</v>
      </c>
      <c r="G136" s="5" t="s">
        <v>57</v>
      </c>
      <c r="H136" s="5" t="s">
        <v>58</v>
      </c>
      <c r="I136" s="5" t="s">
        <v>65</v>
      </c>
      <c r="J136" s="5" t="s">
        <v>59</v>
      </c>
      <c r="K136" s="5" t="s">
        <v>62</v>
      </c>
      <c r="L136" s="5" t="s">
        <v>66</v>
      </c>
      <c r="M136" s="5" t="s">
        <v>47</v>
      </c>
      <c r="N136" s="5" t="s">
        <v>71</v>
      </c>
      <c r="O136" s="5" t="s">
        <v>52</v>
      </c>
      <c r="P136" s="5" t="s">
        <v>48</v>
      </c>
      <c r="Q136" s="5" t="s">
        <v>210</v>
      </c>
      <c r="R136" s="5" t="s">
        <v>75</v>
      </c>
      <c r="S136" s="5" t="s">
        <v>73</v>
      </c>
      <c r="T136" s="1">
        <v>6</v>
      </c>
      <c r="U136" s="1">
        <v>18</v>
      </c>
      <c r="V136" s="1">
        <v>49</v>
      </c>
    </row>
    <row r="137" spans="1:22" x14ac:dyDescent="0.3">
      <c r="A137" s="3">
        <v>122</v>
      </c>
      <c r="B137" s="4"/>
      <c r="C137" s="6" t="s">
        <v>145</v>
      </c>
      <c r="D137" s="5"/>
      <c r="E137" s="5" t="s">
        <v>61</v>
      </c>
      <c r="F137" s="5" t="s">
        <v>50</v>
      </c>
      <c r="G137" s="5" t="s">
        <v>207</v>
      </c>
      <c r="H137" s="5" t="s">
        <v>58</v>
      </c>
      <c r="I137" s="5" t="s">
        <v>67</v>
      </c>
      <c r="J137" s="5" t="s">
        <v>59</v>
      </c>
      <c r="K137" s="5" t="s">
        <v>54</v>
      </c>
      <c r="L137" s="5" t="s">
        <v>66</v>
      </c>
      <c r="M137" s="5" t="s">
        <v>208</v>
      </c>
      <c r="N137" s="5" t="s">
        <v>55</v>
      </c>
      <c r="O137" s="5" t="s">
        <v>70</v>
      </c>
      <c r="P137" s="5" t="s">
        <v>48</v>
      </c>
      <c r="Q137" s="5" t="s">
        <v>210</v>
      </c>
      <c r="R137" s="5" t="s">
        <v>75</v>
      </c>
      <c r="S137" s="5" t="s">
        <v>53</v>
      </c>
      <c r="T137" s="1">
        <v>6</v>
      </c>
      <c r="U137" s="1">
        <v>22</v>
      </c>
      <c r="V137" s="1">
        <v>48</v>
      </c>
    </row>
    <row r="138" spans="1:22" ht="28.8" x14ac:dyDescent="0.3">
      <c r="A138" s="3">
        <v>123</v>
      </c>
      <c r="B138" s="4"/>
      <c r="C138" s="6" t="s">
        <v>135</v>
      </c>
      <c r="D138" s="5"/>
      <c r="E138" s="5" t="s">
        <v>61</v>
      </c>
      <c r="F138" s="5" t="s">
        <v>50</v>
      </c>
      <c r="G138" s="5" t="s">
        <v>207</v>
      </c>
      <c r="H138" s="5" t="s">
        <v>60</v>
      </c>
      <c r="I138" s="5" t="s">
        <v>67</v>
      </c>
      <c r="J138" s="5" t="s">
        <v>59</v>
      </c>
      <c r="K138" s="5" t="s">
        <v>62</v>
      </c>
      <c r="L138" s="5" t="s">
        <v>66</v>
      </c>
      <c r="M138" s="5" t="s">
        <v>47</v>
      </c>
      <c r="N138" s="5" t="s">
        <v>71</v>
      </c>
      <c r="O138" s="5" t="s">
        <v>70</v>
      </c>
      <c r="P138" s="5" t="s">
        <v>48</v>
      </c>
      <c r="Q138" s="5" t="s">
        <v>69</v>
      </c>
      <c r="R138" s="5" t="s">
        <v>75</v>
      </c>
      <c r="S138" s="5" t="s">
        <v>73</v>
      </c>
      <c r="T138" s="1">
        <v>6</v>
      </c>
      <c r="U138" s="1">
        <v>19</v>
      </c>
      <c r="V138" s="1">
        <v>47</v>
      </c>
    </row>
    <row r="139" spans="1:22" ht="28.8" x14ac:dyDescent="0.3">
      <c r="A139" s="3">
        <v>124</v>
      </c>
      <c r="B139" s="4"/>
      <c r="C139" s="6" t="s">
        <v>148</v>
      </c>
      <c r="D139" s="5"/>
      <c r="E139" s="5" t="s">
        <v>61</v>
      </c>
      <c r="F139" s="5" t="s">
        <v>50</v>
      </c>
      <c r="G139" s="5" t="s">
        <v>207</v>
      </c>
      <c r="H139" s="5" t="s">
        <v>58</v>
      </c>
      <c r="I139" s="5" t="s">
        <v>65</v>
      </c>
      <c r="J139" s="5" t="s">
        <v>59</v>
      </c>
      <c r="K139" s="5" t="s">
        <v>62</v>
      </c>
      <c r="L139" s="5" t="s">
        <v>68</v>
      </c>
      <c r="M139" s="5" t="s">
        <v>47</v>
      </c>
      <c r="N139" s="5" t="s">
        <v>55</v>
      </c>
      <c r="O139" s="5" t="s">
        <v>70</v>
      </c>
      <c r="P139" s="5" t="s">
        <v>209</v>
      </c>
      <c r="Q139" s="5" t="s">
        <v>69</v>
      </c>
      <c r="R139" s="5" t="s">
        <v>75</v>
      </c>
      <c r="S139" s="5" t="s">
        <v>53</v>
      </c>
      <c r="T139" s="1">
        <v>6</v>
      </c>
      <c r="U139" s="1">
        <v>22</v>
      </c>
      <c r="V139" s="1">
        <v>47</v>
      </c>
    </row>
    <row r="140" spans="1:22" x14ac:dyDescent="0.3">
      <c r="A140" s="3">
        <v>125</v>
      </c>
      <c r="B140" s="4"/>
      <c r="C140" s="6" t="s">
        <v>195</v>
      </c>
      <c r="D140" s="5"/>
      <c r="E140" s="5" t="s">
        <v>61</v>
      </c>
      <c r="F140" s="5" t="s">
        <v>63</v>
      </c>
      <c r="G140" s="5" t="s">
        <v>207</v>
      </c>
      <c r="H140" s="5" t="s">
        <v>58</v>
      </c>
      <c r="I140" s="5" t="s">
        <v>67</v>
      </c>
      <c r="J140" s="5" t="s">
        <v>59</v>
      </c>
      <c r="K140" s="5" t="s">
        <v>62</v>
      </c>
      <c r="L140" s="5" t="s">
        <v>66</v>
      </c>
      <c r="M140" s="5" t="s">
        <v>47</v>
      </c>
      <c r="N140" s="5" t="s">
        <v>55</v>
      </c>
      <c r="O140" s="5" t="s">
        <v>70</v>
      </c>
      <c r="P140" s="5" t="s">
        <v>209</v>
      </c>
      <c r="Q140" s="5" t="s">
        <v>69</v>
      </c>
      <c r="R140" s="5" t="s">
        <v>75</v>
      </c>
      <c r="S140" s="5" t="s">
        <v>73</v>
      </c>
      <c r="T140" s="1">
        <v>6</v>
      </c>
      <c r="U140" s="1">
        <v>23</v>
      </c>
      <c r="V140" s="1">
        <v>47</v>
      </c>
    </row>
    <row r="141" spans="1:22" ht="28.8" x14ac:dyDescent="0.3">
      <c r="A141" s="3">
        <v>126</v>
      </c>
      <c r="B141" s="4"/>
      <c r="C141" s="6" t="s">
        <v>30</v>
      </c>
      <c r="D141" s="5"/>
      <c r="E141" s="5" t="s">
        <v>61</v>
      </c>
      <c r="F141" s="5" t="s">
        <v>63</v>
      </c>
      <c r="G141" s="5" t="s">
        <v>57</v>
      </c>
      <c r="H141" s="5" t="s">
        <v>58</v>
      </c>
      <c r="I141" s="5" t="s">
        <v>65</v>
      </c>
      <c r="J141" s="5" t="s">
        <v>59</v>
      </c>
      <c r="K141" s="5" t="s">
        <v>54</v>
      </c>
      <c r="L141" s="5" t="s">
        <v>66</v>
      </c>
      <c r="M141" s="5" t="s">
        <v>47</v>
      </c>
      <c r="N141" s="5" t="s">
        <v>71</v>
      </c>
      <c r="O141" s="5" t="s">
        <v>70</v>
      </c>
      <c r="P141" s="5" t="s">
        <v>48</v>
      </c>
      <c r="Q141" s="5" t="s">
        <v>210</v>
      </c>
      <c r="R141" s="5" t="s">
        <v>75</v>
      </c>
      <c r="S141" s="5" t="s">
        <v>73</v>
      </c>
      <c r="T141" s="1">
        <v>6</v>
      </c>
      <c r="U141" s="1">
        <v>21</v>
      </c>
      <c r="V141" s="1">
        <v>46</v>
      </c>
    </row>
    <row r="142" spans="1:22" ht="28.8" x14ac:dyDescent="0.3">
      <c r="A142" s="3">
        <v>127</v>
      </c>
      <c r="B142" s="4"/>
      <c r="C142" s="6" t="s">
        <v>24</v>
      </c>
      <c r="D142" s="5"/>
      <c r="E142" s="5" t="s">
        <v>61</v>
      </c>
      <c r="F142" s="5" t="s">
        <v>63</v>
      </c>
      <c r="G142" s="5" t="s">
        <v>207</v>
      </c>
      <c r="H142" s="5" t="s">
        <v>58</v>
      </c>
      <c r="I142" s="5" t="s">
        <v>67</v>
      </c>
      <c r="J142" s="5" t="s">
        <v>59</v>
      </c>
      <c r="K142" s="5" t="s">
        <v>62</v>
      </c>
      <c r="L142" s="5" t="s">
        <v>68</v>
      </c>
      <c r="M142" s="5" t="s">
        <v>208</v>
      </c>
      <c r="N142" s="5" t="s">
        <v>55</v>
      </c>
      <c r="O142" s="5" t="s">
        <v>70</v>
      </c>
      <c r="P142" s="5" t="s">
        <v>48</v>
      </c>
      <c r="Q142" s="5" t="s">
        <v>210</v>
      </c>
      <c r="R142" s="5" t="s">
        <v>51</v>
      </c>
      <c r="S142" s="5" t="s">
        <v>53</v>
      </c>
      <c r="T142" s="1">
        <v>6</v>
      </c>
      <c r="U142" s="1">
        <v>21</v>
      </c>
      <c r="V142" s="1">
        <v>46</v>
      </c>
    </row>
    <row r="143" spans="1:22" x14ac:dyDescent="0.3">
      <c r="A143" s="3">
        <v>128</v>
      </c>
      <c r="B143" s="4"/>
      <c r="C143" s="6" t="s">
        <v>181</v>
      </c>
      <c r="D143" s="5"/>
      <c r="E143" s="5" t="s">
        <v>61</v>
      </c>
      <c r="F143" s="5" t="s">
        <v>50</v>
      </c>
      <c r="G143" s="5" t="s">
        <v>57</v>
      </c>
      <c r="H143" s="5" t="s">
        <v>58</v>
      </c>
      <c r="I143" s="5" t="s">
        <v>67</v>
      </c>
      <c r="J143" s="5" t="s">
        <v>59</v>
      </c>
      <c r="K143" s="5" t="s">
        <v>54</v>
      </c>
      <c r="L143" s="5" t="s">
        <v>66</v>
      </c>
      <c r="M143" s="5" t="s">
        <v>47</v>
      </c>
      <c r="N143" s="5" t="s">
        <v>71</v>
      </c>
      <c r="O143" s="5" t="s">
        <v>70</v>
      </c>
      <c r="P143" s="5" t="s">
        <v>48</v>
      </c>
      <c r="Q143" s="5" t="s">
        <v>210</v>
      </c>
      <c r="R143" s="5" t="s">
        <v>75</v>
      </c>
      <c r="S143" s="5" t="s">
        <v>73</v>
      </c>
      <c r="T143" s="1">
        <v>6</v>
      </c>
      <c r="U143" s="1">
        <v>17</v>
      </c>
      <c r="V143" s="1">
        <v>45</v>
      </c>
    </row>
    <row r="144" spans="1:22" x14ac:dyDescent="0.3">
      <c r="A144" s="3">
        <v>129</v>
      </c>
      <c r="B144" s="4"/>
      <c r="C144" s="6" t="s">
        <v>131</v>
      </c>
      <c r="D144" s="5"/>
      <c r="E144" s="5" t="s">
        <v>61</v>
      </c>
      <c r="F144" s="5" t="s">
        <v>63</v>
      </c>
      <c r="G144" s="5" t="s">
        <v>207</v>
      </c>
      <c r="H144" s="5" t="s">
        <v>58</v>
      </c>
      <c r="I144" s="5" t="s">
        <v>67</v>
      </c>
      <c r="J144" s="5" t="s">
        <v>59</v>
      </c>
      <c r="K144" s="5" t="s">
        <v>62</v>
      </c>
      <c r="L144" s="5" t="s">
        <v>66</v>
      </c>
      <c r="M144" s="5" t="s">
        <v>47</v>
      </c>
      <c r="N144" s="5" t="s">
        <v>55</v>
      </c>
      <c r="O144" s="5" t="s">
        <v>70</v>
      </c>
      <c r="P144" s="5" t="s">
        <v>209</v>
      </c>
      <c r="Q144" s="5" t="s">
        <v>69</v>
      </c>
      <c r="R144" s="5" t="s">
        <v>75</v>
      </c>
      <c r="S144" s="5" t="s">
        <v>73</v>
      </c>
      <c r="T144" s="1">
        <v>6</v>
      </c>
      <c r="U144" s="1">
        <v>16</v>
      </c>
      <c r="V144" s="1">
        <v>45</v>
      </c>
    </row>
    <row r="145" spans="1:22" x14ac:dyDescent="0.3">
      <c r="A145" s="3">
        <v>130</v>
      </c>
      <c r="B145" s="4"/>
      <c r="C145" s="6" t="s">
        <v>166</v>
      </c>
      <c r="D145" s="5"/>
      <c r="E145" s="5" t="s">
        <v>72</v>
      </c>
      <c r="F145" s="5" t="s">
        <v>63</v>
      </c>
      <c r="G145" s="5" t="s">
        <v>207</v>
      </c>
      <c r="H145" s="5" t="s">
        <v>58</v>
      </c>
      <c r="I145" s="5" t="s">
        <v>65</v>
      </c>
      <c r="J145" s="5" t="s">
        <v>59</v>
      </c>
      <c r="K145" s="5" t="s">
        <v>62</v>
      </c>
      <c r="L145" s="5" t="s">
        <v>66</v>
      </c>
      <c r="M145" s="5" t="s">
        <v>47</v>
      </c>
      <c r="N145" s="5" t="s">
        <v>55</v>
      </c>
      <c r="O145" s="5" t="s">
        <v>70</v>
      </c>
      <c r="P145" s="5" t="s">
        <v>209</v>
      </c>
      <c r="Q145" s="5" t="s">
        <v>69</v>
      </c>
      <c r="R145" s="5" t="s">
        <v>75</v>
      </c>
      <c r="S145" s="5" t="s">
        <v>73</v>
      </c>
      <c r="T145" s="1">
        <v>6</v>
      </c>
      <c r="U145" s="1">
        <v>14</v>
      </c>
      <c r="V145" s="1">
        <v>44</v>
      </c>
    </row>
    <row r="146" spans="1:22" x14ac:dyDescent="0.3">
      <c r="A146" s="3">
        <v>131</v>
      </c>
      <c r="B146" s="4"/>
      <c r="C146" s="6" t="s">
        <v>161</v>
      </c>
      <c r="D146" s="5"/>
      <c r="E146" s="5" t="s">
        <v>61</v>
      </c>
      <c r="F146" s="5" t="s">
        <v>50</v>
      </c>
      <c r="G146" s="5" t="s">
        <v>57</v>
      </c>
      <c r="H146" s="5" t="s">
        <v>58</v>
      </c>
      <c r="I146" s="5" t="s">
        <v>65</v>
      </c>
      <c r="J146" s="5" t="s">
        <v>59</v>
      </c>
      <c r="K146" s="5" t="s">
        <v>54</v>
      </c>
      <c r="L146" s="5" t="s">
        <v>66</v>
      </c>
      <c r="M146" s="5" t="s">
        <v>47</v>
      </c>
      <c r="N146" s="5" t="s">
        <v>55</v>
      </c>
      <c r="O146" s="5" t="s">
        <v>52</v>
      </c>
      <c r="P146" s="5" t="s">
        <v>48</v>
      </c>
      <c r="Q146" s="5" t="s">
        <v>210</v>
      </c>
      <c r="R146" s="5" t="s">
        <v>75</v>
      </c>
      <c r="S146" s="5" t="s">
        <v>53</v>
      </c>
      <c r="T146" s="1">
        <v>6</v>
      </c>
      <c r="U146" s="1">
        <v>18</v>
      </c>
      <c r="V146" s="1">
        <v>43</v>
      </c>
    </row>
    <row r="147" spans="1:22" x14ac:dyDescent="0.3">
      <c r="A147" s="3">
        <v>132</v>
      </c>
      <c r="B147" s="4"/>
      <c r="C147" s="6" t="s">
        <v>155</v>
      </c>
      <c r="D147" s="5"/>
      <c r="E147" s="5" t="s">
        <v>61</v>
      </c>
      <c r="F147" s="5" t="s">
        <v>50</v>
      </c>
      <c r="G147" s="5" t="s">
        <v>57</v>
      </c>
      <c r="H147" s="5" t="s">
        <v>58</v>
      </c>
      <c r="I147" s="5" t="s">
        <v>67</v>
      </c>
      <c r="J147" s="5" t="s">
        <v>59</v>
      </c>
      <c r="K147" s="5" t="s">
        <v>54</v>
      </c>
      <c r="L147" s="5" t="s">
        <v>66</v>
      </c>
      <c r="M147" s="5" t="s">
        <v>47</v>
      </c>
      <c r="N147" s="5" t="s">
        <v>55</v>
      </c>
      <c r="O147" s="5" t="s">
        <v>70</v>
      </c>
      <c r="P147" s="5" t="s">
        <v>209</v>
      </c>
      <c r="Q147" s="5" t="s">
        <v>210</v>
      </c>
      <c r="R147" s="5" t="s">
        <v>75</v>
      </c>
      <c r="S147" s="5" t="s">
        <v>73</v>
      </c>
      <c r="T147" s="1">
        <v>6</v>
      </c>
      <c r="U147" s="1">
        <v>19</v>
      </c>
      <c r="V147" s="1">
        <v>42</v>
      </c>
    </row>
    <row r="148" spans="1:22" x14ac:dyDescent="0.3">
      <c r="A148" s="3">
        <v>133</v>
      </c>
      <c r="B148" s="4"/>
      <c r="C148" s="6" t="s">
        <v>19</v>
      </c>
      <c r="D148" s="5"/>
      <c r="E148" s="5" t="s">
        <v>72</v>
      </c>
      <c r="F148" s="5" t="s">
        <v>63</v>
      </c>
      <c r="G148" s="5" t="s">
        <v>57</v>
      </c>
      <c r="H148" s="5" t="s">
        <v>58</v>
      </c>
      <c r="I148" s="5" t="s">
        <v>65</v>
      </c>
      <c r="J148" s="5" t="s">
        <v>59</v>
      </c>
      <c r="K148" s="5" t="s">
        <v>62</v>
      </c>
      <c r="L148" s="5" t="s">
        <v>66</v>
      </c>
      <c r="M148" s="5" t="s">
        <v>47</v>
      </c>
      <c r="N148" s="5" t="s">
        <v>71</v>
      </c>
      <c r="O148" s="5" t="s">
        <v>70</v>
      </c>
      <c r="P148" s="5" t="s">
        <v>48</v>
      </c>
      <c r="Q148" s="5" t="s">
        <v>210</v>
      </c>
      <c r="R148" s="5" t="s">
        <v>75</v>
      </c>
      <c r="S148" s="5" t="s">
        <v>73</v>
      </c>
      <c r="T148" s="1">
        <v>6</v>
      </c>
      <c r="U148" s="1">
        <v>20</v>
      </c>
      <c r="V148" s="1">
        <v>42</v>
      </c>
    </row>
    <row r="149" spans="1:22" ht="28.8" x14ac:dyDescent="0.3">
      <c r="A149" s="3">
        <v>134</v>
      </c>
      <c r="B149" s="4"/>
      <c r="C149" s="6" t="s">
        <v>164</v>
      </c>
      <c r="D149" s="5"/>
      <c r="E149" s="5" t="s">
        <v>61</v>
      </c>
      <c r="F149" s="5" t="s">
        <v>63</v>
      </c>
      <c r="G149" s="5" t="s">
        <v>57</v>
      </c>
      <c r="H149" s="5" t="s">
        <v>58</v>
      </c>
      <c r="I149" s="5" t="s">
        <v>67</v>
      </c>
      <c r="J149" s="5" t="s">
        <v>59</v>
      </c>
      <c r="K149" s="5" t="s">
        <v>62</v>
      </c>
      <c r="L149" s="5" t="s">
        <v>66</v>
      </c>
      <c r="M149" s="5" t="s">
        <v>47</v>
      </c>
      <c r="N149" s="5" t="s">
        <v>55</v>
      </c>
      <c r="O149" s="5" t="s">
        <v>70</v>
      </c>
      <c r="P149" s="5" t="s">
        <v>209</v>
      </c>
      <c r="Q149" s="5" t="s">
        <v>210</v>
      </c>
      <c r="R149" s="5" t="s">
        <v>75</v>
      </c>
      <c r="S149" s="5" t="s">
        <v>73</v>
      </c>
      <c r="T149" s="1">
        <v>6</v>
      </c>
      <c r="U149" s="1">
        <v>19</v>
      </c>
      <c r="V149" s="1">
        <v>41</v>
      </c>
    </row>
    <row r="150" spans="1:22" x14ac:dyDescent="0.3">
      <c r="A150" s="3">
        <v>135</v>
      </c>
      <c r="B150" s="4"/>
      <c r="C150" s="6" t="s">
        <v>79</v>
      </c>
      <c r="D150" s="5"/>
      <c r="E150" s="5" t="s">
        <v>61</v>
      </c>
      <c r="F150" s="5" t="s">
        <v>50</v>
      </c>
      <c r="G150" s="5" t="s">
        <v>57</v>
      </c>
      <c r="H150" s="5" t="s">
        <v>58</v>
      </c>
      <c r="I150" s="5" t="s">
        <v>65</v>
      </c>
      <c r="J150" s="5" t="s">
        <v>59</v>
      </c>
      <c r="K150" s="5" t="s">
        <v>62</v>
      </c>
      <c r="L150" s="5" t="s">
        <v>68</v>
      </c>
      <c r="M150" s="5" t="s">
        <v>47</v>
      </c>
      <c r="N150" s="5" t="s">
        <v>55</v>
      </c>
      <c r="O150" s="5" t="s">
        <v>52</v>
      </c>
      <c r="P150" s="5" t="s">
        <v>209</v>
      </c>
      <c r="Q150" s="5" t="s">
        <v>210</v>
      </c>
      <c r="R150" s="5" t="s">
        <v>75</v>
      </c>
      <c r="S150" s="5" t="s">
        <v>73</v>
      </c>
      <c r="T150" s="1">
        <v>6</v>
      </c>
      <c r="U150" s="1">
        <v>15</v>
      </c>
      <c r="V150" s="1">
        <v>40</v>
      </c>
    </row>
    <row r="151" spans="1:22" x14ac:dyDescent="0.3">
      <c r="A151" s="3">
        <v>136</v>
      </c>
      <c r="B151" s="4"/>
      <c r="C151" s="6" t="s">
        <v>201</v>
      </c>
      <c r="D151" s="5"/>
      <c r="E151" s="5" t="s">
        <v>61</v>
      </c>
      <c r="F151" s="5" t="s">
        <v>63</v>
      </c>
      <c r="G151" s="5" t="s">
        <v>207</v>
      </c>
      <c r="H151" s="5" t="s">
        <v>58</v>
      </c>
      <c r="I151" s="5" t="s">
        <v>67</v>
      </c>
      <c r="J151" s="5" t="s">
        <v>59</v>
      </c>
      <c r="K151" s="5" t="s">
        <v>62</v>
      </c>
      <c r="L151" s="5" t="s">
        <v>66</v>
      </c>
      <c r="M151" s="5" t="s">
        <v>47</v>
      </c>
      <c r="N151" s="5" t="s">
        <v>55</v>
      </c>
      <c r="O151" s="5" t="s">
        <v>70</v>
      </c>
      <c r="P151" s="5" t="s">
        <v>209</v>
      </c>
      <c r="Q151" s="5" t="s">
        <v>69</v>
      </c>
      <c r="R151" s="5" t="s">
        <v>75</v>
      </c>
      <c r="S151" s="5" t="s">
        <v>73</v>
      </c>
      <c r="T151" s="1">
        <v>6</v>
      </c>
      <c r="U151" s="1">
        <v>20</v>
      </c>
      <c r="V151" s="1">
        <v>34</v>
      </c>
    </row>
    <row r="152" spans="1:22" x14ac:dyDescent="0.3">
      <c r="A152" s="3">
        <v>137</v>
      </c>
      <c r="B152" s="4"/>
      <c r="C152" s="6" t="s">
        <v>130</v>
      </c>
      <c r="D152" s="5"/>
      <c r="E152" s="5" t="s">
        <v>72</v>
      </c>
      <c r="F152" s="5" t="s">
        <v>50</v>
      </c>
      <c r="G152" s="5" t="s">
        <v>207</v>
      </c>
      <c r="H152" s="5" t="s">
        <v>58</v>
      </c>
      <c r="I152" s="5" t="s">
        <v>67</v>
      </c>
      <c r="J152" s="5" t="s">
        <v>64</v>
      </c>
      <c r="K152" s="5" t="s">
        <v>62</v>
      </c>
      <c r="L152" s="5" t="s">
        <v>66</v>
      </c>
      <c r="M152" s="5" t="s">
        <v>208</v>
      </c>
      <c r="N152" s="5" t="s">
        <v>55</v>
      </c>
      <c r="O152" s="5" t="s">
        <v>70</v>
      </c>
      <c r="P152" s="5" t="s">
        <v>209</v>
      </c>
      <c r="Q152" s="5" t="s">
        <v>69</v>
      </c>
      <c r="R152" s="5" t="s">
        <v>51</v>
      </c>
      <c r="S152" s="5" t="s">
        <v>53</v>
      </c>
      <c r="T152" s="1">
        <v>6</v>
      </c>
      <c r="U152" s="1">
        <v>19</v>
      </c>
      <c r="V152" s="1">
        <v>33</v>
      </c>
    </row>
    <row r="153" spans="1:22" ht="28.8" x14ac:dyDescent="0.3">
      <c r="A153" s="3">
        <v>138</v>
      </c>
      <c r="B153" s="4"/>
      <c r="C153" s="6" t="s">
        <v>170</v>
      </c>
      <c r="D153" s="5"/>
      <c r="E153" s="5" t="s">
        <v>61</v>
      </c>
      <c r="F153" s="5" t="s">
        <v>63</v>
      </c>
      <c r="G153" s="5" t="s">
        <v>207</v>
      </c>
      <c r="H153" s="5" t="s">
        <v>58</v>
      </c>
      <c r="I153" s="5" t="s">
        <v>67</v>
      </c>
      <c r="J153" s="5" t="s">
        <v>59</v>
      </c>
      <c r="K153" s="5" t="s">
        <v>62</v>
      </c>
      <c r="L153" s="5" t="s">
        <v>66</v>
      </c>
      <c r="M153" s="5" t="s">
        <v>47</v>
      </c>
      <c r="N153" s="5" t="s">
        <v>55</v>
      </c>
      <c r="O153" s="5" t="s">
        <v>70</v>
      </c>
      <c r="P153" s="5" t="s">
        <v>209</v>
      </c>
      <c r="Q153" s="5" t="s">
        <v>69</v>
      </c>
      <c r="R153" s="5" t="s">
        <v>75</v>
      </c>
      <c r="S153" s="5" t="s">
        <v>73</v>
      </c>
      <c r="T153" s="1">
        <v>6</v>
      </c>
      <c r="U153" s="1">
        <v>20</v>
      </c>
      <c r="V153" s="1">
        <v>30</v>
      </c>
    </row>
    <row r="154" spans="1:22" ht="28.8" x14ac:dyDescent="0.3">
      <c r="A154" s="3">
        <v>139</v>
      </c>
      <c r="B154" s="4"/>
      <c r="C154" s="6" t="s">
        <v>32</v>
      </c>
      <c r="D154" s="5"/>
      <c r="E154" s="5" t="s">
        <v>61</v>
      </c>
      <c r="F154" s="5" t="s">
        <v>63</v>
      </c>
      <c r="G154" s="5" t="s">
        <v>207</v>
      </c>
      <c r="H154" s="5" t="s">
        <v>58</v>
      </c>
      <c r="I154" s="5" t="s">
        <v>67</v>
      </c>
      <c r="J154" s="5" t="s">
        <v>59</v>
      </c>
      <c r="K154" s="5" t="s">
        <v>62</v>
      </c>
      <c r="L154" s="5" t="s">
        <v>66</v>
      </c>
      <c r="M154" s="5" t="s">
        <v>47</v>
      </c>
      <c r="N154" s="5" t="s">
        <v>55</v>
      </c>
      <c r="O154" s="5" t="s">
        <v>70</v>
      </c>
      <c r="P154" s="5" t="s">
        <v>209</v>
      </c>
      <c r="Q154" s="5" t="s">
        <v>69</v>
      </c>
      <c r="R154" s="5" t="s">
        <v>75</v>
      </c>
      <c r="S154" s="5" t="s">
        <v>73</v>
      </c>
      <c r="T154" s="1">
        <v>6</v>
      </c>
      <c r="U154" s="1">
        <v>16</v>
      </c>
      <c r="V154" s="1">
        <v>30</v>
      </c>
    </row>
    <row r="155" spans="1:22" ht="28.8" x14ac:dyDescent="0.3">
      <c r="A155" s="3">
        <v>140</v>
      </c>
      <c r="B155" s="4"/>
      <c r="C155" s="6" t="s">
        <v>115</v>
      </c>
      <c r="D155" s="5"/>
      <c r="E155" s="5" t="s">
        <v>61</v>
      </c>
      <c r="F155" s="5" t="s">
        <v>63</v>
      </c>
      <c r="G155" s="5" t="s">
        <v>207</v>
      </c>
      <c r="H155" s="5" t="s">
        <v>58</v>
      </c>
      <c r="I155" s="5" t="s">
        <v>67</v>
      </c>
      <c r="J155" s="5" t="s">
        <v>59</v>
      </c>
      <c r="K155" s="5" t="s">
        <v>62</v>
      </c>
      <c r="L155" s="5" t="s">
        <v>66</v>
      </c>
      <c r="M155" s="5" t="s">
        <v>47</v>
      </c>
      <c r="N155" s="5" t="s">
        <v>55</v>
      </c>
      <c r="O155" s="5" t="s">
        <v>70</v>
      </c>
      <c r="P155" s="5" t="s">
        <v>209</v>
      </c>
      <c r="Q155" s="5" t="s">
        <v>69</v>
      </c>
      <c r="R155" s="5" t="s">
        <v>75</v>
      </c>
      <c r="S155" s="5" t="s">
        <v>73</v>
      </c>
      <c r="T155" s="1">
        <v>6</v>
      </c>
      <c r="U155" s="1">
        <v>19</v>
      </c>
      <c r="V155" s="1">
        <v>24</v>
      </c>
    </row>
    <row r="156" spans="1:22" x14ac:dyDescent="0.3">
      <c r="A156" s="3">
        <v>141</v>
      </c>
      <c r="B156" s="4"/>
      <c r="C156" s="6" t="s">
        <v>95</v>
      </c>
      <c r="D156" s="5"/>
      <c r="E156" s="5" t="s">
        <v>61</v>
      </c>
      <c r="F156" s="5" t="s">
        <v>63</v>
      </c>
      <c r="G156" s="5" t="s">
        <v>207</v>
      </c>
      <c r="H156" s="5" t="s">
        <v>58</v>
      </c>
      <c r="I156" s="5" t="s">
        <v>67</v>
      </c>
      <c r="J156" s="5" t="s">
        <v>59</v>
      </c>
      <c r="K156" s="5" t="s">
        <v>62</v>
      </c>
      <c r="L156" s="5" t="s">
        <v>66</v>
      </c>
      <c r="M156" s="5" t="s">
        <v>47</v>
      </c>
      <c r="N156" s="5" t="s">
        <v>55</v>
      </c>
      <c r="O156" s="5" t="s">
        <v>70</v>
      </c>
      <c r="P156" s="5" t="s">
        <v>209</v>
      </c>
      <c r="Q156" s="5" t="s">
        <v>69</v>
      </c>
      <c r="R156" s="5" t="s">
        <v>75</v>
      </c>
      <c r="S156" s="5" t="s">
        <v>73</v>
      </c>
      <c r="T156" s="1">
        <v>6</v>
      </c>
      <c r="U156" s="1">
        <v>20</v>
      </c>
      <c r="V156" s="1">
        <v>22</v>
      </c>
    </row>
    <row r="157" spans="1:22" ht="28.8" x14ac:dyDescent="0.3">
      <c r="A157" s="3">
        <v>142</v>
      </c>
      <c r="B157" s="4"/>
      <c r="C157" s="6" t="s">
        <v>9</v>
      </c>
      <c r="D157" s="5"/>
      <c r="E157" s="5" t="s">
        <v>61</v>
      </c>
      <c r="F157" s="5" t="s">
        <v>63</v>
      </c>
      <c r="G157" s="5" t="s">
        <v>207</v>
      </c>
      <c r="H157" s="5" t="s">
        <v>58</v>
      </c>
      <c r="I157" s="5" t="s">
        <v>67</v>
      </c>
      <c r="J157" s="5" t="s">
        <v>59</v>
      </c>
      <c r="K157" s="5" t="s">
        <v>62</v>
      </c>
      <c r="L157" s="5" t="s">
        <v>66</v>
      </c>
      <c r="M157" s="5" t="s">
        <v>47</v>
      </c>
      <c r="N157" s="5" t="s">
        <v>55</v>
      </c>
      <c r="O157" s="5" t="s">
        <v>70</v>
      </c>
      <c r="P157" s="5" t="s">
        <v>209</v>
      </c>
      <c r="Q157" s="5" t="s">
        <v>69</v>
      </c>
      <c r="R157" s="5" t="s">
        <v>75</v>
      </c>
      <c r="S157" s="5" t="s">
        <v>73</v>
      </c>
      <c r="T157" s="1">
        <v>6</v>
      </c>
      <c r="U157" s="1">
        <v>20</v>
      </c>
      <c r="V157" s="1">
        <v>7</v>
      </c>
    </row>
    <row r="158" spans="1:22" ht="28.8" x14ac:dyDescent="0.3">
      <c r="A158" s="3">
        <v>143</v>
      </c>
      <c r="B158" s="4"/>
      <c r="C158" s="6" t="s">
        <v>122</v>
      </c>
      <c r="D158" s="5"/>
      <c r="E158" s="5" t="s">
        <v>61</v>
      </c>
      <c r="F158" s="5" t="s">
        <v>50</v>
      </c>
      <c r="G158" s="5" t="s">
        <v>207</v>
      </c>
      <c r="H158" s="5" t="s">
        <v>58</v>
      </c>
      <c r="I158" s="5" t="s">
        <v>67</v>
      </c>
      <c r="J158" s="5" t="s">
        <v>59</v>
      </c>
      <c r="K158" s="5" t="s">
        <v>62</v>
      </c>
      <c r="L158" s="5" t="s">
        <v>68</v>
      </c>
      <c r="M158" s="5" t="s">
        <v>47</v>
      </c>
      <c r="N158" s="5" t="s">
        <v>55</v>
      </c>
      <c r="O158" s="5" t="s">
        <v>70</v>
      </c>
      <c r="P158" s="5" t="s">
        <v>48</v>
      </c>
      <c r="Q158" s="5" t="s">
        <v>69</v>
      </c>
      <c r="R158" s="5" t="s">
        <v>75</v>
      </c>
      <c r="S158" s="5" t="s">
        <v>73</v>
      </c>
      <c r="T158" s="1">
        <v>5</v>
      </c>
      <c r="U158" s="1">
        <v>19</v>
      </c>
      <c r="V158" s="1">
        <v>56</v>
      </c>
    </row>
    <row r="159" spans="1:22" x14ac:dyDescent="0.3">
      <c r="A159" s="3">
        <v>144</v>
      </c>
      <c r="B159" s="4"/>
      <c r="C159" s="6" t="s">
        <v>40</v>
      </c>
      <c r="D159" s="5"/>
      <c r="E159" s="5" t="s">
        <v>61</v>
      </c>
      <c r="F159" s="5" t="s">
        <v>50</v>
      </c>
      <c r="G159" s="5" t="s">
        <v>207</v>
      </c>
      <c r="H159" s="5" t="s">
        <v>58</v>
      </c>
      <c r="I159" s="5" t="s">
        <v>67</v>
      </c>
      <c r="J159" s="5" t="s">
        <v>59</v>
      </c>
      <c r="K159" s="5" t="s">
        <v>54</v>
      </c>
      <c r="L159" s="5" t="s">
        <v>66</v>
      </c>
      <c r="M159" s="5" t="s">
        <v>208</v>
      </c>
      <c r="N159" s="5" t="s">
        <v>55</v>
      </c>
      <c r="O159" s="5" t="s">
        <v>70</v>
      </c>
      <c r="P159" s="5" t="s">
        <v>48</v>
      </c>
      <c r="Q159" s="5" t="s">
        <v>210</v>
      </c>
      <c r="R159" s="5" t="s">
        <v>75</v>
      </c>
      <c r="S159" s="5" t="s">
        <v>73</v>
      </c>
      <c r="T159" s="1">
        <v>5</v>
      </c>
      <c r="U159" s="1">
        <v>23</v>
      </c>
      <c r="V159" s="1">
        <v>55</v>
      </c>
    </row>
    <row r="160" spans="1:22" x14ac:dyDescent="0.3">
      <c r="A160" s="3">
        <v>145</v>
      </c>
      <c r="B160" s="4"/>
      <c r="C160" s="6" t="s">
        <v>21</v>
      </c>
      <c r="D160" s="5"/>
      <c r="E160" s="5" t="s">
        <v>72</v>
      </c>
      <c r="F160" s="5" t="s">
        <v>50</v>
      </c>
      <c r="G160" s="5" t="s">
        <v>207</v>
      </c>
      <c r="H160" s="5" t="s">
        <v>58</v>
      </c>
      <c r="I160" s="5" t="s">
        <v>67</v>
      </c>
      <c r="J160" s="5" t="s">
        <v>59</v>
      </c>
      <c r="K160" s="5" t="s">
        <v>62</v>
      </c>
      <c r="L160" s="5" t="s">
        <v>68</v>
      </c>
      <c r="M160" s="5" t="s">
        <v>47</v>
      </c>
      <c r="N160" s="5" t="s">
        <v>55</v>
      </c>
      <c r="O160" s="5" t="s">
        <v>70</v>
      </c>
      <c r="P160" s="5" t="s">
        <v>48</v>
      </c>
      <c r="Q160" s="5" t="s">
        <v>69</v>
      </c>
      <c r="R160" s="5" t="s">
        <v>51</v>
      </c>
      <c r="S160" s="5" t="s">
        <v>73</v>
      </c>
      <c r="T160" s="1">
        <v>5</v>
      </c>
      <c r="U160" s="1">
        <v>20</v>
      </c>
      <c r="V160" s="1">
        <v>48</v>
      </c>
    </row>
    <row r="161" spans="1:22" ht="28.8" x14ac:dyDescent="0.3">
      <c r="A161" s="3">
        <v>146</v>
      </c>
      <c r="B161" s="4"/>
      <c r="C161" s="6" t="s">
        <v>140</v>
      </c>
      <c r="D161" s="5"/>
      <c r="E161" s="5" t="s">
        <v>61</v>
      </c>
      <c r="F161" s="5" t="s">
        <v>50</v>
      </c>
      <c r="G161" s="5" t="s">
        <v>207</v>
      </c>
      <c r="H161" s="5" t="s">
        <v>58</v>
      </c>
      <c r="I161" s="5" t="s">
        <v>65</v>
      </c>
      <c r="J161" s="5" t="s">
        <v>64</v>
      </c>
      <c r="K161" s="5" t="s">
        <v>62</v>
      </c>
      <c r="L161" s="5" t="s">
        <v>66</v>
      </c>
      <c r="M161" s="5" t="s">
        <v>47</v>
      </c>
      <c r="N161" s="5" t="s">
        <v>55</v>
      </c>
      <c r="O161" s="5" t="s">
        <v>52</v>
      </c>
      <c r="P161" s="5" t="s">
        <v>209</v>
      </c>
      <c r="Q161" s="5" t="s">
        <v>69</v>
      </c>
      <c r="R161" s="5" t="s">
        <v>51</v>
      </c>
      <c r="S161" s="5" t="s">
        <v>73</v>
      </c>
      <c r="T161" s="1">
        <v>5</v>
      </c>
      <c r="U161" s="1">
        <v>23</v>
      </c>
      <c r="V161" s="1">
        <v>47</v>
      </c>
    </row>
    <row r="162" spans="1:22" x14ac:dyDescent="0.3">
      <c r="A162" s="3">
        <v>147</v>
      </c>
      <c r="B162" s="4"/>
      <c r="C162" s="6" t="s">
        <v>96</v>
      </c>
      <c r="D162" s="5"/>
      <c r="E162" s="5" t="s">
        <v>61</v>
      </c>
      <c r="F162" s="5" t="s">
        <v>50</v>
      </c>
      <c r="G162" s="5" t="s">
        <v>57</v>
      </c>
      <c r="H162" s="5" t="s">
        <v>58</v>
      </c>
      <c r="I162" s="5" t="s">
        <v>67</v>
      </c>
      <c r="J162" s="5" t="s">
        <v>59</v>
      </c>
      <c r="K162" s="5" t="s">
        <v>54</v>
      </c>
      <c r="L162" s="5" t="s">
        <v>66</v>
      </c>
      <c r="M162" s="5" t="s">
        <v>47</v>
      </c>
      <c r="N162" s="5" t="s">
        <v>55</v>
      </c>
      <c r="O162" s="5" t="s">
        <v>70</v>
      </c>
      <c r="P162" s="5" t="s">
        <v>209</v>
      </c>
      <c r="Q162" s="5" t="s">
        <v>69</v>
      </c>
      <c r="R162" s="5" t="s">
        <v>75</v>
      </c>
      <c r="S162" s="5" t="s">
        <v>73</v>
      </c>
      <c r="T162" s="1">
        <v>5</v>
      </c>
      <c r="U162" s="1">
        <v>21</v>
      </c>
      <c r="V162" s="1">
        <v>46</v>
      </c>
    </row>
    <row r="163" spans="1:22" ht="28.8" x14ac:dyDescent="0.3">
      <c r="A163" s="3">
        <v>148</v>
      </c>
      <c r="B163" s="4"/>
      <c r="C163" s="6" t="s">
        <v>163</v>
      </c>
      <c r="D163" s="5"/>
      <c r="E163" s="5" t="s">
        <v>61</v>
      </c>
      <c r="F163" s="5" t="s">
        <v>50</v>
      </c>
      <c r="G163" s="5" t="s">
        <v>57</v>
      </c>
      <c r="H163" s="5" t="s">
        <v>58</v>
      </c>
      <c r="I163" s="5" t="s">
        <v>67</v>
      </c>
      <c r="J163" s="5" t="s">
        <v>59</v>
      </c>
      <c r="K163" s="5" t="s">
        <v>62</v>
      </c>
      <c r="L163" s="5" t="s">
        <v>66</v>
      </c>
      <c r="M163" s="5" t="s">
        <v>208</v>
      </c>
      <c r="N163" s="5" t="s">
        <v>71</v>
      </c>
      <c r="O163" s="5" t="s">
        <v>70</v>
      </c>
      <c r="P163" s="5" t="s">
        <v>209</v>
      </c>
      <c r="Q163" s="5" t="s">
        <v>69</v>
      </c>
      <c r="R163" s="5" t="s">
        <v>75</v>
      </c>
      <c r="S163" s="5" t="s">
        <v>53</v>
      </c>
      <c r="T163" s="1">
        <v>5</v>
      </c>
      <c r="U163" s="1">
        <v>20</v>
      </c>
      <c r="V163" s="1">
        <v>46</v>
      </c>
    </row>
    <row r="164" spans="1:22" x14ac:dyDescent="0.3">
      <c r="A164" s="3">
        <v>149</v>
      </c>
      <c r="B164" s="4"/>
      <c r="C164" s="6" t="s">
        <v>7</v>
      </c>
      <c r="D164" s="5"/>
      <c r="E164" s="5" t="s">
        <v>61</v>
      </c>
      <c r="F164" s="5" t="s">
        <v>50</v>
      </c>
      <c r="G164" s="5" t="s">
        <v>57</v>
      </c>
      <c r="H164" s="5" t="s">
        <v>58</v>
      </c>
      <c r="I164" s="5" t="s">
        <v>65</v>
      </c>
      <c r="J164" s="5" t="s">
        <v>64</v>
      </c>
      <c r="K164" s="5" t="s">
        <v>62</v>
      </c>
      <c r="L164" s="5" t="s">
        <v>68</v>
      </c>
      <c r="M164" s="5" t="s">
        <v>47</v>
      </c>
      <c r="N164" s="5" t="s">
        <v>55</v>
      </c>
      <c r="O164" s="5" t="s">
        <v>52</v>
      </c>
      <c r="P164" s="5" t="s">
        <v>209</v>
      </c>
      <c r="Q164" s="5" t="s">
        <v>69</v>
      </c>
      <c r="R164" s="5" t="s">
        <v>51</v>
      </c>
      <c r="S164" s="5" t="s">
        <v>73</v>
      </c>
      <c r="T164" s="1">
        <v>5</v>
      </c>
      <c r="U164" s="1">
        <v>17</v>
      </c>
      <c r="V164" s="1">
        <v>45</v>
      </c>
    </row>
    <row r="165" spans="1:22" x14ac:dyDescent="0.3">
      <c r="A165" s="3">
        <v>150</v>
      </c>
      <c r="B165" s="4"/>
      <c r="C165" s="6" t="s">
        <v>199</v>
      </c>
      <c r="D165" s="5"/>
      <c r="E165" s="5" t="s">
        <v>61</v>
      </c>
      <c r="F165" s="5" t="s">
        <v>63</v>
      </c>
      <c r="G165" s="5" t="s">
        <v>207</v>
      </c>
      <c r="H165" s="5" t="s">
        <v>58</v>
      </c>
      <c r="I165" s="5" t="s">
        <v>67</v>
      </c>
      <c r="J165" s="5" t="s">
        <v>59</v>
      </c>
      <c r="K165" s="5" t="s">
        <v>62</v>
      </c>
      <c r="L165" s="5" t="s">
        <v>66</v>
      </c>
      <c r="M165" s="5" t="s">
        <v>47</v>
      </c>
      <c r="N165" s="5" t="s">
        <v>55</v>
      </c>
      <c r="O165" s="5" t="s">
        <v>52</v>
      </c>
      <c r="P165" s="5" t="s">
        <v>48</v>
      </c>
      <c r="Q165" s="5" t="s">
        <v>69</v>
      </c>
      <c r="R165" s="5" t="s">
        <v>51</v>
      </c>
      <c r="S165" s="5" t="s">
        <v>73</v>
      </c>
      <c r="T165" s="1">
        <v>5</v>
      </c>
      <c r="U165" s="1">
        <v>17</v>
      </c>
      <c r="V165" s="1">
        <v>44</v>
      </c>
    </row>
    <row r="166" spans="1:22" x14ac:dyDescent="0.3">
      <c r="A166" s="3">
        <v>151</v>
      </c>
      <c r="B166" s="4"/>
      <c r="C166" s="6" t="s">
        <v>45</v>
      </c>
      <c r="D166" s="5"/>
      <c r="E166" s="5" t="s">
        <v>61</v>
      </c>
      <c r="F166" s="5" t="s">
        <v>63</v>
      </c>
      <c r="G166" s="5" t="s">
        <v>57</v>
      </c>
      <c r="H166" s="5" t="s">
        <v>58</v>
      </c>
      <c r="I166" s="5" t="s">
        <v>67</v>
      </c>
      <c r="J166" s="5" t="s">
        <v>59</v>
      </c>
      <c r="K166" s="5" t="s">
        <v>62</v>
      </c>
      <c r="L166" s="5" t="s">
        <v>66</v>
      </c>
      <c r="M166" s="5" t="s">
        <v>208</v>
      </c>
      <c r="N166" s="5" t="s">
        <v>71</v>
      </c>
      <c r="O166" s="5" t="s">
        <v>70</v>
      </c>
      <c r="P166" s="5" t="s">
        <v>48</v>
      </c>
      <c r="Q166" s="5" t="s">
        <v>210</v>
      </c>
      <c r="R166" s="5" t="s">
        <v>75</v>
      </c>
      <c r="S166" s="5" t="s">
        <v>73</v>
      </c>
      <c r="T166" s="1">
        <v>5</v>
      </c>
      <c r="U166" s="1">
        <v>16</v>
      </c>
      <c r="V166" s="1">
        <v>42</v>
      </c>
    </row>
    <row r="167" spans="1:22" ht="28.8" x14ac:dyDescent="0.3">
      <c r="A167" s="3">
        <v>152</v>
      </c>
      <c r="B167" s="4"/>
      <c r="C167" s="6" t="s">
        <v>200</v>
      </c>
      <c r="D167" s="5"/>
      <c r="E167" s="5" t="s">
        <v>61</v>
      </c>
      <c r="F167" s="5" t="s">
        <v>63</v>
      </c>
      <c r="G167" s="5" t="s">
        <v>57</v>
      </c>
      <c r="H167" s="5" t="s">
        <v>58</v>
      </c>
      <c r="I167" s="5" t="s">
        <v>67</v>
      </c>
      <c r="J167" s="5" t="s">
        <v>59</v>
      </c>
      <c r="K167" s="5" t="s">
        <v>54</v>
      </c>
      <c r="L167" s="5" t="s">
        <v>66</v>
      </c>
      <c r="M167" s="5" t="s">
        <v>208</v>
      </c>
      <c r="N167" s="5" t="s">
        <v>55</v>
      </c>
      <c r="O167" s="5" t="s">
        <v>70</v>
      </c>
      <c r="P167" s="5" t="s">
        <v>48</v>
      </c>
      <c r="Q167" s="5" t="s">
        <v>210</v>
      </c>
      <c r="R167" s="5" t="s">
        <v>75</v>
      </c>
      <c r="S167" s="5" t="s">
        <v>73</v>
      </c>
      <c r="T167" s="1">
        <v>5</v>
      </c>
      <c r="U167" s="1">
        <v>17</v>
      </c>
      <c r="V167" s="1">
        <v>42</v>
      </c>
    </row>
    <row r="168" spans="1:22" ht="28.8" x14ac:dyDescent="0.3">
      <c r="A168" s="3">
        <v>153</v>
      </c>
      <c r="B168" s="4"/>
      <c r="C168" s="6" t="s">
        <v>182</v>
      </c>
      <c r="D168" s="5"/>
      <c r="E168" s="5" t="s">
        <v>61</v>
      </c>
      <c r="F168" s="5" t="s">
        <v>63</v>
      </c>
      <c r="G168" s="5" t="s">
        <v>57</v>
      </c>
      <c r="H168" s="5" t="s">
        <v>58</v>
      </c>
      <c r="I168" s="5" t="s">
        <v>65</v>
      </c>
      <c r="J168" s="5" t="s">
        <v>64</v>
      </c>
      <c r="K168" s="5" t="s">
        <v>54</v>
      </c>
      <c r="L168" s="5" t="s">
        <v>66</v>
      </c>
      <c r="M168" s="5" t="s">
        <v>208</v>
      </c>
      <c r="N168" s="5" t="s">
        <v>55</v>
      </c>
      <c r="O168" s="5" t="s">
        <v>70</v>
      </c>
      <c r="P168" s="5" t="s">
        <v>209</v>
      </c>
      <c r="Q168" s="5" t="s">
        <v>69</v>
      </c>
      <c r="R168" s="5" t="s">
        <v>51</v>
      </c>
      <c r="S168" s="5" t="s">
        <v>53</v>
      </c>
      <c r="T168" s="1">
        <v>5</v>
      </c>
      <c r="U168" s="1">
        <v>18</v>
      </c>
      <c r="V168" s="1">
        <v>42</v>
      </c>
    </row>
    <row r="169" spans="1:22" ht="28.8" x14ac:dyDescent="0.3">
      <c r="A169" s="3">
        <v>154</v>
      </c>
      <c r="B169" s="4"/>
      <c r="C169" s="6" t="s">
        <v>146</v>
      </c>
      <c r="D169" s="5"/>
      <c r="E169" s="5" t="s">
        <v>61</v>
      </c>
      <c r="F169" s="5" t="s">
        <v>50</v>
      </c>
      <c r="G169" s="5" t="s">
        <v>57</v>
      </c>
      <c r="H169" s="5" t="s">
        <v>58</v>
      </c>
      <c r="I169" s="5" t="s">
        <v>65</v>
      </c>
      <c r="J169" s="5" t="s">
        <v>59</v>
      </c>
      <c r="K169" s="5" t="s">
        <v>54</v>
      </c>
      <c r="L169" s="5" t="s">
        <v>66</v>
      </c>
      <c r="M169" s="5" t="s">
        <v>47</v>
      </c>
      <c r="N169" s="5" t="s">
        <v>55</v>
      </c>
      <c r="O169" s="5" t="s">
        <v>52</v>
      </c>
      <c r="P169" s="5" t="s">
        <v>48</v>
      </c>
      <c r="Q169" s="5" t="s">
        <v>210</v>
      </c>
      <c r="R169" s="5" t="s">
        <v>75</v>
      </c>
      <c r="S169" s="5" t="s">
        <v>73</v>
      </c>
      <c r="T169" s="1">
        <v>5</v>
      </c>
      <c r="U169" s="1">
        <v>20</v>
      </c>
      <c r="V169" s="1">
        <v>41</v>
      </c>
    </row>
    <row r="170" spans="1:22" ht="43.2" x14ac:dyDescent="0.3">
      <c r="A170" s="3">
        <v>155</v>
      </c>
      <c r="B170" s="4"/>
      <c r="C170" s="6" t="s">
        <v>171</v>
      </c>
      <c r="D170" s="5"/>
      <c r="E170" s="5" t="s">
        <v>72</v>
      </c>
      <c r="F170" s="5" t="s">
        <v>50</v>
      </c>
      <c r="G170" s="5" t="s">
        <v>57</v>
      </c>
      <c r="H170" s="5" t="s">
        <v>58</v>
      </c>
      <c r="I170" s="5" t="s">
        <v>65</v>
      </c>
      <c r="J170" s="5" t="s">
        <v>59</v>
      </c>
      <c r="K170" s="5" t="s">
        <v>62</v>
      </c>
      <c r="L170" s="5" t="s">
        <v>66</v>
      </c>
      <c r="M170" s="5" t="s">
        <v>208</v>
      </c>
      <c r="N170" s="5" t="s">
        <v>71</v>
      </c>
      <c r="O170" s="5" t="s">
        <v>70</v>
      </c>
      <c r="P170" s="5" t="s">
        <v>209</v>
      </c>
      <c r="Q170" s="5" t="s">
        <v>210</v>
      </c>
      <c r="R170" s="5" t="s">
        <v>75</v>
      </c>
      <c r="S170" s="5" t="s">
        <v>73</v>
      </c>
      <c r="T170" s="1">
        <v>5</v>
      </c>
      <c r="U170" s="1">
        <v>19</v>
      </c>
      <c r="V170" s="1">
        <v>41</v>
      </c>
    </row>
    <row r="171" spans="1:22" ht="28.8" x14ac:dyDescent="0.3">
      <c r="A171" s="3">
        <v>156</v>
      </c>
      <c r="B171" s="4"/>
      <c r="C171" s="6" t="s">
        <v>29</v>
      </c>
      <c r="D171" s="5"/>
      <c r="E171" s="5" t="s">
        <v>72</v>
      </c>
      <c r="F171" s="5" t="s">
        <v>50</v>
      </c>
      <c r="G171" s="5" t="s">
        <v>57</v>
      </c>
      <c r="H171" s="5" t="s">
        <v>58</v>
      </c>
      <c r="I171" s="5" t="s">
        <v>65</v>
      </c>
      <c r="J171" s="5" t="s">
        <v>59</v>
      </c>
      <c r="K171" s="5" t="s">
        <v>62</v>
      </c>
      <c r="L171" s="5" t="s">
        <v>66</v>
      </c>
      <c r="M171" s="5" t="s">
        <v>47</v>
      </c>
      <c r="N171" s="5" t="s">
        <v>55</v>
      </c>
      <c r="O171" s="5" t="s">
        <v>70</v>
      </c>
      <c r="P171" s="5" t="s">
        <v>209</v>
      </c>
      <c r="Q171" s="5" t="s">
        <v>210</v>
      </c>
      <c r="R171" s="5" t="s">
        <v>75</v>
      </c>
      <c r="S171" s="5" t="s">
        <v>73</v>
      </c>
      <c r="T171" s="1">
        <v>5</v>
      </c>
      <c r="U171" s="1">
        <v>17</v>
      </c>
      <c r="V171" s="1">
        <v>40</v>
      </c>
    </row>
    <row r="172" spans="1:22" ht="28.8" x14ac:dyDescent="0.3">
      <c r="A172" s="3">
        <v>157</v>
      </c>
      <c r="B172" s="4"/>
      <c r="C172" s="6" t="s">
        <v>124</v>
      </c>
      <c r="D172" s="5"/>
      <c r="E172" s="5" t="s">
        <v>61</v>
      </c>
      <c r="F172" s="5" t="s">
        <v>63</v>
      </c>
      <c r="G172" s="5" t="s">
        <v>57</v>
      </c>
      <c r="H172" s="5" t="s">
        <v>58</v>
      </c>
      <c r="I172" s="5" t="s">
        <v>67</v>
      </c>
      <c r="J172" s="5" t="s">
        <v>59</v>
      </c>
      <c r="K172" s="5" t="s">
        <v>54</v>
      </c>
      <c r="L172" s="5" t="s">
        <v>66</v>
      </c>
      <c r="M172" s="5" t="s">
        <v>208</v>
      </c>
      <c r="N172" s="5" t="s">
        <v>55</v>
      </c>
      <c r="O172" s="5" t="s">
        <v>52</v>
      </c>
      <c r="P172" s="5" t="s">
        <v>209</v>
      </c>
      <c r="Q172" s="5" t="s">
        <v>69</v>
      </c>
      <c r="R172" s="5" t="s">
        <v>51</v>
      </c>
      <c r="S172" s="5" t="s">
        <v>73</v>
      </c>
      <c r="T172" s="1">
        <v>5</v>
      </c>
      <c r="U172" s="1">
        <v>13</v>
      </c>
      <c r="V172" s="1">
        <v>39</v>
      </c>
    </row>
    <row r="173" spans="1:22" ht="28.8" x14ac:dyDescent="0.3">
      <c r="A173" s="3">
        <v>158</v>
      </c>
      <c r="B173" s="4"/>
      <c r="C173" s="6" t="s">
        <v>133</v>
      </c>
      <c r="D173" s="5"/>
      <c r="E173" s="5" t="s">
        <v>61</v>
      </c>
      <c r="F173" s="5" t="s">
        <v>63</v>
      </c>
      <c r="G173" s="5" t="s">
        <v>57</v>
      </c>
      <c r="H173" s="5" t="s">
        <v>58</v>
      </c>
      <c r="I173" s="5" t="s">
        <v>65</v>
      </c>
      <c r="J173" s="5" t="s">
        <v>59</v>
      </c>
      <c r="K173" s="5" t="s">
        <v>62</v>
      </c>
      <c r="L173" s="5" t="s">
        <v>66</v>
      </c>
      <c r="M173" s="5" t="s">
        <v>47</v>
      </c>
      <c r="N173" s="5" t="s">
        <v>55</v>
      </c>
      <c r="O173" s="5" t="s">
        <v>52</v>
      </c>
      <c r="P173" s="5" t="s">
        <v>48</v>
      </c>
      <c r="Q173" s="5" t="s">
        <v>210</v>
      </c>
      <c r="R173" s="5" t="s">
        <v>75</v>
      </c>
      <c r="S173" s="5" t="s">
        <v>73</v>
      </c>
      <c r="T173" s="1">
        <v>5</v>
      </c>
      <c r="U173" s="1">
        <v>14</v>
      </c>
      <c r="V173" s="1">
        <v>36</v>
      </c>
    </row>
    <row r="174" spans="1:22" ht="28.8" x14ac:dyDescent="0.3">
      <c r="A174" s="3">
        <v>159</v>
      </c>
      <c r="B174" s="4"/>
      <c r="C174" s="6" t="s">
        <v>34</v>
      </c>
      <c r="D174" s="5"/>
      <c r="E174" s="5" t="s">
        <v>61</v>
      </c>
      <c r="F174" s="5" t="s">
        <v>50</v>
      </c>
      <c r="G174" s="5" t="s">
        <v>207</v>
      </c>
      <c r="H174" s="5" t="s">
        <v>58</v>
      </c>
      <c r="I174" s="5" t="s">
        <v>67</v>
      </c>
      <c r="J174" s="5" t="s">
        <v>59</v>
      </c>
      <c r="K174" s="5" t="s">
        <v>62</v>
      </c>
      <c r="L174" s="5" t="s">
        <v>66</v>
      </c>
      <c r="M174" s="5" t="s">
        <v>47</v>
      </c>
      <c r="N174" s="5" t="s">
        <v>71</v>
      </c>
      <c r="O174" s="5" t="s">
        <v>70</v>
      </c>
      <c r="P174" s="5" t="s">
        <v>48</v>
      </c>
      <c r="Q174" s="5" t="s">
        <v>69</v>
      </c>
      <c r="R174" s="5" t="s">
        <v>75</v>
      </c>
      <c r="S174" s="5" t="s">
        <v>73</v>
      </c>
      <c r="T174" s="1">
        <v>5</v>
      </c>
      <c r="U174" s="1">
        <v>17</v>
      </c>
      <c r="V174" s="1">
        <v>31</v>
      </c>
    </row>
    <row r="175" spans="1:22" ht="28.8" x14ac:dyDescent="0.3">
      <c r="A175" s="3">
        <v>160</v>
      </c>
      <c r="B175" s="4"/>
      <c r="C175" s="6" t="s">
        <v>22</v>
      </c>
      <c r="D175" s="5"/>
      <c r="E175" s="5" t="s">
        <v>61</v>
      </c>
      <c r="F175" s="5" t="s">
        <v>50</v>
      </c>
      <c r="G175" s="5" t="s">
        <v>57</v>
      </c>
      <c r="H175" s="5" t="s">
        <v>58</v>
      </c>
      <c r="I175" s="5" t="s">
        <v>67</v>
      </c>
      <c r="J175" s="5" t="s">
        <v>59</v>
      </c>
      <c r="K175" s="5" t="s">
        <v>62</v>
      </c>
      <c r="L175" s="5" t="s">
        <v>68</v>
      </c>
      <c r="M175" s="5" t="s">
        <v>208</v>
      </c>
      <c r="N175" s="5" t="s">
        <v>55</v>
      </c>
      <c r="O175" s="5" t="s">
        <v>52</v>
      </c>
      <c r="P175" s="5" t="s">
        <v>48</v>
      </c>
      <c r="Q175" s="5" t="s">
        <v>69</v>
      </c>
      <c r="R175" s="5" t="s">
        <v>75</v>
      </c>
      <c r="S175" s="5" t="s">
        <v>73</v>
      </c>
      <c r="T175" s="1">
        <v>4</v>
      </c>
      <c r="U175" s="1">
        <v>19</v>
      </c>
      <c r="V175" s="1">
        <v>44</v>
      </c>
    </row>
    <row r="176" spans="1:22" x14ac:dyDescent="0.3">
      <c r="A176" s="3">
        <v>161</v>
      </c>
      <c r="B176" s="4"/>
      <c r="C176" s="6" t="s">
        <v>18</v>
      </c>
      <c r="D176" s="5"/>
      <c r="E176" s="5" t="s">
        <v>61</v>
      </c>
      <c r="F176" s="5" t="s">
        <v>50</v>
      </c>
      <c r="G176" s="5" t="s">
        <v>57</v>
      </c>
      <c r="H176" s="5" t="s">
        <v>58</v>
      </c>
      <c r="I176" s="5" t="s">
        <v>65</v>
      </c>
      <c r="J176" s="5" t="s">
        <v>59</v>
      </c>
      <c r="K176" s="5" t="s">
        <v>54</v>
      </c>
      <c r="L176" s="5" t="s">
        <v>66</v>
      </c>
      <c r="M176" s="5" t="s">
        <v>47</v>
      </c>
      <c r="N176" s="5" t="s">
        <v>71</v>
      </c>
      <c r="O176" s="5" t="s">
        <v>70</v>
      </c>
      <c r="P176" s="5" t="s">
        <v>48</v>
      </c>
      <c r="Q176" s="5" t="s">
        <v>69</v>
      </c>
      <c r="R176" s="5" t="s">
        <v>75</v>
      </c>
      <c r="S176" s="5" t="s">
        <v>73</v>
      </c>
      <c r="T176" s="1">
        <v>4</v>
      </c>
      <c r="U176" s="1">
        <v>12</v>
      </c>
      <c r="V176" s="1">
        <v>42</v>
      </c>
    </row>
    <row r="177" spans="1:22" x14ac:dyDescent="0.3">
      <c r="A177" s="3">
        <v>162</v>
      </c>
      <c r="B177" s="4"/>
      <c r="C177" s="6" t="s">
        <v>42</v>
      </c>
      <c r="D177" s="5"/>
      <c r="E177" s="5" t="s">
        <v>61</v>
      </c>
      <c r="F177" s="5" t="s">
        <v>50</v>
      </c>
      <c r="G177" s="5" t="s">
        <v>57</v>
      </c>
      <c r="H177" s="5" t="s">
        <v>58</v>
      </c>
      <c r="I177" s="5" t="s">
        <v>67</v>
      </c>
      <c r="J177" s="5" t="s">
        <v>59</v>
      </c>
      <c r="K177" s="5" t="s">
        <v>62</v>
      </c>
      <c r="L177" s="5" t="s">
        <v>66</v>
      </c>
      <c r="M177" s="5" t="s">
        <v>47</v>
      </c>
      <c r="N177" s="5" t="s">
        <v>55</v>
      </c>
      <c r="O177" s="5" t="s">
        <v>70</v>
      </c>
      <c r="P177" s="5" t="s">
        <v>48</v>
      </c>
      <c r="Q177" s="5" t="s">
        <v>210</v>
      </c>
      <c r="R177" s="5" t="s">
        <v>75</v>
      </c>
      <c r="S177" s="5" t="s">
        <v>73</v>
      </c>
      <c r="T177" s="1">
        <v>4</v>
      </c>
      <c r="U177" s="1">
        <v>16</v>
      </c>
      <c r="V177" s="1">
        <v>42</v>
      </c>
    </row>
    <row r="178" spans="1:22" x14ac:dyDescent="0.3">
      <c r="A178" s="3">
        <v>163</v>
      </c>
      <c r="B178" s="4"/>
      <c r="C178" s="6" t="s">
        <v>43</v>
      </c>
      <c r="D178" s="5"/>
      <c r="E178" s="5" t="s">
        <v>61</v>
      </c>
      <c r="F178" s="5" t="s">
        <v>50</v>
      </c>
      <c r="G178" s="5" t="s">
        <v>57</v>
      </c>
      <c r="H178" s="5" t="s">
        <v>58</v>
      </c>
      <c r="I178" s="5" t="s">
        <v>65</v>
      </c>
      <c r="J178" s="5" t="s">
        <v>59</v>
      </c>
      <c r="K178" s="5" t="s">
        <v>62</v>
      </c>
      <c r="L178" s="5" t="s">
        <v>66</v>
      </c>
      <c r="M178" s="5" t="s">
        <v>47</v>
      </c>
      <c r="N178" s="5" t="s">
        <v>55</v>
      </c>
      <c r="O178" s="5" t="s">
        <v>52</v>
      </c>
      <c r="P178" s="5" t="s">
        <v>48</v>
      </c>
      <c r="Q178" s="5" t="s">
        <v>69</v>
      </c>
      <c r="R178" s="5" t="s">
        <v>75</v>
      </c>
      <c r="S178" s="5" t="s">
        <v>73</v>
      </c>
      <c r="T178" s="1">
        <v>3</v>
      </c>
      <c r="U178" s="1">
        <v>16</v>
      </c>
      <c r="V178" s="1">
        <v>44</v>
      </c>
    </row>
  </sheetData>
  <mergeCells count="4">
    <mergeCell ref="A9:A15"/>
    <mergeCell ref="B9:B15"/>
    <mergeCell ref="T9:T15"/>
    <mergeCell ref="U9:U15"/>
  </mergeCells>
  <conditionalFormatting sqref="E4:S4">
    <cfRule type="colorScale" priority="11">
      <colorScale>
        <cfvo type="min"/>
        <cfvo type="max"/>
        <color rgb="FFFF7128"/>
        <color rgb="FFFFEF9C"/>
      </colorScale>
    </cfRule>
  </conditionalFormatting>
  <conditionalFormatting sqref="E2:S3">
    <cfRule type="cellIs" dxfId="127" priority="7" operator="equal">
      <formula>"Y"</formula>
    </cfRule>
    <cfRule type="cellIs" dxfId="126" priority="8" operator="equal">
      <formula>"N"</formula>
    </cfRule>
  </conditionalFormatting>
  <conditionalFormatting sqref="U7">
    <cfRule type="cellIs" dxfId="125" priority="5" operator="equal">
      <formula>"Y"</formula>
    </cfRule>
    <cfRule type="cellIs" dxfId="124" priority="6" operator="equal">
      <formula>"N"</formula>
    </cfRule>
  </conditionalFormatting>
  <conditionalFormatting sqref="R7:S7">
    <cfRule type="cellIs" dxfId="123" priority="3" operator="equal">
      <formula>"Y"</formula>
    </cfRule>
    <cfRule type="cellIs" dxfId="122" priority="4" operator="equal">
      <formula>"N"</formula>
    </cfRule>
  </conditionalFormatting>
  <conditionalFormatting sqref="E7:S7">
    <cfRule type="cellIs" dxfId="121" priority="1" operator="equal">
      <formula>"Y"</formula>
    </cfRule>
    <cfRule type="cellIs" dxfId="120" priority="2" operator="equal">
      <formula>"N"</formula>
    </cfRule>
  </conditionalFormatting>
  <hyperlinks>
    <hyperlink ref="C16" r:id="rId1" display="https://poolhost.com/profootball/playerstats/1670226"/>
    <hyperlink ref="C17" r:id="rId2" display="https://poolhost.com/profootball/playerstats/1730270"/>
    <hyperlink ref="C18" r:id="rId3" display="https://poolhost.com/profootball/playerstats/1732851"/>
    <hyperlink ref="C19" r:id="rId4" display="https://poolhost.com/profootball/playerstats/1684491"/>
    <hyperlink ref="C20" r:id="rId5" display="https://poolhost.com/profootball/playerstats/1668682"/>
    <hyperlink ref="C21" r:id="rId6" display="https://poolhost.com/profootball/playerstats/1724223"/>
    <hyperlink ref="C22" r:id="rId7" display="https://poolhost.com/profootball/playerstats/1666473"/>
    <hyperlink ref="C23" r:id="rId8" display="https://poolhost.com/profootball/playerstats/1672167"/>
    <hyperlink ref="C24" r:id="rId9" display="https://poolhost.com/profootball/playerstats/1722206"/>
    <hyperlink ref="C25" r:id="rId10" display="https://poolhost.com/profootball/playerstats/1666034"/>
    <hyperlink ref="C26" r:id="rId11" display="https://poolhost.com/profootball/playerstats/1654791"/>
    <hyperlink ref="C27" r:id="rId12" display="https://poolhost.com/profootball/playerstats/1704294"/>
    <hyperlink ref="C28" r:id="rId13" display="https://poolhost.com/profootball/playerstats/1712780"/>
    <hyperlink ref="C29" r:id="rId14" display="https://poolhost.com/profootball/playerstats/1702170"/>
    <hyperlink ref="C30" r:id="rId15" display="https://poolhost.com/profootball/playerstats/1669323"/>
    <hyperlink ref="C31" r:id="rId16" display="https://poolhost.com/profootball/playerstats/1678632"/>
    <hyperlink ref="C32" r:id="rId17" display="https://poolhost.com/profootball/playerstats/1654634"/>
    <hyperlink ref="C33" r:id="rId18" display="https://poolhost.com/profootball/playerstats/1655447"/>
    <hyperlink ref="C34" r:id="rId19" display="https://poolhost.com/profootball/playerstats/1735486"/>
    <hyperlink ref="C35" r:id="rId20" display="https://poolhost.com/profootball/playerstats/1691673"/>
    <hyperlink ref="C36" r:id="rId21" display="https://poolhost.com/profootball/playerstats/1686915"/>
    <hyperlink ref="C37" r:id="rId22" display="https://poolhost.com/profootball/playerstats/1727170"/>
    <hyperlink ref="C38" r:id="rId23" display="https://poolhost.com/profootball/playerstats/1676654"/>
    <hyperlink ref="C39" r:id="rId24" display="https://poolhost.com/profootball/playerstats/1722233"/>
    <hyperlink ref="C40" r:id="rId25" display="https://poolhost.com/profootball/playerstats/1699810"/>
    <hyperlink ref="C41" r:id="rId26" display="https://poolhost.com/profootball/playerstats/1658459"/>
    <hyperlink ref="C42" r:id="rId27" display="https://poolhost.com/profootball/playerstats/1666027"/>
    <hyperlink ref="C43" r:id="rId28" display="https://poolhost.com/profootball/playerstats/1676125"/>
    <hyperlink ref="C44" r:id="rId29" display="https://poolhost.com/profootball/playerstats/1673248"/>
    <hyperlink ref="C45" r:id="rId30" display="https://poolhost.com/profootball/playerstats/1732788"/>
    <hyperlink ref="C46" r:id="rId31" display="https://poolhost.com/profootball/playerstats/1657103"/>
    <hyperlink ref="C47" r:id="rId32" display="https://poolhost.com/profootball/playerstats/1667937"/>
    <hyperlink ref="C48" r:id="rId33" display="https://poolhost.com/profootball/playerstats/1694017"/>
    <hyperlink ref="C49" r:id="rId34" display="https://poolhost.com/profootball/playerstats/1665910"/>
    <hyperlink ref="C50" r:id="rId35" display="https://poolhost.com/profootball/playerstats/1732290"/>
    <hyperlink ref="C51" r:id="rId36" display="https://poolhost.com/profootball/playerstats/1705049"/>
    <hyperlink ref="C52" r:id="rId37" display="https://poolhost.com/profootball/playerstats/1701053"/>
    <hyperlink ref="C53" r:id="rId38" display="https://poolhost.com/profootball/playerstats/1674022"/>
    <hyperlink ref="C54" r:id="rId39" display="https://poolhost.com/profootball/playerstats/1729314"/>
    <hyperlink ref="C55" r:id="rId40" display="https://poolhost.com/profootball/playerstats/1666449"/>
    <hyperlink ref="C56" r:id="rId41" display="https://poolhost.com/profootball/playerstats/1669305"/>
    <hyperlink ref="C57" r:id="rId42" display="https://poolhost.com/profootball/playerstats/1657583"/>
    <hyperlink ref="C58" r:id="rId43" display="https://poolhost.com/profootball/playerstats/1709781"/>
    <hyperlink ref="C59" r:id="rId44" display="https://poolhost.com/profootball/playerstats/1705346"/>
    <hyperlink ref="C60" r:id="rId45" display="https://poolhost.com/profootball/playerstats/1731690"/>
    <hyperlink ref="C61" r:id="rId46" display="https://poolhost.com/profootball/playerstats/1661981"/>
    <hyperlink ref="C62" r:id="rId47" display="https://poolhost.com/profootball/playerstats/1708448"/>
    <hyperlink ref="C63" r:id="rId48" display="https://poolhost.com/profootball/playerstats/1669212"/>
    <hyperlink ref="C64" r:id="rId49" display="https://poolhost.com/profootball/playerstats/1663101"/>
    <hyperlink ref="C65" r:id="rId50" display="https://poolhost.com/profootball/playerstats/1654484"/>
    <hyperlink ref="C66" r:id="rId51" display="https://poolhost.com/profootball/playerstats/1680041"/>
    <hyperlink ref="C67" r:id="rId52" display="https://poolhost.com/profootball/playerstats/1684266"/>
    <hyperlink ref="C68" r:id="rId53" display="https://poolhost.com/profootball/playerstats/1682523"/>
    <hyperlink ref="C69" r:id="rId54" display="https://poolhost.com/profootball/playerstats/1729617"/>
    <hyperlink ref="C70" r:id="rId55" display="https://poolhost.com/profootball/playerstats/1709552"/>
    <hyperlink ref="C71" r:id="rId56" display="https://poolhost.com/profootball/playerstats/1655488"/>
    <hyperlink ref="C72" r:id="rId57" display="https://poolhost.com/profootball/playerstats/1732996"/>
    <hyperlink ref="C73" r:id="rId58" display="https://poolhost.com/profootball/playerstats/1708312"/>
    <hyperlink ref="C74" r:id="rId59" display="https://poolhost.com/profootball/playerstats/1732411"/>
    <hyperlink ref="C75" r:id="rId60" display="https://poolhost.com/profootball/playerstats/1662606"/>
    <hyperlink ref="C76" r:id="rId61" display="https://poolhost.com/profootball/playerstats/1705029"/>
    <hyperlink ref="C77" r:id="rId62" display="https://poolhost.com/profootball/playerstats/1683531"/>
    <hyperlink ref="C78" r:id="rId63" display="https://poolhost.com/profootball/playerstats/1723980"/>
    <hyperlink ref="C79" r:id="rId64" display="https://poolhost.com/profootball/playerstats/1657801"/>
    <hyperlink ref="C80" r:id="rId65" display="https://poolhost.com/profootball/playerstats/1673761"/>
    <hyperlink ref="C81" r:id="rId66" display="https://poolhost.com/profootball/playerstats/1649126"/>
    <hyperlink ref="C82" r:id="rId67" display="https://poolhost.com/profootball/playerstats/1700155"/>
    <hyperlink ref="C83" r:id="rId68" display="https://poolhost.com/profootball/playerstats/1703401"/>
    <hyperlink ref="C84" r:id="rId69" display="https://poolhost.com/profootball/playerstats/1682884"/>
    <hyperlink ref="C85" r:id="rId70" display="https://poolhost.com/profootball/playerstats/1721401"/>
    <hyperlink ref="C86" r:id="rId71" display="https://poolhost.com/profootball/playerstats/1668461"/>
    <hyperlink ref="C87" r:id="rId72" display="https://poolhost.com/profootball/playerstats/1672298"/>
    <hyperlink ref="C88" r:id="rId73" display="https://poolhost.com/profootball/playerstats/1649341"/>
    <hyperlink ref="C89" r:id="rId74" display="https://poolhost.com/profootball/playerstats/1695492"/>
    <hyperlink ref="C90" r:id="rId75" display="https://poolhost.com/profootball/playerstats/1725535"/>
    <hyperlink ref="C91" r:id="rId76" display="https://poolhost.com/profootball/playerstats/1677049"/>
    <hyperlink ref="C92" r:id="rId77" display="https://poolhost.com/profootball/playerstats/1732254"/>
    <hyperlink ref="C93" r:id="rId78" display="https://poolhost.com/profootball/playerstats/1726326"/>
    <hyperlink ref="C94" r:id="rId79" display="https://poolhost.com/profootball/playerstats/1662306"/>
    <hyperlink ref="C95" r:id="rId80" display="https://poolhost.com/profootball/playerstats/1661711"/>
    <hyperlink ref="C96" r:id="rId81" display="https://poolhost.com/profootball/playerstats/1705272"/>
    <hyperlink ref="C97" r:id="rId82" display="https://poolhost.com/profootball/playerstats/1728787"/>
    <hyperlink ref="C98" r:id="rId83" display="https://poolhost.com/profootball/playerstats/1665614"/>
    <hyperlink ref="C99" r:id="rId84" display="https://poolhost.com/profootball/playerstats/1665810"/>
    <hyperlink ref="C100" r:id="rId85" display="https://poolhost.com/profootball/playerstats/1674086"/>
    <hyperlink ref="C101" r:id="rId86" display="https://poolhost.com/profootball/playerstats/1741250"/>
    <hyperlink ref="C102" r:id="rId87" display="https://poolhost.com/profootball/playerstats/1654603"/>
    <hyperlink ref="C103" r:id="rId88" display="https://poolhost.com/profootball/playerstats/1685066"/>
    <hyperlink ref="C104" r:id="rId89" display="https://poolhost.com/profootball/playerstats/1668687"/>
    <hyperlink ref="C105" r:id="rId90" display="https://poolhost.com/profootball/playerstats/1660811"/>
    <hyperlink ref="C106" r:id="rId91" display="https://poolhost.com/profootball/playerstats/1721307"/>
    <hyperlink ref="C107" r:id="rId92" display="https://poolhost.com/profootball/playerstats/1670484"/>
    <hyperlink ref="C108" r:id="rId93" display="https://poolhost.com/profootball/playerstats/1679156"/>
    <hyperlink ref="C109" r:id="rId94" display="https://poolhost.com/profootball/playerstats/1673234"/>
    <hyperlink ref="C110" r:id="rId95" display="https://poolhost.com/profootball/playerstats/1659558"/>
    <hyperlink ref="C111" r:id="rId96" display="https://poolhost.com/profootball/playerstats/1679667"/>
    <hyperlink ref="C112" r:id="rId97" display="https://poolhost.com/profootball/playerstats/1659875"/>
    <hyperlink ref="C113" r:id="rId98" display="https://poolhost.com/profootball/playerstats/1699295"/>
    <hyperlink ref="C114" r:id="rId99" display="https://poolhost.com/profootball/playerstats/1726632"/>
    <hyperlink ref="C115" r:id="rId100" display="https://poolhost.com/profootball/playerstats/1708505"/>
    <hyperlink ref="C116" r:id="rId101" display="https://poolhost.com/profootball/playerstats/1679300"/>
    <hyperlink ref="C117" r:id="rId102" display="https://poolhost.com/profootball/playerstats/1684290"/>
    <hyperlink ref="C118" r:id="rId103" display="https://poolhost.com/profootball/playerstats/1686727"/>
    <hyperlink ref="C119" r:id="rId104" display="https://poolhost.com/profootball/playerstats/1722286"/>
    <hyperlink ref="C120" r:id="rId105" display="https://poolhost.com/profootball/playerstats/1730347"/>
    <hyperlink ref="C121" r:id="rId106" display="https://poolhost.com/profootball/playerstats/1654448"/>
    <hyperlink ref="C122" r:id="rId107" display="https://poolhost.com/profootball/playerstats/1715552"/>
    <hyperlink ref="C123" r:id="rId108" display="https://poolhost.com/profootball/playerstats/1657241"/>
    <hyperlink ref="C124" r:id="rId109" display="https://poolhost.com/profootball/playerstats/1687892"/>
    <hyperlink ref="C125" r:id="rId110" display="https://poolhost.com/profootball/playerstats/1711169"/>
    <hyperlink ref="C126" r:id="rId111" display="https://poolhost.com/profootball/playerstats/1678377"/>
    <hyperlink ref="C127" r:id="rId112" display="https://poolhost.com/profootball/playerstats/1683389"/>
    <hyperlink ref="C128" r:id="rId113" display="https://poolhost.com/profootball/playerstats/1697912"/>
    <hyperlink ref="C129" r:id="rId114" display="https://poolhost.com/profootball/playerstats/1694354"/>
    <hyperlink ref="C130" r:id="rId115" display="https://poolhost.com/profootball/playerstats/1665631"/>
    <hyperlink ref="C131" r:id="rId116" display="https://poolhost.com/profootball/playerstats/1685256"/>
    <hyperlink ref="C132" r:id="rId117" display="https://poolhost.com/profootball/playerstats/1665979"/>
    <hyperlink ref="C133" r:id="rId118" display="https://poolhost.com/profootball/playerstats/1727817"/>
    <hyperlink ref="C134" r:id="rId119" display="https://poolhost.com/profootball/playerstats/1681958"/>
    <hyperlink ref="C135" r:id="rId120" display="https://poolhost.com/profootball/playerstats/1708805"/>
    <hyperlink ref="C136" r:id="rId121" display="https://poolhost.com/profootball/playerstats/1729491"/>
    <hyperlink ref="C137" r:id="rId122" display="https://poolhost.com/profootball/playerstats/1700157"/>
    <hyperlink ref="C138" r:id="rId123" display="https://poolhost.com/profootball/playerstats/1668628"/>
    <hyperlink ref="C139" r:id="rId124" display="https://poolhost.com/profootball/playerstats/1696717"/>
    <hyperlink ref="C140" r:id="rId125" display="https://poolhost.com/profootball/playerstats/1663641"/>
    <hyperlink ref="C141" r:id="rId126" display="https://poolhost.com/profootball/playerstats/1678667"/>
    <hyperlink ref="C142" r:id="rId127" display="https://poolhost.com/profootball/playerstats/1657214"/>
    <hyperlink ref="C143" r:id="rId128" display="https://poolhost.com/profootball/playerstats/1659846"/>
    <hyperlink ref="C144" r:id="rId129" display="https://poolhost.com/profootball/playerstats/1734172"/>
    <hyperlink ref="C145" r:id="rId130" display="https://poolhost.com/profootball/playerstats/1702449"/>
    <hyperlink ref="C146" r:id="rId131" display="https://poolhost.com/profootball/playerstats/1670025"/>
    <hyperlink ref="C147" r:id="rId132" display="https://poolhost.com/profootball/playerstats/1654500"/>
    <hyperlink ref="C148" r:id="rId133" display="https://poolhost.com/profootball/playerstats/1667866"/>
    <hyperlink ref="C149" r:id="rId134" display="https://poolhost.com/profootball/playerstats/1701354"/>
    <hyperlink ref="C150" r:id="rId135" display="https://poolhost.com/profootball/playerstats/1699660"/>
    <hyperlink ref="C151" r:id="rId136" display="https://poolhost.com/profootball/playerstats/1728782"/>
    <hyperlink ref="C152" r:id="rId137" display="https://poolhost.com/profootball/playerstats/1734363"/>
    <hyperlink ref="C153" r:id="rId138" display="https://poolhost.com/profootball/playerstats/1704026"/>
    <hyperlink ref="C154" r:id="rId139" display="https://poolhost.com/profootball/playerstats/1656464"/>
    <hyperlink ref="C155" r:id="rId140" display="https://poolhost.com/profootball/playerstats/1666092"/>
    <hyperlink ref="C156" r:id="rId141" display="https://poolhost.com/profootball/playerstats/1733218"/>
    <hyperlink ref="C157" r:id="rId142" display="https://poolhost.com/profootball/playerstats/1673222"/>
    <hyperlink ref="C158" r:id="rId143" display="https://poolhost.com/profootball/playerstats/1695716"/>
    <hyperlink ref="C159" r:id="rId144" display="https://poolhost.com/profootball/playerstats/1657024"/>
    <hyperlink ref="C160" r:id="rId145" display="https://poolhost.com/profootball/playerstats/1679009"/>
    <hyperlink ref="C161" r:id="rId146" display="https://poolhost.com/profootball/playerstats/1654485"/>
    <hyperlink ref="C162" r:id="rId147" display="https://poolhost.com/profootball/playerstats/1731780"/>
    <hyperlink ref="C163" r:id="rId148" display="https://poolhost.com/profootball/playerstats/1703435"/>
    <hyperlink ref="C164" r:id="rId149" display="https://poolhost.com/profootball/playerstats/1707988"/>
    <hyperlink ref="C165" r:id="rId150" display="https://poolhost.com/profootball/playerstats/1654649"/>
    <hyperlink ref="C166" r:id="rId151" display="https://poolhost.com/profootball/playerstats/1705249"/>
    <hyperlink ref="C167" r:id="rId152" display="https://poolhost.com/profootball/playerstats/1732953"/>
    <hyperlink ref="C168" r:id="rId153" display="https://poolhost.com/profootball/playerstats/1733415"/>
    <hyperlink ref="C169" r:id="rId154" display="https://poolhost.com/profootball/playerstats/1654623"/>
    <hyperlink ref="C170" r:id="rId155" display="https://poolhost.com/profootball/playerstats/1681946"/>
    <hyperlink ref="C171" r:id="rId156" display="https://poolhost.com/profootball/playerstats/1730676"/>
    <hyperlink ref="C172" r:id="rId157" display="https://poolhost.com/profootball/playerstats/1681897"/>
    <hyperlink ref="C173" r:id="rId158" display="https://poolhost.com/profootball/playerstats/1731755"/>
    <hyperlink ref="C174" r:id="rId159" display="https://poolhost.com/profootball/playerstats/1729262"/>
    <hyperlink ref="C175" r:id="rId160" display="https://poolhost.com/profootball/playerstats/1671837"/>
    <hyperlink ref="C176" r:id="rId161" display="https://poolhost.com/profootball/playerstats/1667376"/>
    <hyperlink ref="C177" r:id="rId162" display="https://poolhost.com/profootball/playerstats/1677370"/>
    <hyperlink ref="C178" r:id="rId163" display="https://poolhost.com/profootball/playerstats/167174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8"/>
  <sheetViews>
    <sheetView topLeftCell="K43" zoomScaleNormal="100" workbookViewId="0">
      <selection activeCell="AA1" sqref="AA1:AB1048576"/>
    </sheetView>
  </sheetViews>
  <sheetFormatPr defaultRowHeight="14.4" x14ac:dyDescent="0.3"/>
  <sheetData>
    <row r="1" spans="1:28" ht="15" thickBot="1" x14ac:dyDescent="0.35">
      <c r="A1" s="2" t="s">
        <v>0</v>
      </c>
      <c r="D1">
        <v>2</v>
      </c>
      <c r="E1">
        <f>D1+1</f>
        <v>3</v>
      </c>
      <c r="F1">
        <f t="shared" ref="F1:Q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ref="R1:S1" si="1">Q1+1</f>
        <v>16</v>
      </c>
      <c r="S1">
        <f t="shared" si="1"/>
        <v>17</v>
      </c>
      <c r="T1">
        <v>18</v>
      </c>
      <c r="U1">
        <v>19</v>
      </c>
      <c r="W1" s="16">
        <v>0</v>
      </c>
      <c r="X1" s="11">
        <f t="shared" ref="X1:X13" si="2">COUNTIF(T$16:T$199,W1)</f>
        <v>1</v>
      </c>
      <c r="Y1" s="20">
        <f>X1/SUM(X$1:X$14)</f>
        <v>6.1349693251533744E-3</v>
      </c>
      <c r="AA1" t="s">
        <v>227</v>
      </c>
    </row>
    <row r="2" spans="1:28" ht="15" thickBot="1" x14ac:dyDescent="0.35">
      <c r="A2" s="2" t="s">
        <v>1</v>
      </c>
      <c r="C2" t="s">
        <v>204</v>
      </c>
      <c r="E2" s="24" t="str">
        <f>IF(VLOOKUP($C2,$C$16:$AA$192,E$1,FALSE)=E$8,"Y","N")</f>
        <v>Y</v>
      </c>
      <c r="F2" s="25" t="str">
        <f t="shared" ref="F2:S3" si="3">IF(VLOOKUP($C2,$C$16:$AA$192,F$1,FALSE)=F$8,"Y","N")</f>
        <v>Y</v>
      </c>
      <c r="G2" s="25" t="str">
        <f t="shared" si="3"/>
        <v>Y</v>
      </c>
      <c r="H2" s="25" t="str">
        <f t="shared" si="3"/>
        <v>Y</v>
      </c>
      <c r="I2" s="25" t="str">
        <f t="shared" si="3"/>
        <v>N</v>
      </c>
      <c r="J2" s="25" t="str">
        <f t="shared" si="3"/>
        <v>N</v>
      </c>
      <c r="K2" s="25" t="str">
        <f t="shared" si="3"/>
        <v>N</v>
      </c>
      <c r="L2" s="25" t="str">
        <f t="shared" si="3"/>
        <v>Y</v>
      </c>
      <c r="M2" s="25" t="str">
        <f t="shared" si="3"/>
        <v>N</v>
      </c>
      <c r="N2" s="25" t="str">
        <f t="shared" si="3"/>
        <v>N</v>
      </c>
      <c r="O2" s="25" t="str">
        <f t="shared" si="3"/>
        <v>Y</v>
      </c>
      <c r="P2" s="25" t="str">
        <f t="shared" si="3"/>
        <v>N</v>
      </c>
      <c r="Q2" s="25" t="str">
        <f t="shared" si="3"/>
        <v>N</v>
      </c>
      <c r="R2" s="25" t="str">
        <f t="shared" si="3"/>
        <v>N</v>
      </c>
      <c r="S2" s="26" t="str">
        <f t="shared" si="3"/>
        <v>Y</v>
      </c>
      <c r="T2" s="19">
        <f>VLOOKUP($C2,$C$16:$AA$192,T$1,FALSE)</f>
        <v>7</v>
      </c>
      <c r="U2" s="19">
        <f>VLOOKUP($C2,$C$16:$AA$192,U$1,FALSE)</f>
        <v>30</v>
      </c>
      <c r="W2" s="23">
        <v>1</v>
      </c>
      <c r="X2" s="12">
        <f t="shared" si="2"/>
        <v>0</v>
      </c>
      <c r="Y2" s="21">
        <f t="shared" ref="Y2:Y13" si="4">X2/SUM(X$1:X$14)</f>
        <v>0</v>
      </c>
      <c r="AA2">
        <v>0</v>
      </c>
      <c r="AB2">
        <f>COUNTIF(V$16:V$179,AA2)</f>
        <v>0</v>
      </c>
    </row>
    <row r="3" spans="1:28" ht="15" thickBot="1" x14ac:dyDescent="0.35">
      <c r="A3" s="2" t="s">
        <v>2</v>
      </c>
      <c r="C3" t="s">
        <v>162</v>
      </c>
      <c r="E3" s="13" t="str">
        <f t="shared" ref="E3" si="5">IF(VLOOKUP($C3,$C$16:$AA$192,E$1,FALSE)=E$8,"Y","N")</f>
        <v>N</v>
      </c>
      <c r="F3" s="14" t="str">
        <f t="shared" si="3"/>
        <v>N</v>
      </c>
      <c r="G3" s="14" t="str">
        <f t="shared" si="3"/>
        <v>N</v>
      </c>
      <c r="H3" s="14" t="str">
        <f t="shared" si="3"/>
        <v>Y</v>
      </c>
      <c r="I3" s="14" t="str">
        <f t="shared" si="3"/>
        <v>Y</v>
      </c>
      <c r="J3" s="14" t="str">
        <f t="shared" si="3"/>
        <v>Y</v>
      </c>
      <c r="K3" s="14" t="str">
        <f t="shared" si="3"/>
        <v>N</v>
      </c>
      <c r="L3" s="14" t="str">
        <f t="shared" si="3"/>
        <v>Y</v>
      </c>
      <c r="M3" s="14" t="str">
        <f t="shared" si="3"/>
        <v>Y</v>
      </c>
      <c r="N3" s="14" t="str">
        <f t="shared" si="3"/>
        <v>Y</v>
      </c>
      <c r="O3" s="14" t="str">
        <f t="shared" si="3"/>
        <v>N</v>
      </c>
      <c r="P3" s="14" t="str">
        <f t="shared" si="3"/>
        <v>Y</v>
      </c>
      <c r="Q3" s="14" t="str">
        <f t="shared" si="3"/>
        <v>N</v>
      </c>
      <c r="R3" s="14" t="str">
        <f t="shared" si="3"/>
        <v>N</v>
      </c>
      <c r="S3" s="15" t="str">
        <f t="shared" si="3"/>
        <v>Y</v>
      </c>
      <c r="T3" s="18">
        <f>VLOOKUP($C3,$C$16:$AA$192,T$1,FALSE)</f>
        <v>8</v>
      </c>
      <c r="U3" s="18">
        <f>VLOOKUP($C3,$C$16:$AA$192,U$1,FALSE)</f>
        <v>33</v>
      </c>
      <c r="W3" s="23">
        <v>2</v>
      </c>
      <c r="X3" s="12">
        <f t="shared" si="2"/>
        <v>0</v>
      </c>
      <c r="Y3" s="21">
        <f t="shared" si="4"/>
        <v>0</v>
      </c>
      <c r="AA3">
        <v>1</v>
      </c>
      <c r="AB3">
        <f t="shared" ref="AB3:AB66" si="6">COUNTIF(V$16:V$179,AA3)</f>
        <v>0</v>
      </c>
    </row>
    <row r="4" spans="1:28" x14ac:dyDescent="0.3">
      <c r="A4" s="2" t="s">
        <v>3</v>
      </c>
      <c r="C4" t="s">
        <v>205</v>
      </c>
      <c r="E4" s="9">
        <f>E5/SUM(E5:E6)</f>
        <v>0.48765432098765432</v>
      </c>
      <c r="F4" s="9">
        <f t="shared" ref="F4:Q4" si="7">F5/SUM(F5:F6)</f>
        <v>0.31481481481481483</v>
      </c>
      <c r="G4" s="9">
        <f t="shared" si="7"/>
        <v>0.43827160493827161</v>
      </c>
      <c r="H4" s="9">
        <f t="shared" si="7"/>
        <v>0.45061728395061729</v>
      </c>
      <c r="I4" s="9">
        <f t="shared" si="7"/>
        <v>0.71604938271604934</v>
      </c>
      <c r="J4" s="9">
        <f t="shared" si="7"/>
        <v>0.30246913580246915</v>
      </c>
      <c r="K4" s="9">
        <f t="shared" si="7"/>
        <v>0.70370370370370372</v>
      </c>
      <c r="L4" s="9">
        <f t="shared" si="7"/>
        <v>0.5679012345679012</v>
      </c>
      <c r="M4" s="9">
        <f t="shared" si="7"/>
        <v>0.51234567901234573</v>
      </c>
      <c r="N4" s="9">
        <f t="shared" si="7"/>
        <v>0.54320987654320985</v>
      </c>
      <c r="O4" s="9">
        <f t="shared" si="7"/>
        <v>0.55555555555555558</v>
      </c>
      <c r="P4" s="9">
        <f t="shared" si="7"/>
        <v>0.43209876543209874</v>
      </c>
      <c r="Q4" s="9">
        <f t="shared" si="7"/>
        <v>0.39506172839506171</v>
      </c>
      <c r="R4" s="9">
        <f t="shared" ref="R4" si="8">R5/SUM(R5:R6)</f>
        <v>0.54320987654320985</v>
      </c>
      <c r="S4" s="9">
        <f t="shared" ref="S4" si="9">S5/SUM(S5:S6)</f>
        <v>0.67901234567901236</v>
      </c>
      <c r="T4" s="10" t="s">
        <v>217</v>
      </c>
      <c r="U4" s="10" t="s">
        <v>218</v>
      </c>
      <c r="W4" s="23">
        <v>3</v>
      </c>
      <c r="X4" s="12">
        <f t="shared" si="2"/>
        <v>4</v>
      </c>
      <c r="Y4" s="21">
        <f t="shared" si="4"/>
        <v>2.4539877300613498E-2</v>
      </c>
      <c r="AA4">
        <v>2</v>
      </c>
      <c r="AB4">
        <f t="shared" si="6"/>
        <v>0</v>
      </c>
    </row>
    <row r="5" spans="1:28" x14ac:dyDescent="0.3">
      <c r="A5" s="2" t="s">
        <v>0</v>
      </c>
      <c r="C5" t="s">
        <v>202</v>
      </c>
      <c r="D5">
        <f t="shared" ref="D5:Q5" si="10">COUNTIF(D$16:D$197,D10)</f>
        <v>0</v>
      </c>
      <c r="E5" s="10">
        <f t="shared" si="10"/>
        <v>79</v>
      </c>
      <c r="F5" s="10">
        <f t="shared" si="10"/>
        <v>51</v>
      </c>
      <c r="G5" s="10">
        <f t="shared" si="10"/>
        <v>71</v>
      </c>
      <c r="H5" s="10">
        <f t="shared" si="10"/>
        <v>73</v>
      </c>
      <c r="I5" s="10">
        <f t="shared" si="10"/>
        <v>116</v>
      </c>
      <c r="J5" s="10">
        <f t="shared" si="10"/>
        <v>49</v>
      </c>
      <c r="K5" s="10">
        <f t="shared" si="10"/>
        <v>114</v>
      </c>
      <c r="L5" s="10">
        <f t="shared" si="10"/>
        <v>92</v>
      </c>
      <c r="M5" s="10">
        <f t="shared" si="10"/>
        <v>83</v>
      </c>
      <c r="N5" s="10">
        <f t="shared" si="10"/>
        <v>88</v>
      </c>
      <c r="O5" s="10">
        <f t="shared" si="10"/>
        <v>90</v>
      </c>
      <c r="P5" s="10">
        <f t="shared" si="10"/>
        <v>70</v>
      </c>
      <c r="Q5" s="10">
        <f t="shared" si="10"/>
        <v>64</v>
      </c>
      <c r="R5" s="10">
        <f t="shared" ref="R5:S5" si="11">COUNTIF(R$16:R$197,R10)</f>
        <v>88</v>
      </c>
      <c r="S5" s="10">
        <f t="shared" si="11"/>
        <v>110</v>
      </c>
      <c r="W5" s="23">
        <v>4</v>
      </c>
      <c r="X5" s="12">
        <f t="shared" si="2"/>
        <v>7</v>
      </c>
      <c r="Y5" s="21">
        <f t="shared" si="4"/>
        <v>4.2944785276073622E-2</v>
      </c>
      <c r="AA5">
        <v>3</v>
      </c>
      <c r="AB5">
        <f t="shared" si="6"/>
        <v>0</v>
      </c>
    </row>
    <row r="6" spans="1:28" ht="15" thickBot="1" x14ac:dyDescent="0.35">
      <c r="A6" s="2" t="s">
        <v>4</v>
      </c>
      <c r="C6" t="s">
        <v>203</v>
      </c>
      <c r="D6">
        <f t="shared" ref="D6:Q6" si="12">COUNTIF(D$16:D$197,D12)</f>
        <v>0</v>
      </c>
      <c r="E6" s="10">
        <f t="shared" si="12"/>
        <v>83</v>
      </c>
      <c r="F6" s="10">
        <f t="shared" si="12"/>
        <v>111</v>
      </c>
      <c r="G6" s="10">
        <f t="shared" si="12"/>
        <v>91</v>
      </c>
      <c r="H6" s="10">
        <f t="shared" si="12"/>
        <v>89</v>
      </c>
      <c r="I6" s="10">
        <f t="shared" si="12"/>
        <v>46</v>
      </c>
      <c r="J6" s="10">
        <f t="shared" si="12"/>
        <v>113</v>
      </c>
      <c r="K6" s="10">
        <f t="shared" si="12"/>
        <v>48</v>
      </c>
      <c r="L6" s="10">
        <f t="shared" si="12"/>
        <v>70</v>
      </c>
      <c r="M6" s="10">
        <f t="shared" si="12"/>
        <v>79</v>
      </c>
      <c r="N6" s="10">
        <f t="shared" si="12"/>
        <v>74</v>
      </c>
      <c r="O6" s="10">
        <f t="shared" si="12"/>
        <v>72</v>
      </c>
      <c r="P6" s="10">
        <f t="shared" si="12"/>
        <v>92</v>
      </c>
      <c r="Q6" s="10">
        <f t="shared" si="12"/>
        <v>98</v>
      </c>
      <c r="R6" s="10">
        <f t="shared" ref="R6:S6" si="13">COUNTIF(R$16:R$197,R12)</f>
        <v>74</v>
      </c>
      <c r="S6" s="10">
        <f t="shared" si="13"/>
        <v>52</v>
      </c>
      <c r="W6" s="23">
        <v>5</v>
      </c>
      <c r="X6" s="12">
        <f t="shared" si="2"/>
        <v>11</v>
      </c>
      <c r="Y6" s="21">
        <f t="shared" si="4"/>
        <v>6.7484662576687116E-2</v>
      </c>
      <c r="AA6">
        <f>AA5+1</f>
        <v>4</v>
      </c>
      <c r="AB6">
        <f t="shared" si="6"/>
        <v>0</v>
      </c>
    </row>
    <row r="7" spans="1:28" ht="15" thickBot="1" x14ac:dyDescent="0.35">
      <c r="A7" s="2"/>
      <c r="C7" t="s">
        <v>213</v>
      </c>
      <c r="E7" s="28" t="str">
        <f>IF(AND(E10=E8,E4&gt;0.5),"Y",IF(AND(E10=E8,E4&lt;0.5),"N",IF(E4&gt;0.5,"Y","N")))</f>
        <v>N</v>
      </c>
      <c r="F7" s="11" t="str">
        <f t="shared" ref="F7" si="14">IF(AND(F10=F8,F4&gt;0.5),"Y",IF(AND(F10=F8,F4&lt;0.5),"N",IF(F4&gt;0.5,"Y","N")))</f>
        <v>N</v>
      </c>
      <c r="G7" s="11" t="str">
        <f>IF(AND(G10=G8,G4&gt;0.5),"Y",IF(AND(G10=G8,G4&lt;0.5),"N",IF(G4&lt;0.5,"Y","N")))</f>
        <v>N</v>
      </c>
      <c r="H7" s="11" t="str">
        <f t="shared" ref="H7:Q7" si="15">IF(AND(H10=H8,H4&gt;0.5),"Y",IF(AND(H10=H8,H4&lt;0.5),"N",IF(H4&lt;0.5,"Y","N")))</f>
        <v>Y</v>
      </c>
      <c r="I7" s="11" t="str">
        <f t="shared" si="15"/>
        <v>N</v>
      </c>
      <c r="J7" s="11" t="str">
        <f t="shared" si="15"/>
        <v>N</v>
      </c>
      <c r="K7" s="11" t="str">
        <f t="shared" si="15"/>
        <v>N</v>
      </c>
      <c r="L7" s="11" t="str">
        <f t="shared" si="15"/>
        <v>Y</v>
      </c>
      <c r="M7" s="11" t="str">
        <f t="shared" si="15"/>
        <v>N</v>
      </c>
      <c r="N7" s="11" t="str">
        <f t="shared" si="15"/>
        <v>Y</v>
      </c>
      <c r="O7" s="11" t="str">
        <f t="shared" si="15"/>
        <v>Y</v>
      </c>
      <c r="P7" s="11" t="str">
        <f t="shared" si="15"/>
        <v>N</v>
      </c>
      <c r="Q7" s="11" t="str">
        <f t="shared" si="15"/>
        <v>N</v>
      </c>
      <c r="R7" s="11" t="str">
        <f t="shared" ref="R7" si="16">IF(AND(R10=R8,R4&gt;0.5),"Y",IF(AND(R10=R8,R4&lt;0.5),"N",IF(R4&lt;0.5,"Y","N")))</f>
        <v>N</v>
      </c>
      <c r="S7" s="29" t="str">
        <f t="shared" ref="S7" si="17">IF(AND(S10=S8,S4&gt;0.5),"Y",IF(AND(S10=S8,S4&lt;0.5),"N",IF(S4&lt;0.5,"Y","N")))</f>
        <v>Y</v>
      </c>
      <c r="T7" s="37" t="s">
        <v>220</v>
      </c>
      <c r="U7" s="38">
        <f>COUNTIF(E7:S7,"Y")</f>
        <v>5</v>
      </c>
      <c r="W7" s="23">
        <v>6</v>
      </c>
      <c r="X7" s="12">
        <f t="shared" si="2"/>
        <v>35</v>
      </c>
      <c r="Y7" s="21">
        <f t="shared" si="4"/>
        <v>0.21472392638036811</v>
      </c>
      <c r="AA7">
        <f t="shared" ref="AA7:AA70" si="18">AA6+1</f>
        <v>5</v>
      </c>
      <c r="AB7">
        <f t="shared" si="6"/>
        <v>0</v>
      </c>
    </row>
    <row r="8" spans="1:28" ht="15.6" customHeight="1" thickBot="1" x14ac:dyDescent="0.35">
      <c r="A8" s="2"/>
      <c r="C8" t="s">
        <v>212</v>
      </c>
      <c r="E8" s="30" t="s">
        <v>69</v>
      </c>
      <c r="F8" s="31" t="s">
        <v>73</v>
      </c>
      <c r="G8" s="31" t="s">
        <v>50</v>
      </c>
      <c r="H8" s="31" t="s">
        <v>207</v>
      </c>
      <c r="I8" s="31" t="s">
        <v>51</v>
      </c>
      <c r="J8" s="31" t="s">
        <v>63</v>
      </c>
      <c r="K8" s="31" t="s">
        <v>64</v>
      </c>
      <c r="L8" s="31" t="s">
        <v>59</v>
      </c>
      <c r="M8" s="31" t="s">
        <v>53</v>
      </c>
      <c r="N8" s="31" t="s">
        <v>48</v>
      </c>
      <c r="O8" s="31" t="s">
        <v>65</v>
      </c>
      <c r="P8" s="31" t="s">
        <v>66</v>
      </c>
      <c r="Q8" s="31" t="s">
        <v>52</v>
      </c>
      <c r="R8" s="31" t="s">
        <v>62</v>
      </c>
      <c r="S8" s="32" t="s">
        <v>71</v>
      </c>
      <c r="W8" s="23">
        <v>7</v>
      </c>
      <c r="X8" s="12">
        <f t="shared" si="2"/>
        <v>39</v>
      </c>
      <c r="Y8" s="21">
        <f t="shared" si="4"/>
        <v>0.2392638036809816</v>
      </c>
      <c r="AA8">
        <f t="shared" si="18"/>
        <v>6</v>
      </c>
      <c r="AB8">
        <f t="shared" si="6"/>
        <v>0</v>
      </c>
    </row>
    <row r="9" spans="1:28" x14ac:dyDescent="0.3">
      <c r="A9" s="47" t="s">
        <v>46</v>
      </c>
      <c r="B9" s="47"/>
      <c r="C9" s="2" t="s">
        <v>0</v>
      </c>
      <c r="D9" s="7">
        <v>15</v>
      </c>
      <c r="E9" s="7">
        <v>26</v>
      </c>
      <c r="F9" s="7">
        <v>24</v>
      </c>
      <c r="G9" s="7">
        <v>24</v>
      </c>
      <c r="H9" s="7">
        <v>29</v>
      </c>
      <c r="I9" s="7">
        <v>24</v>
      </c>
      <c r="J9" s="7">
        <v>27</v>
      </c>
      <c r="K9" s="7">
        <v>9</v>
      </c>
      <c r="L9" s="7">
        <v>33</v>
      </c>
      <c r="M9" s="7">
        <v>14</v>
      </c>
      <c r="N9" s="7">
        <v>30</v>
      </c>
      <c r="O9" s="7">
        <v>10</v>
      </c>
      <c r="P9" s="7">
        <v>20</v>
      </c>
      <c r="Q9" s="7">
        <v>35</v>
      </c>
      <c r="R9" s="7">
        <v>12</v>
      </c>
      <c r="S9" s="7">
        <v>42</v>
      </c>
      <c r="T9" s="47" t="s">
        <v>76</v>
      </c>
      <c r="U9" s="47" t="s">
        <v>77</v>
      </c>
      <c r="V9" s="8" t="s">
        <v>214</v>
      </c>
      <c r="W9" s="34">
        <v>8</v>
      </c>
      <c r="X9" s="35">
        <f t="shared" si="2"/>
        <v>30</v>
      </c>
      <c r="Y9" s="36">
        <f t="shared" si="4"/>
        <v>0.18404907975460122</v>
      </c>
      <c r="AA9">
        <f t="shared" si="18"/>
        <v>7</v>
      </c>
      <c r="AB9">
        <f t="shared" si="6"/>
        <v>0</v>
      </c>
    </row>
    <row r="10" spans="1:28" x14ac:dyDescent="0.3">
      <c r="A10" s="47"/>
      <c r="B10" s="47"/>
      <c r="C10" s="2" t="s">
        <v>1</v>
      </c>
      <c r="D10" s="7" t="s">
        <v>72</v>
      </c>
      <c r="E10" s="7" t="s">
        <v>69</v>
      </c>
      <c r="F10" s="7" t="s">
        <v>68</v>
      </c>
      <c r="G10" s="7" t="s">
        <v>50</v>
      </c>
      <c r="H10" s="7" t="s">
        <v>54</v>
      </c>
      <c r="I10" s="7" t="s">
        <v>57</v>
      </c>
      <c r="J10" s="7" t="s">
        <v>63</v>
      </c>
      <c r="K10" s="7" t="s">
        <v>74</v>
      </c>
      <c r="L10" s="7" t="s">
        <v>59</v>
      </c>
      <c r="M10" s="7" t="s">
        <v>55</v>
      </c>
      <c r="N10" s="7" t="s">
        <v>48</v>
      </c>
      <c r="O10" s="7" t="s">
        <v>65</v>
      </c>
      <c r="P10" s="7" t="s">
        <v>66</v>
      </c>
      <c r="Q10" s="7" t="s">
        <v>52</v>
      </c>
      <c r="R10" s="7" t="s">
        <v>208</v>
      </c>
      <c r="S10" s="7" t="s">
        <v>71</v>
      </c>
      <c r="T10" s="47"/>
      <c r="U10" s="47"/>
      <c r="V10" s="8" t="s">
        <v>77</v>
      </c>
      <c r="W10" s="23">
        <v>9</v>
      </c>
      <c r="X10" s="12">
        <f t="shared" si="2"/>
        <v>23</v>
      </c>
      <c r="Y10" s="21">
        <f t="shared" si="4"/>
        <v>0.1411042944785276</v>
      </c>
      <c r="AA10">
        <f t="shared" si="18"/>
        <v>8</v>
      </c>
      <c r="AB10">
        <f t="shared" si="6"/>
        <v>0</v>
      </c>
    </row>
    <row r="11" spans="1:28" x14ac:dyDescent="0.3">
      <c r="A11" s="47"/>
      <c r="B11" s="47"/>
      <c r="C11" s="2" t="s">
        <v>2</v>
      </c>
      <c r="D11" s="7">
        <v>4.5</v>
      </c>
      <c r="E11" s="7">
        <v>-1.5</v>
      </c>
      <c r="F11" s="7">
        <v>4.5</v>
      </c>
      <c r="G11" s="7">
        <v>-3</v>
      </c>
      <c r="H11" s="7">
        <v>-2.5</v>
      </c>
      <c r="I11" s="7">
        <v>-6</v>
      </c>
      <c r="J11" s="7">
        <v>1.5</v>
      </c>
      <c r="K11" s="7">
        <v>-7</v>
      </c>
      <c r="L11" s="7">
        <v>2.5</v>
      </c>
      <c r="M11" s="7">
        <v>-3.5</v>
      </c>
      <c r="N11" s="7">
        <v>-10</v>
      </c>
      <c r="O11" s="7">
        <v>8</v>
      </c>
      <c r="P11" s="7">
        <v>-1</v>
      </c>
      <c r="Q11" s="7">
        <v>-2.5</v>
      </c>
      <c r="R11" s="7">
        <v>1.5</v>
      </c>
      <c r="S11" s="7">
        <v>-4</v>
      </c>
      <c r="T11" s="47"/>
      <c r="U11" s="47"/>
      <c r="V11" s="8">
        <v>-71</v>
      </c>
      <c r="W11" s="23">
        <v>10</v>
      </c>
      <c r="X11" s="12">
        <f t="shared" si="2"/>
        <v>9</v>
      </c>
      <c r="Y11" s="21">
        <f t="shared" si="4"/>
        <v>5.5214723926380369E-2</v>
      </c>
      <c r="AA11">
        <f t="shared" si="18"/>
        <v>9</v>
      </c>
      <c r="AB11">
        <f t="shared" si="6"/>
        <v>0</v>
      </c>
    </row>
    <row r="12" spans="1:28" x14ac:dyDescent="0.3">
      <c r="A12" s="47"/>
      <c r="B12" s="47"/>
      <c r="C12" s="2" t="s">
        <v>3</v>
      </c>
      <c r="D12" s="7" t="s">
        <v>70</v>
      </c>
      <c r="E12" s="7" t="s">
        <v>58</v>
      </c>
      <c r="F12" s="7" t="s">
        <v>73</v>
      </c>
      <c r="G12" s="7" t="s">
        <v>209</v>
      </c>
      <c r="H12" s="7" t="s">
        <v>207</v>
      </c>
      <c r="I12" s="7" t="s">
        <v>51</v>
      </c>
      <c r="J12" s="7" t="s">
        <v>67</v>
      </c>
      <c r="K12" s="7" t="s">
        <v>64</v>
      </c>
      <c r="L12" s="7" t="s">
        <v>60</v>
      </c>
      <c r="M12" s="7" t="s">
        <v>53</v>
      </c>
      <c r="N12" s="7" t="s">
        <v>56</v>
      </c>
      <c r="O12" s="7" t="s">
        <v>210</v>
      </c>
      <c r="P12" s="7" t="s">
        <v>61</v>
      </c>
      <c r="Q12" s="7" t="s">
        <v>75</v>
      </c>
      <c r="R12" s="7" t="s">
        <v>62</v>
      </c>
      <c r="S12" s="7" t="s">
        <v>47</v>
      </c>
      <c r="T12" s="47"/>
      <c r="U12" s="47"/>
      <c r="V12" s="8"/>
      <c r="W12" s="23">
        <v>11</v>
      </c>
      <c r="X12" s="12">
        <f t="shared" si="2"/>
        <v>3</v>
      </c>
      <c r="Y12" s="21">
        <f t="shared" si="4"/>
        <v>1.8404907975460124E-2</v>
      </c>
      <c r="AA12">
        <f t="shared" si="18"/>
        <v>10</v>
      </c>
      <c r="AB12">
        <f t="shared" si="6"/>
        <v>0</v>
      </c>
    </row>
    <row r="13" spans="1:28" x14ac:dyDescent="0.3">
      <c r="A13" s="47"/>
      <c r="B13" s="47"/>
      <c r="C13" s="2" t="s">
        <v>0</v>
      </c>
      <c r="D13" s="7">
        <v>20</v>
      </c>
      <c r="E13" s="7">
        <v>24</v>
      </c>
      <c r="F13" s="7">
        <v>34</v>
      </c>
      <c r="G13" s="7">
        <v>18</v>
      </c>
      <c r="H13" s="7">
        <v>31</v>
      </c>
      <c r="I13" s="7">
        <v>20</v>
      </c>
      <c r="J13" s="7">
        <v>24</v>
      </c>
      <c r="K13" s="7">
        <v>10</v>
      </c>
      <c r="L13" s="7">
        <v>16</v>
      </c>
      <c r="M13" s="7">
        <v>42</v>
      </c>
      <c r="N13" s="7">
        <v>13</v>
      </c>
      <c r="O13" s="7">
        <v>17</v>
      </c>
      <c r="P13" s="7">
        <v>16</v>
      </c>
      <c r="Q13" s="7">
        <v>10</v>
      </c>
      <c r="R13" s="7">
        <v>31</v>
      </c>
      <c r="S13" s="7">
        <v>29</v>
      </c>
      <c r="T13" s="47"/>
      <c r="U13" s="47"/>
      <c r="V13" s="8"/>
      <c r="W13" s="23">
        <v>12</v>
      </c>
      <c r="X13" s="12">
        <f t="shared" si="2"/>
        <v>1</v>
      </c>
      <c r="Y13" s="21">
        <f t="shared" si="4"/>
        <v>6.1349693251533744E-3</v>
      </c>
      <c r="AA13">
        <f t="shared" si="18"/>
        <v>11</v>
      </c>
      <c r="AB13">
        <f t="shared" si="6"/>
        <v>0</v>
      </c>
    </row>
    <row r="14" spans="1:28" x14ac:dyDescent="0.3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47"/>
      <c r="U14" s="47"/>
      <c r="V14" s="8"/>
      <c r="W14" s="23">
        <v>13</v>
      </c>
      <c r="X14" s="12">
        <f t="shared" ref="X14:X16" si="19">COUNTIF(T$16:T$199,W14)</f>
        <v>0</v>
      </c>
      <c r="Y14" s="21">
        <f t="shared" ref="Y14:Y16" si="20">X14/SUM(X$1:X$14)</f>
        <v>0</v>
      </c>
      <c r="AA14">
        <f t="shared" si="18"/>
        <v>12</v>
      </c>
      <c r="AB14">
        <f t="shared" si="6"/>
        <v>0</v>
      </c>
    </row>
    <row r="15" spans="1:28" x14ac:dyDescent="0.3">
      <c r="A15" s="47"/>
      <c r="B15" s="47"/>
      <c r="C15" s="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47"/>
      <c r="U15" s="47"/>
      <c r="V15" s="8"/>
      <c r="W15" s="23">
        <v>14</v>
      </c>
      <c r="X15" s="12">
        <f t="shared" si="19"/>
        <v>0</v>
      </c>
      <c r="Y15" s="21">
        <f t="shared" si="20"/>
        <v>0</v>
      </c>
      <c r="AA15">
        <f t="shared" si="18"/>
        <v>13</v>
      </c>
      <c r="AB15">
        <f t="shared" si="6"/>
        <v>0</v>
      </c>
    </row>
    <row r="16" spans="1:28" ht="15" thickBot="1" x14ac:dyDescent="0.35">
      <c r="A16" s="3">
        <v>1</v>
      </c>
      <c r="B16" s="4"/>
      <c r="C16" s="6" t="s">
        <v>109</v>
      </c>
      <c r="D16" s="5"/>
      <c r="E16" s="5" t="s">
        <v>69</v>
      </c>
      <c r="F16" s="5" t="s">
        <v>73</v>
      </c>
      <c r="G16" s="5" t="s">
        <v>50</v>
      </c>
      <c r="H16" s="5" t="s">
        <v>207</v>
      </c>
      <c r="I16" s="5" t="s">
        <v>57</v>
      </c>
      <c r="J16" s="5" t="s">
        <v>63</v>
      </c>
      <c r="K16" s="5" t="s">
        <v>74</v>
      </c>
      <c r="L16" s="5" t="s">
        <v>59</v>
      </c>
      <c r="M16" s="5" t="s">
        <v>53</v>
      </c>
      <c r="N16" s="5" t="s">
        <v>56</v>
      </c>
      <c r="O16" s="5" t="s">
        <v>65</v>
      </c>
      <c r="P16" s="5" t="s">
        <v>66</v>
      </c>
      <c r="Q16" s="5" t="s">
        <v>52</v>
      </c>
      <c r="R16" s="5" t="s">
        <v>62</v>
      </c>
      <c r="S16" s="5" t="s">
        <v>71</v>
      </c>
      <c r="T16" s="1">
        <v>12</v>
      </c>
      <c r="U16" s="1">
        <v>30</v>
      </c>
      <c r="V16" s="1">
        <v>48</v>
      </c>
      <c r="W16" s="17">
        <v>15</v>
      </c>
      <c r="X16" s="14">
        <f t="shared" si="19"/>
        <v>0</v>
      </c>
      <c r="Y16" s="22">
        <f t="shared" si="20"/>
        <v>0</v>
      </c>
      <c r="AA16">
        <f t="shared" si="18"/>
        <v>14</v>
      </c>
      <c r="AB16">
        <f t="shared" si="6"/>
        <v>0</v>
      </c>
    </row>
    <row r="17" spans="1:28" x14ac:dyDescent="0.3">
      <c r="A17" s="3">
        <v>2</v>
      </c>
      <c r="B17" s="4"/>
      <c r="C17" s="6" t="s">
        <v>166</v>
      </c>
      <c r="D17" s="5"/>
      <c r="E17" s="5" t="s">
        <v>69</v>
      </c>
      <c r="F17" s="5" t="s">
        <v>73</v>
      </c>
      <c r="G17" s="5" t="s">
        <v>50</v>
      </c>
      <c r="H17" s="5" t="s">
        <v>54</v>
      </c>
      <c r="I17" s="5" t="s">
        <v>51</v>
      </c>
      <c r="J17" s="5" t="s">
        <v>63</v>
      </c>
      <c r="K17" s="5" t="s">
        <v>74</v>
      </c>
      <c r="L17" s="5" t="s">
        <v>59</v>
      </c>
      <c r="M17" s="5" t="s">
        <v>55</v>
      </c>
      <c r="N17" s="5" t="s">
        <v>48</v>
      </c>
      <c r="O17" s="5" t="s">
        <v>65</v>
      </c>
      <c r="P17" s="5" t="s">
        <v>61</v>
      </c>
      <c r="Q17" s="5" t="s">
        <v>52</v>
      </c>
      <c r="R17" s="5" t="s">
        <v>62</v>
      </c>
      <c r="S17" s="5" t="s">
        <v>71</v>
      </c>
      <c r="T17" s="1">
        <v>11</v>
      </c>
      <c r="U17" s="1">
        <v>25</v>
      </c>
      <c r="V17" s="1">
        <v>44</v>
      </c>
      <c r="AA17">
        <f t="shared" si="18"/>
        <v>15</v>
      </c>
      <c r="AB17">
        <f t="shared" si="6"/>
        <v>0</v>
      </c>
    </row>
    <row r="18" spans="1:28" x14ac:dyDescent="0.3">
      <c r="A18" s="3">
        <v>3</v>
      </c>
      <c r="B18" s="4"/>
      <c r="C18" s="6" t="s">
        <v>18</v>
      </c>
      <c r="D18" s="5"/>
      <c r="E18" s="5" t="s">
        <v>69</v>
      </c>
      <c r="F18" s="5" t="s">
        <v>73</v>
      </c>
      <c r="G18" s="5" t="s">
        <v>50</v>
      </c>
      <c r="H18" s="5" t="s">
        <v>207</v>
      </c>
      <c r="I18" s="5" t="s">
        <v>57</v>
      </c>
      <c r="J18" s="5" t="s">
        <v>63</v>
      </c>
      <c r="K18" s="5" t="s">
        <v>74</v>
      </c>
      <c r="L18" s="5" t="s">
        <v>59</v>
      </c>
      <c r="M18" s="5" t="s">
        <v>55</v>
      </c>
      <c r="N18" s="5" t="s">
        <v>48</v>
      </c>
      <c r="O18" s="5" t="s">
        <v>65</v>
      </c>
      <c r="P18" s="5" t="s">
        <v>66</v>
      </c>
      <c r="Q18" s="5" t="s">
        <v>52</v>
      </c>
      <c r="R18" s="5" t="s">
        <v>208</v>
      </c>
      <c r="S18" s="5" t="s">
        <v>71</v>
      </c>
      <c r="T18" s="1">
        <v>11</v>
      </c>
      <c r="U18" s="1">
        <v>23</v>
      </c>
      <c r="V18" s="1">
        <v>39</v>
      </c>
      <c r="AA18">
        <f t="shared" si="18"/>
        <v>16</v>
      </c>
      <c r="AB18">
        <f t="shared" si="6"/>
        <v>0</v>
      </c>
    </row>
    <row r="19" spans="1:28" x14ac:dyDescent="0.3">
      <c r="A19" s="3">
        <v>4</v>
      </c>
      <c r="B19" s="4"/>
      <c r="C19" s="6" t="s">
        <v>130</v>
      </c>
      <c r="D19" s="5"/>
      <c r="E19" s="5" t="s">
        <v>69</v>
      </c>
      <c r="F19" s="5" t="s">
        <v>73</v>
      </c>
      <c r="G19" s="5" t="s">
        <v>50</v>
      </c>
      <c r="H19" s="5" t="s">
        <v>207</v>
      </c>
      <c r="I19" s="5" t="s">
        <v>51</v>
      </c>
      <c r="J19" s="5" t="s">
        <v>67</v>
      </c>
      <c r="K19" s="5" t="s">
        <v>64</v>
      </c>
      <c r="L19" s="5" t="s">
        <v>59</v>
      </c>
      <c r="M19" s="5" t="s">
        <v>55</v>
      </c>
      <c r="N19" s="5" t="s">
        <v>56</v>
      </c>
      <c r="O19" s="5" t="s">
        <v>65</v>
      </c>
      <c r="P19" s="5" t="s">
        <v>66</v>
      </c>
      <c r="Q19" s="5" t="s">
        <v>75</v>
      </c>
      <c r="R19" s="5" t="s">
        <v>62</v>
      </c>
      <c r="S19" s="5" t="s">
        <v>71</v>
      </c>
      <c r="T19" s="1">
        <v>11</v>
      </c>
      <c r="U19" s="1">
        <v>30</v>
      </c>
      <c r="V19" s="1">
        <v>35</v>
      </c>
      <c r="AA19">
        <f t="shared" si="18"/>
        <v>17</v>
      </c>
      <c r="AB19">
        <f t="shared" si="6"/>
        <v>0</v>
      </c>
    </row>
    <row r="20" spans="1:28" x14ac:dyDescent="0.3">
      <c r="A20" s="3">
        <v>5</v>
      </c>
      <c r="B20" s="4"/>
      <c r="C20" s="6" t="s">
        <v>152</v>
      </c>
      <c r="D20" s="5"/>
      <c r="E20" s="5" t="s">
        <v>69</v>
      </c>
      <c r="F20" s="5" t="s">
        <v>73</v>
      </c>
      <c r="G20" s="5" t="s">
        <v>50</v>
      </c>
      <c r="H20" s="5" t="s">
        <v>207</v>
      </c>
      <c r="I20" s="5" t="s">
        <v>51</v>
      </c>
      <c r="J20" s="5" t="s">
        <v>63</v>
      </c>
      <c r="K20" s="5" t="s">
        <v>74</v>
      </c>
      <c r="L20" s="5" t="s">
        <v>60</v>
      </c>
      <c r="M20" s="5" t="s">
        <v>53</v>
      </c>
      <c r="N20" s="5" t="s">
        <v>56</v>
      </c>
      <c r="O20" s="5" t="s">
        <v>210</v>
      </c>
      <c r="P20" s="5" t="s">
        <v>61</v>
      </c>
      <c r="Q20" s="5" t="s">
        <v>52</v>
      </c>
      <c r="R20" s="5" t="s">
        <v>62</v>
      </c>
      <c r="S20" s="5" t="s">
        <v>71</v>
      </c>
      <c r="T20" s="1">
        <v>10</v>
      </c>
      <c r="U20" s="1">
        <v>31</v>
      </c>
      <c r="V20" s="1">
        <v>51</v>
      </c>
      <c r="AA20">
        <f t="shared" si="18"/>
        <v>18</v>
      </c>
      <c r="AB20">
        <f t="shared" si="6"/>
        <v>0</v>
      </c>
    </row>
    <row r="21" spans="1:28" x14ac:dyDescent="0.3">
      <c r="A21" s="3">
        <v>6</v>
      </c>
      <c r="B21" s="4"/>
      <c r="C21" s="6" t="s">
        <v>144</v>
      </c>
      <c r="D21" s="5"/>
      <c r="E21" s="5" t="s">
        <v>69</v>
      </c>
      <c r="F21" s="5" t="s">
        <v>73</v>
      </c>
      <c r="G21" s="5" t="s">
        <v>209</v>
      </c>
      <c r="H21" s="5" t="s">
        <v>207</v>
      </c>
      <c r="I21" s="5" t="s">
        <v>51</v>
      </c>
      <c r="J21" s="5" t="s">
        <v>63</v>
      </c>
      <c r="K21" s="5" t="s">
        <v>64</v>
      </c>
      <c r="L21" s="5" t="s">
        <v>59</v>
      </c>
      <c r="M21" s="5" t="s">
        <v>55</v>
      </c>
      <c r="N21" s="5" t="s">
        <v>56</v>
      </c>
      <c r="O21" s="5" t="s">
        <v>65</v>
      </c>
      <c r="P21" s="5" t="s">
        <v>61</v>
      </c>
      <c r="Q21" s="5" t="s">
        <v>75</v>
      </c>
      <c r="R21" s="5" t="s">
        <v>62</v>
      </c>
      <c r="S21" s="5" t="s">
        <v>71</v>
      </c>
      <c r="T21" s="1">
        <v>10</v>
      </c>
      <c r="U21" s="1">
        <v>31</v>
      </c>
      <c r="V21" s="1">
        <v>49</v>
      </c>
      <c r="AA21">
        <f t="shared" si="18"/>
        <v>19</v>
      </c>
      <c r="AB21">
        <f t="shared" si="6"/>
        <v>0</v>
      </c>
    </row>
    <row r="22" spans="1:28" ht="28.8" x14ac:dyDescent="0.3">
      <c r="A22" s="3">
        <v>7</v>
      </c>
      <c r="B22" s="4"/>
      <c r="C22" s="6" t="s">
        <v>87</v>
      </c>
      <c r="D22" s="5"/>
      <c r="E22" s="5" t="s">
        <v>69</v>
      </c>
      <c r="F22" s="5" t="s">
        <v>68</v>
      </c>
      <c r="G22" s="5" t="s">
        <v>50</v>
      </c>
      <c r="H22" s="5" t="s">
        <v>207</v>
      </c>
      <c r="I22" s="5" t="s">
        <v>51</v>
      </c>
      <c r="J22" s="5" t="s">
        <v>63</v>
      </c>
      <c r="K22" s="5" t="s">
        <v>74</v>
      </c>
      <c r="L22" s="5" t="s">
        <v>60</v>
      </c>
      <c r="M22" s="5" t="s">
        <v>55</v>
      </c>
      <c r="N22" s="5" t="s">
        <v>56</v>
      </c>
      <c r="O22" s="5" t="s">
        <v>65</v>
      </c>
      <c r="P22" s="5" t="s">
        <v>66</v>
      </c>
      <c r="Q22" s="5" t="s">
        <v>52</v>
      </c>
      <c r="R22" s="5" t="s">
        <v>62</v>
      </c>
      <c r="S22" s="5" t="s">
        <v>71</v>
      </c>
      <c r="T22" s="1">
        <v>10</v>
      </c>
      <c r="U22" s="1">
        <v>23</v>
      </c>
      <c r="V22" s="1">
        <v>48</v>
      </c>
      <c r="AA22">
        <f t="shared" si="18"/>
        <v>20</v>
      </c>
      <c r="AB22">
        <f t="shared" si="6"/>
        <v>0</v>
      </c>
    </row>
    <row r="23" spans="1:28" x14ac:dyDescent="0.3">
      <c r="A23" s="3">
        <v>8</v>
      </c>
      <c r="B23" s="4"/>
      <c r="C23" s="6" t="s">
        <v>19</v>
      </c>
      <c r="D23" s="5"/>
      <c r="E23" s="5" t="s">
        <v>69</v>
      </c>
      <c r="F23" s="5" t="s">
        <v>73</v>
      </c>
      <c r="G23" s="5" t="s">
        <v>50</v>
      </c>
      <c r="H23" s="5" t="s">
        <v>207</v>
      </c>
      <c r="I23" s="5" t="s">
        <v>57</v>
      </c>
      <c r="J23" s="5" t="s">
        <v>67</v>
      </c>
      <c r="K23" s="5" t="s">
        <v>74</v>
      </c>
      <c r="L23" s="5" t="s">
        <v>60</v>
      </c>
      <c r="M23" s="5" t="s">
        <v>55</v>
      </c>
      <c r="N23" s="5" t="s">
        <v>48</v>
      </c>
      <c r="O23" s="5" t="s">
        <v>65</v>
      </c>
      <c r="P23" s="5" t="s">
        <v>66</v>
      </c>
      <c r="Q23" s="5" t="s">
        <v>52</v>
      </c>
      <c r="R23" s="5" t="s">
        <v>62</v>
      </c>
      <c r="S23" s="5" t="s">
        <v>71</v>
      </c>
      <c r="T23" s="1">
        <v>10</v>
      </c>
      <c r="U23" s="1">
        <v>30</v>
      </c>
      <c r="V23" s="1">
        <v>45</v>
      </c>
      <c r="AA23">
        <f t="shared" si="18"/>
        <v>21</v>
      </c>
      <c r="AB23">
        <f t="shared" si="6"/>
        <v>0</v>
      </c>
    </row>
    <row r="24" spans="1:28" x14ac:dyDescent="0.3">
      <c r="A24" s="3">
        <v>9</v>
      </c>
      <c r="B24" s="4"/>
      <c r="C24" s="6" t="s">
        <v>16</v>
      </c>
      <c r="D24" s="5"/>
      <c r="E24" s="5" t="s">
        <v>58</v>
      </c>
      <c r="F24" s="5" t="s">
        <v>73</v>
      </c>
      <c r="G24" s="5" t="s">
        <v>209</v>
      </c>
      <c r="H24" s="5" t="s">
        <v>207</v>
      </c>
      <c r="I24" s="5" t="s">
        <v>57</v>
      </c>
      <c r="J24" s="5" t="s">
        <v>63</v>
      </c>
      <c r="K24" s="5" t="s">
        <v>64</v>
      </c>
      <c r="L24" s="5" t="s">
        <v>59</v>
      </c>
      <c r="M24" s="5" t="s">
        <v>55</v>
      </c>
      <c r="N24" s="5" t="s">
        <v>48</v>
      </c>
      <c r="O24" s="5" t="s">
        <v>65</v>
      </c>
      <c r="P24" s="5" t="s">
        <v>66</v>
      </c>
      <c r="Q24" s="5" t="s">
        <v>75</v>
      </c>
      <c r="R24" s="5" t="s">
        <v>62</v>
      </c>
      <c r="S24" s="5" t="s">
        <v>71</v>
      </c>
      <c r="T24" s="1">
        <v>10</v>
      </c>
      <c r="U24" s="1">
        <v>31</v>
      </c>
      <c r="V24" s="1">
        <v>44</v>
      </c>
      <c r="AA24">
        <f t="shared" si="18"/>
        <v>22</v>
      </c>
      <c r="AB24">
        <f t="shared" si="6"/>
        <v>0</v>
      </c>
    </row>
    <row r="25" spans="1:28" ht="28.8" x14ac:dyDescent="0.3">
      <c r="A25" s="3">
        <v>10</v>
      </c>
      <c r="B25" s="4"/>
      <c r="C25" s="6" t="s">
        <v>139</v>
      </c>
      <c r="D25" s="5"/>
      <c r="E25" s="5" t="s">
        <v>58</v>
      </c>
      <c r="F25" s="5" t="s">
        <v>73</v>
      </c>
      <c r="G25" s="5" t="s">
        <v>50</v>
      </c>
      <c r="H25" s="5" t="s">
        <v>207</v>
      </c>
      <c r="I25" s="5" t="s">
        <v>57</v>
      </c>
      <c r="J25" s="5" t="s">
        <v>67</v>
      </c>
      <c r="K25" s="5" t="s">
        <v>74</v>
      </c>
      <c r="L25" s="5" t="s">
        <v>59</v>
      </c>
      <c r="M25" s="5" t="s">
        <v>53</v>
      </c>
      <c r="N25" s="5" t="s">
        <v>48</v>
      </c>
      <c r="O25" s="5" t="s">
        <v>65</v>
      </c>
      <c r="P25" s="5" t="s">
        <v>66</v>
      </c>
      <c r="Q25" s="5" t="s">
        <v>75</v>
      </c>
      <c r="R25" s="5" t="s">
        <v>62</v>
      </c>
      <c r="S25" s="5" t="s">
        <v>71</v>
      </c>
      <c r="T25" s="1">
        <v>10</v>
      </c>
      <c r="U25" s="1">
        <v>32</v>
      </c>
      <c r="V25" s="1">
        <v>41</v>
      </c>
      <c r="AA25">
        <f t="shared" si="18"/>
        <v>23</v>
      </c>
      <c r="AB25">
        <f t="shared" si="6"/>
        <v>0</v>
      </c>
    </row>
    <row r="26" spans="1:28" x14ac:dyDescent="0.3">
      <c r="A26" s="3">
        <v>11</v>
      </c>
      <c r="B26" s="4"/>
      <c r="C26" s="6" t="s">
        <v>110</v>
      </c>
      <c r="D26" s="5"/>
      <c r="E26" s="5" t="s">
        <v>69</v>
      </c>
      <c r="F26" s="5" t="s">
        <v>73</v>
      </c>
      <c r="G26" s="5" t="s">
        <v>50</v>
      </c>
      <c r="H26" s="5" t="s">
        <v>54</v>
      </c>
      <c r="I26" s="5" t="s">
        <v>57</v>
      </c>
      <c r="J26" s="5" t="s">
        <v>67</v>
      </c>
      <c r="K26" s="5" t="s">
        <v>74</v>
      </c>
      <c r="L26" s="5" t="s">
        <v>59</v>
      </c>
      <c r="M26" s="5" t="s">
        <v>53</v>
      </c>
      <c r="N26" s="5" t="s">
        <v>56</v>
      </c>
      <c r="O26" s="5" t="s">
        <v>65</v>
      </c>
      <c r="P26" s="5" t="s">
        <v>66</v>
      </c>
      <c r="Q26" s="5" t="s">
        <v>52</v>
      </c>
      <c r="R26" s="5" t="s">
        <v>62</v>
      </c>
      <c r="S26" s="5" t="s">
        <v>71</v>
      </c>
      <c r="T26" s="1">
        <v>10</v>
      </c>
      <c r="U26" s="1">
        <v>27</v>
      </c>
      <c r="V26" s="1">
        <v>41</v>
      </c>
      <c r="AA26">
        <f t="shared" si="18"/>
        <v>24</v>
      </c>
      <c r="AB26">
        <f t="shared" si="6"/>
        <v>0</v>
      </c>
    </row>
    <row r="27" spans="1:28" ht="28.8" x14ac:dyDescent="0.3">
      <c r="A27" s="3">
        <v>12</v>
      </c>
      <c r="B27" s="4"/>
      <c r="C27" s="6" t="s">
        <v>25</v>
      </c>
      <c r="D27" s="5"/>
      <c r="E27" s="5" t="s">
        <v>69</v>
      </c>
      <c r="F27" s="5" t="s">
        <v>73</v>
      </c>
      <c r="G27" s="5" t="s">
        <v>50</v>
      </c>
      <c r="H27" s="5" t="s">
        <v>207</v>
      </c>
      <c r="I27" s="5" t="s">
        <v>57</v>
      </c>
      <c r="J27" s="5" t="s">
        <v>63</v>
      </c>
      <c r="K27" s="5" t="s">
        <v>64</v>
      </c>
      <c r="L27" s="5" t="s">
        <v>59</v>
      </c>
      <c r="M27" s="5" t="s">
        <v>53</v>
      </c>
      <c r="N27" s="5" t="s">
        <v>56</v>
      </c>
      <c r="O27" s="5" t="s">
        <v>65</v>
      </c>
      <c r="P27" s="5" t="s">
        <v>61</v>
      </c>
      <c r="Q27" s="5" t="s">
        <v>75</v>
      </c>
      <c r="R27" s="5" t="s">
        <v>208</v>
      </c>
      <c r="S27" s="5" t="s">
        <v>71</v>
      </c>
      <c r="T27" s="1">
        <v>10</v>
      </c>
      <c r="U27" s="1">
        <v>30</v>
      </c>
      <c r="V27" s="1">
        <v>39</v>
      </c>
      <c r="AA27">
        <f t="shared" si="18"/>
        <v>25</v>
      </c>
      <c r="AB27">
        <f t="shared" si="6"/>
        <v>0</v>
      </c>
    </row>
    <row r="28" spans="1:28" ht="28.8" x14ac:dyDescent="0.3">
      <c r="A28" s="3">
        <v>13</v>
      </c>
      <c r="B28" s="4"/>
      <c r="C28" s="6" t="s">
        <v>103</v>
      </c>
      <c r="D28" s="5"/>
      <c r="E28" s="5" t="s">
        <v>69</v>
      </c>
      <c r="F28" s="5" t="s">
        <v>73</v>
      </c>
      <c r="G28" s="5" t="s">
        <v>209</v>
      </c>
      <c r="H28" s="5" t="s">
        <v>54</v>
      </c>
      <c r="I28" s="5" t="s">
        <v>51</v>
      </c>
      <c r="J28" s="5" t="s">
        <v>67</v>
      </c>
      <c r="K28" s="5" t="s">
        <v>64</v>
      </c>
      <c r="L28" s="5" t="s">
        <v>60</v>
      </c>
      <c r="M28" s="5" t="s">
        <v>53</v>
      </c>
      <c r="N28" s="5" t="s">
        <v>48</v>
      </c>
      <c r="O28" s="5" t="s">
        <v>65</v>
      </c>
      <c r="P28" s="5" t="s">
        <v>66</v>
      </c>
      <c r="Q28" s="5" t="s">
        <v>52</v>
      </c>
      <c r="R28" s="5" t="s">
        <v>208</v>
      </c>
      <c r="S28" s="5" t="s">
        <v>71</v>
      </c>
      <c r="T28" s="1">
        <v>10</v>
      </c>
      <c r="U28" s="1">
        <v>28</v>
      </c>
      <c r="V28" s="1">
        <v>37</v>
      </c>
      <c r="AA28">
        <f t="shared" si="18"/>
        <v>26</v>
      </c>
      <c r="AB28">
        <f t="shared" si="6"/>
        <v>0</v>
      </c>
    </row>
    <row r="29" spans="1:28" x14ac:dyDescent="0.3">
      <c r="A29" s="3">
        <v>14</v>
      </c>
      <c r="B29" s="4"/>
      <c r="C29" s="6" t="s">
        <v>178</v>
      </c>
      <c r="D29" s="5"/>
      <c r="E29" s="5" t="s">
        <v>69</v>
      </c>
      <c r="F29" s="5" t="s">
        <v>73</v>
      </c>
      <c r="G29" s="5" t="s">
        <v>50</v>
      </c>
      <c r="H29" s="5" t="s">
        <v>54</v>
      </c>
      <c r="I29" s="5" t="s">
        <v>51</v>
      </c>
      <c r="J29" s="5" t="s">
        <v>67</v>
      </c>
      <c r="K29" s="5" t="s">
        <v>74</v>
      </c>
      <c r="L29" s="5" t="s">
        <v>59</v>
      </c>
      <c r="M29" s="5" t="s">
        <v>55</v>
      </c>
      <c r="N29" s="5" t="s">
        <v>48</v>
      </c>
      <c r="O29" s="5" t="s">
        <v>210</v>
      </c>
      <c r="P29" s="5" t="s">
        <v>61</v>
      </c>
      <c r="Q29" s="5" t="s">
        <v>52</v>
      </c>
      <c r="R29" s="5" t="s">
        <v>62</v>
      </c>
      <c r="S29" s="5" t="s">
        <v>71</v>
      </c>
      <c r="T29" s="1">
        <v>9</v>
      </c>
      <c r="U29" s="1">
        <v>30</v>
      </c>
      <c r="V29" s="1">
        <v>51</v>
      </c>
      <c r="AA29">
        <f t="shared" si="18"/>
        <v>27</v>
      </c>
      <c r="AB29">
        <f t="shared" si="6"/>
        <v>1</v>
      </c>
    </row>
    <row r="30" spans="1:28" ht="28.8" x14ac:dyDescent="0.3">
      <c r="A30" s="3">
        <v>15</v>
      </c>
      <c r="B30" s="4"/>
      <c r="C30" s="6" t="s">
        <v>22</v>
      </c>
      <c r="D30" s="5"/>
      <c r="E30" s="5" t="s">
        <v>69</v>
      </c>
      <c r="F30" s="5" t="s">
        <v>73</v>
      </c>
      <c r="G30" s="5" t="s">
        <v>50</v>
      </c>
      <c r="H30" s="5" t="s">
        <v>207</v>
      </c>
      <c r="I30" s="5" t="s">
        <v>57</v>
      </c>
      <c r="J30" s="5" t="s">
        <v>67</v>
      </c>
      <c r="K30" s="5" t="s">
        <v>74</v>
      </c>
      <c r="L30" s="5" t="s">
        <v>59</v>
      </c>
      <c r="M30" s="5" t="s">
        <v>55</v>
      </c>
      <c r="N30" s="5" t="s">
        <v>48</v>
      </c>
      <c r="O30" s="5" t="s">
        <v>65</v>
      </c>
      <c r="P30" s="5" t="s">
        <v>61</v>
      </c>
      <c r="Q30" s="5" t="s">
        <v>52</v>
      </c>
      <c r="R30" s="5" t="s">
        <v>208</v>
      </c>
      <c r="S30" s="5" t="s">
        <v>71</v>
      </c>
      <c r="T30" s="1">
        <v>9</v>
      </c>
      <c r="U30" s="1">
        <v>28</v>
      </c>
      <c r="V30" s="1">
        <v>49</v>
      </c>
      <c r="AA30">
        <f t="shared" si="18"/>
        <v>28</v>
      </c>
      <c r="AB30">
        <f t="shared" si="6"/>
        <v>0</v>
      </c>
    </row>
    <row r="31" spans="1:28" ht="28.8" x14ac:dyDescent="0.3">
      <c r="A31" s="3">
        <v>16</v>
      </c>
      <c r="B31" s="4"/>
      <c r="C31" s="6" t="s">
        <v>27</v>
      </c>
      <c r="D31" s="5"/>
      <c r="E31" s="5" t="s">
        <v>69</v>
      </c>
      <c r="F31" s="5" t="s">
        <v>73</v>
      </c>
      <c r="G31" s="5" t="s">
        <v>50</v>
      </c>
      <c r="H31" s="5" t="s">
        <v>207</v>
      </c>
      <c r="I31" s="5" t="s">
        <v>57</v>
      </c>
      <c r="J31" s="5" t="s">
        <v>67</v>
      </c>
      <c r="K31" s="5" t="s">
        <v>74</v>
      </c>
      <c r="L31" s="5" t="s">
        <v>60</v>
      </c>
      <c r="M31" s="5" t="s">
        <v>53</v>
      </c>
      <c r="N31" s="5" t="s">
        <v>48</v>
      </c>
      <c r="O31" s="5" t="s">
        <v>210</v>
      </c>
      <c r="P31" s="5" t="s">
        <v>61</v>
      </c>
      <c r="Q31" s="5" t="s">
        <v>52</v>
      </c>
      <c r="R31" s="5" t="s">
        <v>62</v>
      </c>
      <c r="S31" s="5" t="s">
        <v>71</v>
      </c>
      <c r="T31" s="1">
        <v>9</v>
      </c>
      <c r="U31" s="1">
        <v>30</v>
      </c>
      <c r="V31" s="1">
        <v>48</v>
      </c>
      <c r="AA31">
        <f t="shared" si="18"/>
        <v>29</v>
      </c>
      <c r="AB31">
        <f t="shared" si="6"/>
        <v>0</v>
      </c>
    </row>
    <row r="32" spans="1:28" ht="28.8" x14ac:dyDescent="0.3">
      <c r="A32" s="3">
        <v>17</v>
      </c>
      <c r="B32" s="4"/>
      <c r="C32" s="6" t="s">
        <v>147</v>
      </c>
      <c r="D32" s="5"/>
      <c r="E32" s="5" t="s">
        <v>69</v>
      </c>
      <c r="F32" s="5" t="s">
        <v>73</v>
      </c>
      <c r="G32" s="5" t="s">
        <v>50</v>
      </c>
      <c r="H32" s="5" t="s">
        <v>207</v>
      </c>
      <c r="I32" s="5" t="s">
        <v>51</v>
      </c>
      <c r="J32" s="5" t="s">
        <v>67</v>
      </c>
      <c r="K32" s="5" t="s">
        <v>74</v>
      </c>
      <c r="L32" s="5" t="s">
        <v>59</v>
      </c>
      <c r="M32" s="5" t="s">
        <v>53</v>
      </c>
      <c r="N32" s="5" t="s">
        <v>56</v>
      </c>
      <c r="O32" s="5" t="s">
        <v>65</v>
      </c>
      <c r="P32" s="5" t="s">
        <v>61</v>
      </c>
      <c r="Q32" s="5" t="s">
        <v>52</v>
      </c>
      <c r="R32" s="5" t="s">
        <v>208</v>
      </c>
      <c r="S32" s="5" t="s">
        <v>47</v>
      </c>
      <c r="T32" s="1">
        <v>9</v>
      </c>
      <c r="U32" s="1">
        <v>35</v>
      </c>
      <c r="V32" s="1">
        <v>47</v>
      </c>
      <c r="AA32">
        <f t="shared" si="18"/>
        <v>30</v>
      </c>
      <c r="AB32">
        <f t="shared" si="6"/>
        <v>0</v>
      </c>
    </row>
    <row r="33" spans="1:28" x14ac:dyDescent="0.3">
      <c r="A33" s="3">
        <v>18</v>
      </c>
      <c r="B33" s="4"/>
      <c r="C33" s="6" t="s">
        <v>189</v>
      </c>
      <c r="D33" s="5"/>
      <c r="E33" s="5" t="s">
        <v>69</v>
      </c>
      <c r="F33" s="5" t="s">
        <v>68</v>
      </c>
      <c r="G33" s="5" t="s">
        <v>209</v>
      </c>
      <c r="H33" s="5" t="s">
        <v>207</v>
      </c>
      <c r="I33" s="5" t="s">
        <v>51</v>
      </c>
      <c r="J33" s="5" t="s">
        <v>63</v>
      </c>
      <c r="K33" s="5" t="s">
        <v>74</v>
      </c>
      <c r="L33" s="5" t="s">
        <v>60</v>
      </c>
      <c r="M33" s="5" t="s">
        <v>55</v>
      </c>
      <c r="N33" s="5" t="s">
        <v>56</v>
      </c>
      <c r="O33" s="5" t="s">
        <v>65</v>
      </c>
      <c r="P33" s="5" t="s">
        <v>66</v>
      </c>
      <c r="Q33" s="5" t="s">
        <v>52</v>
      </c>
      <c r="R33" s="5" t="s">
        <v>62</v>
      </c>
      <c r="S33" s="5" t="s">
        <v>71</v>
      </c>
      <c r="T33" s="1">
        <v>9</v>
      </c>
      <c r="U33" s="1">
        <v>31</v>
      </c>
      <c r="V33" s="1">
        <v>46</v>
      </c>
      <c r="AA33">
        <f t="shared" si="18"/>
        <v>31</v>
      </c>
      <c r="AB33">
        <f t="shared" si="6"/>
        <v>2</v>
      </c>
    </row>
    <row r="34" spans="1:28" ht="28.8" x14ac:dyDescent="0.3">
      <c r="A34" s="3">
        <v>19</v>
      </c>
      <c r="B34" s="4"/>
      <c r="C34" s="6" t="s">
        <v>112</v>
      </c>
      <c r="D34" s="5"/>
      <c r="E34" s="5" t="s">
        <v>69</v>
      </c>
      <c r="F34" s="5" t="s">
        <v>73</v>
      </c>
      <c r="G34" s="5" t="s">
        <v>50</v>
      </c>
      <c r="H34" s="5" t="s">
        <v>207</v>
      </c>
      <c r="I34" s="5" t="s">
        <v>57</v>
      </c>
      <c r="J34" s="5" t="s">
        <v>67</v>
      </c>
      <c r="K34" s="5" t="s">
        <v>74</v>
      </c>
      <c r="L34" s="5" t="s">
        <v>59</v>
      </c>
      <c r="M34" s="5" t="s">
        <v>55</v>
      </c>
      <c r="N34" s="5" t="s">
        <v>56</v>
      </c>
      <c r="O34" s="5" t="s">
        <v>210</v>
      </c>
      <c r="P34" s="5" t="s">
        <v>66</v>
      </c>
      <c r="Q34" s="5" t="s">
        <v>52</v>
      </c>
      <c r="R34" s="5" t="s">
        <v>62</v>
      </c>
      <c r="S34" s="5" t="s">
        <v>71</v>
      </c>
      <c r="T34" s="1">
        <v>9</v>
      </c>
      <c r="U34" s="1">
        <v>29</v>
      </c>
      <c r="V34" s="1">
        <v>46</v>
      </c>
      <c r="AA34">
        <f t="shared" si="18"/>
        <v>32</v>
      </c>
      <c r="AB34">
        <f t="shared" si="6"/>
        <v>2</v>
      </c>
    </row>
    <row r="35" spans="1:28" ht="28.8" x14ac:dyDescent="0.3">
      <c r="A35" s="3">
        <v>20</v>
      </c>
      <c r="B35" s="4"/>
      <c r="C35" s="6" t="s">
        <v>41</v>
      </c>
      <c r="D35" s="5"/>
      <c r="E35" s="5" t="s">
        <v>69</v>
      </c>
      <c r="F35" s="5" t="s">
        <v>68</v>
      </c>
      <c r="G35" s="5" t="s">
        <v>50</v>
      </c>
      <c r="H35" s="5" t="s">
        <v>54</v>
      </c>
      <c r="I35" s="5" t="s">
        <v>57</v>
      </c>
      <c r="J35" s="5" t="s">
        <v>63</v>
      </c>
      <c r="K35" s="5" t="s">
        <v>74</v>
      </c>
      <c r="L35" s="5" t="s">
        <v>59</v>
      </c>
      <c r="M35" s="5" t="s">
        <v>55</v>
      </c>
      <c r="N35" s="5" t="s">
        <v>48</v>
      </c>
      <c r="O35" s="5" t="s">
        <v>65</v>
      </c>
      <c r="P35" s="5" t="s">
        <v>66</v>
      </c>
      <c r="Q35" s="5" t="s">
        <v>52</v>
      </c>
      <c r="R35" s="5" t="s">
        <v>208</v>
      </c>
      <c r="S35" s="5" t="s">
        <v>71</v>
      </c>
      <c r="T35" s="1">
        <v>9</v>
      </c>
      <c r="U35" s="1">
        <v>28</v>
      </c>
      <c r="V35" s="1">
        <v>46</v>
      </c>
      <c r="AA35">
        <f t="shared" si="18"/>
        <v>33</v>
      </c>
      <c r="AB35">
        <f t="shared" si="6"/>
        <v>1</v>
      </c>
    </row>
    <row r="36" spans="1:28" x14ac:dyDescent="0.3">
      <c r="A36" s="3">
        <v>21</v>
      </c>
      <c r="B36" s="4"/>
      <c r="C36" s="6" t="s">
        <v>91</v>
      </c>
      <c r="D36" s="5"/>
      <c r="E36" s="5" t="s">
        <v>69</v>
      </c>
      <c r="F36" s="5" t="s">
        <v>68</v>
      </c>
      <c r="G36" s="5" t="s">
        <v>50</v>
      </c>
      <c r="H36" s="5" t="s">
        <v>54</v>
      </c>
      <c r="I36" s="5" t="s">
        <v>51</v>
      </c>
      <c r="J36" s="5" t="s">
        <v>63</v>
      </c>
      <c r="K36" s="5" t="s">
        <v>64</v>
      </c>
      <c r="L36" s="5" t="s">
        <v>59</v>
      </c>
      <c r="M36" s="5" t="s">
        <v>55</v>
      </c>
      <c r="N36" s="5" t="s">
        <v>56</v>
      </c>
      <c r="O36" s="5" t="s">
        <v>210</v>
      </c>
      <c r="P36" s="5" t="s">
        <v>66</v>
      </c>
      <c r="Q36" s="5" t="s">
        <v>52</v>
      </c>
      <c r="R36" s="5" t="s">
        <v>208</v>
      </c>
      <c r="S36" s="5" t="s">
        <v>71</v>
      </c>
      <c r="T36" s="1">
        <v>9</v>
      </c>
      <c r="U36" s="1">
        <v>35</v>
      </c>
      <c r="V36" s="1">
        <v>45</v>
      </c>
      <c r="AA36">
        <f t="shared" si="18"/>
        <v>34</v>
      </c>
      <c r="AB36">
        <f t="shared" si="6"/>
        <v>1</v>
      </c>
    </row>
    <row r="37" spans="1:28" ht="28.8" x14ac:dyDescent="0.3">
      <c r="A37" s="3">
        <v>22</v>
      </c>
      <c r="B37" s="4"/>
      <c r="C37" s="6" t="s">
        <v>177</v>
      </c>
      <c r="D37" s="5"/>
      <c r="E37" s="5" t="s">
        <v>58</v>
      </c>
      <c r="F37" s="5" t="s">
        <v>73</v>
      </c>
      <c r="G37" s="5" t="s">
        <v>209</v>
      </c>
      <c r="H37" s="5" t="s">
        <v>207</v>
      </c>
      <c r="I37" s="5" t="s">
        <v>57</v>
      </c>
      <c r="J37" s="5" t="s">
        <v>63</v>
      </c>
      <c r="K37" s="5" t="s">
        <v>74</v>
      </c>
      <c r="L37" s="5" t="s">
        <v>60</v>
      </c>
      <c r="M37" s="5" t="s">
        <v>53</v>
      </c>
      <c r="N37" s="5" t="s">
        <v>48</v>
      </c>
      <c r="O37" s="5" t="s">
        <v>65</v>
      </c>
      <c r="P37" s="5" t="s">
        <v>61</v>
      </c>
      <c r="Q37" s="5" t="s">
        <v>52</v>
      </c>
      <c r="R37" s="5" t="s">
        <v>62</v>
      </c>
      <c r="S37" s="5" t="s">
        <v>71</v>
      </c>
      <c r="T37" s="1">
        <v>9</v>
      </c>
      <c r="U37" s="1">
        <v>29</v>
      </c>
      <c r="V37" s="1">
        <v>45</v>
      </c>
      <c r="AA37">
        <f t="shared" si="18"/>
        <v>35</v>
      </c>
      <c r="AB37">
        <f t="shared" si="6"/>
        <v>4</v>
      </c>
    </row>
    <row r="38" spans="1:28" x14ac:dyDescent="0.3">
      <c r="A38" s="3">
        <v>23</v>
      </c>
      <c r="B38" s="4"/>
      <c r="C38" s="6" t="s">
        <v>120</v>
      </c>
      <c r="D38" s="5"/>
      <c r="E38" s="5" t="s">
        <v>69</v>
      </c>
      <c r="F38" s="5" t="s">
        <v>73</v>
      </c>
      <c r="G38" s="5" t="s">
        <v>50</v>
      </c>
      <c r="H38" s="5" t="s">
        <v>207</v>
      </c>
      <c r="I38" s="5" t="s">
        <v>51</v>
      </c>
      <c r="J38" s="5" t="s">
        <v>67</v>
      </c>
      <c r="K38" s="5" t="s">
        <v>74</v>
      </c>
      <c r="L38" s="5" t="s">
        <v>60</v>
      </c>
      <c r="M38" s="5" t="s">
        <v>55</v>
      </c>
      <c r="N38" s="5" t="s">
        <v>56</v>
      </c>
      <c r="O38" s="5" t="s">
        <v>65</v>
      </c>
      <c r="P38" s="5" t="s">
        <v>66</v>
      </c>
      <c r="Q38" s="5" t="s">
        <v>75</v>
      </c>
      <c r="R38" s="5" t="s">
        <v>62</v>
      </c>
      <c r="S38" s="5" t="s">
        <v>71</v>
      </c>
      <c r="T38" s="1">
        <v>9</v>
      </c>
      <c r="U38" s="1">
        <v>27</v>
      </c>
      <c r="V38" s="1">
        <v>45</v>
      </c>
      <c r="AA38">
        <f t="shared" si="18"/>
        <v>36</v>
      </c>
      <c r="AB38">
        <f t="shared" si="6"/>
        <v>5</v>
      </c>
    </row>
    <row r="39" spans="1:28" ht="28.8" x14ac:dyDescent="0.3">
      <c r="A39" s="3">
        <v>24</v>
      </c>
      <c r="B39" s="4"/>
      <c r="C39" s="6" t="s">
        <v>167</v>
      </c>
      <c r="D39" s="5"/>
      <c r="E39" s="5" t="s">
        <v>69</v>
      </c>
      <c r="F39" s="5" t="s">
        <v>73</v>
      </c>
      <c r="G39" s="5" t="s">
        <v>209</v>
      </c>
      <c r="H39" s="5" t="s">
        <v>54</v>
      </c>
      <c r="I39" s="5" t="s">
        <v>51</v>
      </c>
      <c r="J39" s="5" t="s">
        <v>63</v>
      </c>
      <c r="K39" s="5" t="s">
        <v>74</v>
      </c>
      <c r="L39" s="5" t="s">
        <v>59</v>
      </c>
      <c r="M39" s="5" t="s">
        <v>55</v>
      </c>
      <c r="N39" s="5" t="s">
        <v>48</v>
      </c>
      <c r="O39" s="5" t="s">
        <v>65</v>
      </c>
      <c r="P39" s="5" t="s">
        <v>66</v>
      </c>
      <c r="Q39" s="5" t="s">
        <v>52</v>
      </c>
      <c r="R39" s="5" t="s">
        <v>208</v>
      </c>
      <c r="S39" s="5" t="s">
        <v>47</v>
      </c>
      <c r="T39" s="1">
        <v>9</v>
      </c>
      <c r="U39" s="1">
        <v>30</v>
      </c>
      <c r="V39" s="1">
        <v>44</v>
      </c>
      <c r="AA39">
        <f t="shared" si="18"/>
        <v>37</v>
      </c>
      <c r="AB39">
        <f t="shared" si="6"/>
        <v>4</v>
      </c>
    </row>
    <row r="40" spans="1:28" x14ac:dyDescent="0.3">
      <c r="A40" s="3">
        <v>25</v>
      </c>
      <c r="B40" s="4"/>
      <c r="C40" s="6" t="s">
        <v>194</v>
      </c>
      <c r="D40" s="5"/>
      <c r="E40" s="5" t="s">
        <v>69</v>
      </c>
      <c r="F40" s="5" t="s">
        <v>68</v>
      </c>
      <c r="G40" s="5" t="s">
        <v>209</v>
      </c>
      <c r="H40" s="5" t="s">
        <v>207</v>
      </c>
      <c r="I40" s="5" t="s">
        <v>57</v>
      </c>
      <c r="J40" s="5" t="s">
        <v>67</v>
      </c>
      <c r="K40" s="5" t="s">
        <v>74</v>
      </c>
      <c r="L40" s="5" t="s">
        <v>59</v>
      </c>
      <c r="M40" s="5" t="s">
        <v>53</v>
      </c>
      <c r="N40" s="5" t="s">
        <v>48</v>
      </c>
      <c r="O40" s="5" t="s">
        <v>210</v>
      </c>
      <c r="P40" s="5" t="s">
        <v>66</v>
      </c>
      <c r="Q40" s="5" t="s">
        <v>52</v>
      </c>
      <c r="R40" s="5" t="s">
        <v>62</v>
      </c>
      <c r="S40" s="5" t="s">
        <v>71</v>
      </c>
      <c r="T40" s="1">
        <v>9</v>
      </c>
      <c r="U40" s="1">
        <v>30</v>
      </c>
      <c r="V40" s="1">
        <v>44</v>
      </c>
      <c r="AA40">
        <f t="shared" si="18"/>
        <v>38</v>
      </c>
      <c r="AB40">
        <f t="shared" si="6"/>
        <v>1</v>
      </c>
    </row>
    <row r="41" spans="1:28" ht="43.2" x14ac:dyDescent="0.3">
      <c r="A41" s="3">
        <v>26</v>
      </c>
      <c r="B41" s="4"/>
      <c r="C41" s="6" t="s">
        <v>171</v>
      </c>
      <c r="D41" s="5"/>
      <c r="E41" s="5" t="s">
        <v>58</v>
      </c>
      <c r="F41" s="5" t="s">
        <v>73</v>
      </c>
      <c r="G41" s="5" t="s">
        <v>50</v>
      </c>
      <c r="H41" s="5" t="s">
        <v>207</v>
      </c>
      <c r="I41" s="5" t="s">
        <v>51</v>
      </c>
      <c r="J41" s="5" t="s">
        <v>63</v>
      </c>
      <c r="K41" s="5" t="s">
        <v>74</v>
      </c>
      <c r="L41" s="5" t="s">
        <v>59</v>
      </c>
      <c r="M41" s="5" t="s">
        <v>55</v>
      </c>
      <c r="N41" s="5" t="s">
        <v>56</v>
      </c>
      <c r="O41" s="5" t="s">
        <v>65</v>
      </c>
      <c r="P41" s="5" t="s">
        <v>66</v>
      </c>
      <c r="Q41" s="5" t="s">
        <v>75</v>
      </c>
      <c r="R41" s="5" t="s">
        <v>208</v>
      </c>
      <c r="S41" s="5" t="s">
        <v>71</v>
      </c>
      <c r="T41" s="1">
        <v>9</v>
      </c>
      <c r="U41" s="1">
        <v>28</v>
      </c>
      <c r="V41" s="1">
        <v>44</v>
      </c>
      <c r="AA41">
        <f t="shared" si="18"/>
        <v>39</v>
      </c>
      <c r="AB41">
        <f t="shared" si="6"/>
        <v>4</v>
      </c>
    </row>
    <row r="42" spans="1:28" x14ac:dyDescent="0.3">
      <c r="A42" s="3">
        <v>27</v>
      </c>
      <c r="B42" s="4"/>
      <c r="C42" s="6" t="s">
        <v>187</v>
      </c>
      <c r="D42" s="5"/>
      <c r="E42" s="5" t="s">
        <v>69</v>
      </c>
      <c r="F42" s="5" t="s">
        <v>73</v>
      </c>
      <c r="G42" s="5" t="s">
        <v>209</v>
      </c>
      <c r="H42" s="5" t="s">
        <v>207</v>
      </c>
      <c r="I42" s="5" t="s">
        <v>51</v>
      </c>
      <c r="J42" s="5" t="s">
        <v>67</v>
      </c>
      <c r="K42" s="5" t="s">
        <v>74</v>
      </c>
      <c r="L42" s="5" t="s">
        <v>59</v>
      </c>
      <c r="M42" s="5" t="s">
        <v>53</v>
      </c>
      <c r="N42" s="5" t="s">
        <v>48</v>
      </c>
      <c r="O42" s="5" t="s">
        <v>65</v>
      </c>
      <c r="P42" s="5" t="s">
        <v>61</v>
      </c>
      <c r="Q42" s="5" t="s">
        <v>75</v>
      </c>
      <c r="R42" s="5" t="s">
        <v>208</v>
      </c>
      <c r="S42" s="5" t="s">
        <v>71</v>
      </c>
      <c r="T42" s="1">
        <v>9</v>
      </c>
      <c r="U42" s="1">
        <v>27</v>
      </c>
      <c r="V42" s="1">
        <v>44</v>
      </c>
      <c r="AA42">
        <f t="shared" si="18"/>
        <v>40</v>
      </c>
      <c r="AB42">
        <f t="shared" si="6"/>
        <v>1</v>
      </c>
    </row>
    <row r="43" spans="1:28" x14ac:dyDescent="0.3">
      <c r="A43" s="3">
        <v>28</v>
      </c>
      <c r="B43" s="4"/>
      <c r="C43" s="6" t="s">
        <v>199</v>
      </c>
      <c r="D43" s="5"/>
      <c r="E43" s="5" t="s">
        <v>69</v>
      </c>
      <c r="F43" s="5" t="s">
        <v>68</v>
      </c>
      <c r="G43" s="5" t="s">
        <v>50</v>
      </c>
      <c r="H43" s="5" t="s">
        <v>207</v>
      </c>
      <c r="I43" s="5" t="s">
        <v>51</v>
      </c>
      <c r="J43" s="5" t="s">
        <v>67</v>
      </c>
      <c r="K43" s="5" t="s">
        <v>74</v>
      </c>
      <c r="L43" s="5" t="s">
        <v>59</v>
      </c>
      <c r="M43" s="5" t="s">
        <v>53</v>
      </c>
      <c r="N43" s="5" t="s">
        <v>48</v>
      </c>
      <c r="O43" s="5" t="s">
        <v>65</v>
      </c>
      <c r="P43" s="5" t="s">
        <v>61</v>
      </c>
      <c r="Q43" s="5" t="s">
        <v>75</v>
      </c>
      <c r="R43" s="5" t="s">
        <v>208</v>
      </c>
      <c r="S43" s="5" t="s">
        <v>71</v>
      </c>
      <c r="T43" s="1">
        <v>9</v>
      </c>
      <c r="U43" s="1">
        <v>26</v>
      </c>
      <c r="V43" s="1">
        <v>44</v>
      </c>
      <c r="AA43">
        <f t="shared" si="18"/>
        <v>41</v>
      </c>
      <c r="AB43">
        <f t="shared" si="6"/>
        <v>7</v>
      </c>
    </row>
    <row r="44" spans="1:28" x14ac:dyDescent="0.3">
      <c r="A44" s="3">
        <v>29</v>
      </c>
      <c r="B44" s="4"/>
      <c r="C44" s="6" t="s">
        <v>42</v>
      </c>
      <c r="D44" s="5"/>
      <c r="E44" s="5" t="s">
        <v>69</v>
      </c>
      <c r="F44" s="5" t="s">
        <v>68</v>
      </c>
      <c r="G44" s="5" t="s">
        <v>50</v>
      </c>
      <c r="H44" s="5" t="s">
        <v>207</v>
      </c>
      <c r="I44" s="5" t="s">
        <v>57</v>
      </c>
      <c r="J44" s="5" t="s">
        <v>67</v>
      </c>
      <c r="K44" s="5" t="s">
        <v>74</v>
      </c>
      <c r="L44" s="5" t="s">
        <v>59</v>
      </c>
      <c r="M44" s="5" t="s">
        <v>55</v>
      </c>
      <c r="N44" s="5" t="s">
        <v>48</v>
      </c>
      <c r="O44" s="5" t="s">
        <v>210</v>
      </c>
      <c r="P44" s="5" t="s">
        <v>66</v>
      </c>
      <c r="Q44" s="5" t="s">
        <v>52</v>
      </c>
      <c r="R44" s="5" t="s">
        <v>62</v>
      </c>
      <c r="S44" s="5" t="s">
        <v>71</v>
      </c>
      <c r="T44" s="1">
        <v>9</v>
      </c>
      <c r="U44" s="1">
        <v>25</v>
      </c>
      <c r="V44" s="1">
        <v>42</v>
      </c>
      <c r="AA44">
        <f t="shared" si="18"/>
        <v>42</v>
      </c>
      <c r="AB44">
        <f t="shared" si="6"/>
        <v>10</v>
      </c>
    </row>
    <row r="45" spans="1:28" ht="28.8" x14ac:dyDescent="0.3">
      <c r="A45" s="3">
        <v>30</v>
      </c>
      <c r="B45" s="4"/>
      <c r="C45" s="6" t="s">
        <v>198</v>
      </c>
      <c r="D45" s="5"/>
      <c r="E45" s="5" t="s">
        <v>58</v>
      </c>
      <c r="F45" s="5" t="s">
        <v>73</v>
      </c>
      <c r="G45" s="5" t="s">
        <v>50</v>
      </c>
      <c r="H45" s="5" t="s">
        <v>207</v>
      </c>
      <c r="I45" s="5" t="s">
        <v>51</v>
      </c>
      <c r="J45" s="5" t="s">
        <v>67</v>
      </c>
      <c r="K45" s="5" t="s">
        <v>74</v>
      </c>
      <c r="L45" s="5" t="s">
        <v>60</v>
      </c>
      <c r="M45" s="5" t="s">
        <v>53</v>
      </c>
      <c r="N45" s="5" t="s">
        <v>48</v>
      </c>
      <c r="O45" s="5" t="s">
        <v>210</v>
      </c>
      <c r="P45" s="5" t="s">
        <v>66</v>
      </c>
      <c r="Q45" s="5" t="s">
        <v>75</v>
      </c>
      <c r="R45" s="5" t="s">
        <v>62</v>
      </c>
      <c r="S45" s="5" t="s">
        <v>71</v>
      </c>
      <c r="T45" s="1">
        <v>9</v>
      </c>
      <c r="U45" s="1">
        <v>30</v>
      </c>
      <c r="V45" s="1">
        <v>42</v>
      </c>
      <c r="AA45">
        <f t="shared" si="18"/>
        <v>43</v>
      </c>
      <c r="AB45">
        <f t="shared" si="6"/>
        <v>6</v>
      </c>
    </row>
    <row r="46" spans="1:28" x14ac:dyDescent="0.3">
      <c r="A46" s="3">
        <v>31</v>
      </c>
      <c r="B46" s="4"/>
      <c r="C46" s="6" t="s">
        <v>161</v>
      </c>
      <c r="D46" s="5"/>
      <c r="E46" s="5" t="s">
        <v>58</v>
      </c>
      <c r="F46" s="5" t="s">
        <v>73</v>
      </c>
      <c r="G46" s="5" t="s">
        <v>209</v>
      </c>
      <c r="H46" s="5" t="s">
        <v>207</v>
      </c>
      <c r="I46" s="5" t="s">
        <v>51</v>
      </c>
      <c r="J46" s="5" t="s">
        <v>67</v>
      </c>
      <c r="K46" s="5" t="s">
        <v>64</v>
      </c>
      <c r="L46" s="5" t="s">
        <v>60</v>
      </c>
      <c r="M46" s="5" t="s">
        <v>53</v>
      </c>
      <c r="N46" s="5" t="s">
        <v>48</v>
      </c>
      <c r="O46" s="5" t="s">
        <v>210</v>
      </c>
      <c r="P46" s="5" t="s">
        <v>66</v>
      </c>
      <c r="Q46" s="5" t="s">
        <v>52</v>
      </c>
      <c r="R46" s="5" t="s">
        <v>208</v>
      </c>
      <c r="S46" s="5" t="s">
        <v>71</v>
      </c>
      <c r="T46" s="1">
        <v>9</v>
      </c>
      <c r="U46" s="1">
        <v>27</v>
      </c>
      <c r="V46" s="1">
        <v>41</v>
      </c>
      <c r="AA46">
        <f t="shared" si="18"/>
        <v>44</v>
      </c>
      <c r="AB46">
        <f t="shared" si="6"/>
        <v>16</v>
      </c>
    </row>
    <row r="47" spans="1:28" x14ac:dyDescent="0.3">
      <c r="A47" s="3">
        <v>32</v>
      </c>
      <c r="B47" s="4"/>
      <c r="C47" s="6" t="s">
        <v>23</v>
      </c>
      <c r="D47" s="5"/>
      <c r="E47" s="5" t="s">
        <v>69</v>
      </c>
      <c r="F47" s="5" t="s">
        <v>68</v>
      </c>
      <c r="G47" s="5" t="s">
        <v>50</v>
      </c>
      <c r="H47" s="5" t="s">
        <v>54</v>
      </c>
      <c r="I47" s="5" t="s">
        <v>57</v>
      </c>
      <c r="J47" s="5" t="s">
        <v>63</v>
      </c>
      <c r="K47" s="5" t="s">
        <v>74</v>
      </c>
      <c r="L47" s="5" t="s">
        <v>59</v>
      </c>
      <c r="M47" s="5" t="s">
        <v>55</v>
      </c>
      <c r="N47" s="5" t="s">
        <v>48</v>
      </c>
      <c r="O47" s="5" t="s">
        <v>65</v>
      </c>
      <c r="P47" s="5" t="s">
        <v>66</v>
      </c>
      <c r="Q47" s="5" t="s">
        <v>52</v>
      </c>
      <c r="R47" s="5" t="s">
        <v>208</v>
      </c>
      <c r="S47" s="5" t="s">
        <v>71</v>
      </c>
      <c r="T47" s="1">
        <v>9</v>
      </c>
      <c r="U47" s="1">
        <v>30</v>
      </c>
      <c r="V47" s="1">
        <v>41</v>
      </c>
      <c r="AA47">
        <f t="shared" si="18"/>
        <v>45</v>
      </c>
      <c r="AB47">
        <f t="shared" si="6"/>
        <v>13</v>
      </c>
    </row>
    <row r="48" spans="1:28" x14ac:dyDescent="0.3">
      <c r="A48" s="3">
        <v>33</v>
      </c>
      <c r="B48" s="4"/>
      <c r="C48" s="6" t="s">
        <v>142</v>
      </c>
      <c r="D48" s="5"/>
      <c r="E48" s="5" t="s">
        <v>58</v>
      </c>
      <c r="F48" s="5" t="s">
        <v>73</v>
      </c>
      <c r="G48" s="5" t="s">
        <v>50</v>
      </c>
      <c r="H48" s="5" t="s">
        <v>54</v>
      </c>
      <c r="I48" s="5" t="s">
        <v>51</v>
      </c>
      <c r="J48" s="5" t="s">
        <v>67</v>
      </c>
      <c r="K48" s="5" t="s">
        <v>74</v>
      </c>
      <c r="L48" s="5" t="s">
        <v>59</v>
      </c>
      <c r="M48" s="5" t="s">
        <v>53</v>
      </c>
      <c r="N48" s="5" t="s">
        <v>48</v>
      </c>
      <c r="O48" s="5" t="s">
        <v>65</v>
      </c>
      <c r="P48" s="5" t="s">
        <v>61</v>
      </c>
      <c r="Q48" s="5" t="s">
        <v>52</v>
      </c>
      <c r="R48" s="5" t="s">
        <v>208</v>
      </c>
      <c r="S48" s="5" t="s">
        <v>71</v>
      </c>
      <c r="T48" s="1">
        <v>9</v>
      </c>
      <c r="U48" s="1">
        <v>31</v>
      </c>
      <c r="V48" s="1">
        <v>40</v>
      </c>
      <c r="AA48">
        <f t="shared" si="18"/>
        <v>46</v>
      </c>
      <c r="AB48">
        <f t="shared" si="6"/>
        <v>15</v>
      </c>
    </row>
    <row r="49" spans="1:28" x14ac:dyDescent="0.3">
      <c r="A49" s="3">
        <v>34</v>
      </c>
      <c r="B49" s="4"/>
      <c r="C49" s="6" t="s">
        <v>145</v>
      </c>
      <c r="D49" s="5"/>
      <c r="E49" s="5" t="s">
        <v>69</v>
      </c>
      <c r="F49" s="5" t="s">
        <v>68</v>
      </c>
      <c r="G49" s="5" t="s">
        <v>50</v>
      </c>
      <c r="H49" s="5" t="s">
        <v>54</v>
      </c>
      <c r="I49" s="5" t="s">
        <v>57</v>
      </c>
      <c r="J49" s="5" t="s">
        <v>63</v>
      </c>
      <c r="K49" s="5" t="s">
        <v>74</v>
      </c>
      <c r="L49" s="5" t="s">
        <v>59</v>
      </c>
      <c r="M49" s="5" t="s">
        <v>55</v>
      </c>
      <c r="N49" s="5" t="s">
        <v>48</v>
      </c>
      <c r="O49" s="5" t="s">
        <v>65</v>
      </c>
      <c r="P49" s="5" t="s">
        <v>66</v>
      </c>
      <c r="Q49" s="5" t="s">
        <v>52</v>
      </c>
      <c r="R49" s="5" t="s">
        <v>208</v>
      </c>
      <c r="S49" s="5" t="s">
        <v>71</v>
      </c>
      <c r="T49" s="1">
        <v>9</v>
      </c>
      <c r="U49" s="1">
        <v>31</v>
      </c>
      <c r="V49" s="1">
        <v>36</v>
      </c>
      <c r="AA49">
        <f t="shared" si="18"/>
        <v>47</v>
      </c>
      <c r="AB49">
        <f t="shared" si="6"/>
        <v>11</v>
      </c>
    </row>
    <row r="50" spans="1:28" ht="28.8" x14ac:dyDescent="0.3">
      <c r="A50" s="3">
        <v>35</v>
      </c>
      <c r="B50" s="4"/>
      <c r="C50" s="6" t="s">
        <v>191</v>
      </c>
      <c r="D50" s="5"/>
      <c r="E50" s="5" t="s">
        <v>69</v>
      </c>
      <c r="F50" s="5" t="s">
        <v>68</v>
      </c>
      <c r="G50" s="5" t="s">
        <v>50</v>
      </c>
      <c r="H50" s="5" t="s">
        <v>207</v>
      </c>
      <c r="I50" s="5" t="s">
        <v>51</v>
      </c>
      <c r="J50" s="5" t="s">
        <v>63</v>
      </c>
      <c r="K50" s="5" t="s">
        <v>74</v>
      </c>
      <c r="L50" s="5" t="s">
        <v>60</v>
      </c>
      <c r="M50" s="5" t="s">
        <v>53</v>
      </c>
      <c r="N50" s="5" t="s">
        <v>56</v>
      </c>
      <c r="O50" s="5" t="s">
        <v>65</v>
      </c>
      <c r="P50" s="5" t="s">
        <v>61</v>
      </c>
      <c r="Q50" s="5" t="s">
        <v>75</v>
      </c>
      <c r="R50" s="5" t="s">
        <v>62</v>
      </c>
      <c r="S50" s="5" t="s">
        <v>71</v>
      </c>
      <c r="T50" s="1">
        <v>9</v>
      </c>
      <c r="U50" s="1">
        <v>32</v>
      </c>
      <c r="V50" s="1">
        <v>33</v>
      </c>
      <c r="AA50">
        <f t="shared" si="18"/>
        <v>48</v>
      </c>
      <c r="AB50">
        <f t="shared" si="6"/>
        <v>17</v>
      </c>
    </row>
    <row r="51" spans="1:28" ht="28.8" x14ac:dyDescent="0.3">
      <c r="A51" s="3">
        <v>36</v>
      </c>
      <c r="B51" s="4"/>
      <c r="C51" s="6" t="s">
        <v>192</v>
      </c>
      <c r="D51" s="5"/>
      <c r="E51" s="5" t="s">
        <v>58</v>
      </c>
      <c r="F51" s="5" t="s">
        <v>73</v>
      </c>
      <c r="G51" s="5" t="s">
        <v>50</v>
      </c>
      <c r="H51" s="5" t="s">
        <v>207</v>
      </c>
      <c r="I51" s="5" t="s">
        <v>51</v>
      </c>
      <c r="J51" s="5" t="s">
        <v>67</v>
      </c>
      <c r="K51" s="5" t="s">
        <v>74</v>
      </c>
      <c r="L51" s="5" t="s">
        <v>59</v>
      </c>
      <c r="M51" s="5" t="s">
        <v>55</v>
      </c>
      <c r="N51" s="5" t="s">
        <v>48</v>
      </c>
      <c r="O51" s="5" t="s">
        <v>210</v>
      </c>
      <c r="P51" s="5" t="s">
        <v>61</v>
      </c>
      <c r="Q51" s="5" t="s">
        <v>52</v>
      </c>
      <c r="R51" s="5" t="s">
        <v>62</v>
      </c>
      <c r="S51" s="5" t="s">
        <v>71</v>
      </c>
      <c r="T51" s="1">
        <v>9</v>
      </c>
      <c r="U51" s="1">
        <v>29</v>
      </c>
      <c r="V51" s="1">
        <v>32</v>
      </c>
      <c r="AA51">
        <f t="shared" si="18"/>
        <v>49</v>
      </c>
      <c r="AB51">
        <f t="shared" si="6"/>
        <v>9</v>
      </c>
    </row>
    <row r="52" spans="1:28" ht="28.8" x14ac:dyDescent="0.3">
      <c r="A52" s="3">
        <v>37</v>
      </c>
      <c r="B52" s="4"/>
      <c r="C52" s="6" t="s">
        <v>176</v>
      </c>
      <c r="D52" s="5"/>
      <c r="E52" s="5" t="s">
        <v>58</v>
      </c>
      <c r="F52" s="5" t="s">
        <v>73</v>
      </c>
      <c r="G52" s="5" t="s">
        <v>209</v>
      </c>
      <c r="H52" s="5" t="s">
        <v>207</v>
      </c>
      <c r="I52" s="5" t="s">
        <v>51</v>
      </c>
      <c r="J52" s="5" t="s">
        <v>67</v>
      </c>
      <c r="K52" s="5" t="s">
        <v>74</v>
      </c>
      <c r="L52" s="5" t="s">
        <v>59</v>
      </c>
      <c r="M52" s="5" t="s">
        <v>53</v>
      </c>
      <c r="N52" s="5" t="s">
        <v>48</v>
      </c>
      <c r="O52" s="5" t="s">
        <v>210</v>
      </c>
      <c r="P52" s="5" t="s">
        <v>66</v>
      </c>
      <c r="Q52" s="5" t="s">
        <v>75</v>
      </c>
      <c r="R52" s="5" t="s">
        <v>62</v>
      </c>
      <c r="S52" s="5" t="s">
        <v>47</v>
      </c>
      <c r="T52" s="1">
        <v>8</v>
      </c>
      <c r="U52" s="1">
        <v>30</v>
      </c>
      <c r="V52" s="1">
        <v>65</v>
      </c>
      <c r="AA52">
        <f t="shared" si="18"/>
        <v>50</v>
      </c>
      <c r="AB52">
        <f t="shared" si="6"/>
        <v>4</v>
      </c>
    </row>
    <row r="53" spans="1:28" x14ac:dyDescent="0.3">
      <c r="A53" s="3">
        <v>38</v>
      </c>
      <c r="B53" s="4"/>
      <c r="C53" s="6" t="s">
        <v>127</v>
      </c>
      <c r="D53" s="5"/>
      <c r="E53" s="5" t="s">
        <v>58</v>
      </c>
      <c r="F53" s="5" t="s">
        <v>68</v>
      </c>
      <c r="G53" s="5" t="s">
        <v>209</v>
      </c>
      <c r="H53" s="5" t="s">
        <v>207</v>
      </c>
      <c r="I53" s="5" t="s">
        <v>57</v>
      </c>
      <c r="J53" s="5" t="s">
        <v>67</v>
      </c>
      <c r="K53" s="5" t="s">
        <v>64</v>
      </c>
      <c r="L53" s="5" t="s">
        <v>59</v>
      </c>
      <c r="M53" s="5" t="s">
        <v>53</v>
      </c>
      <c r="N53" s="5" t="s">
        <v>48</v>
      </c>
      <c r="O53" s="5" t="s">
        <v>210</v>
      </c>
      <c r="P53" s="5" t="s">
        <v>66</v>
      </c>
      <c r="Q53" s="5" t="s">
        <v>75</v>
      </c>
      <c r="R53" s="5" t="s">
        <v>62</v>
      </c>
      <c r="S53" s="5" t="s">
        <v>71</v>
      </c>
      <c r="T53" s="1">
        <v>8</v>
      </c>
      <c r="U53" s="1">
        <v>28</v>
      </c>
      <c r="V53" s="1">
        <v>65</v>
      </c>
      <c r="AA53">
        <f t="shared" si="18"/>
        <v>51</v>
      </c>
      <c r="AB53">
        <f t="shared" si="6"/>
        <v>6</v>
      </c>
    </row>
    <row r="54" spans="1:28" x14ac:dyDescent="0.3">
      <c r="A54" s="3">
        <v>39</v>
      </c>
      <c r="B54" s="4"/>
      <c r="C54" s="6" t="s">
        <v>126</v>
      </c>
      <c r="D54" s="5"/>
      <c r="E54" s="5" t="s">
        <v>58</v>
      </c>
      <c r="F54" s="5" t="s">
        <v>73</v>
      </c>
      <c r="G54" s="5" t="s">
        <v>50</v>
      </c>
      <c r="H54" s="5" t="s">
        <v>54</v>
      </c>
      <c r="I54" s="5" t="s">
        <v>57</v>
      </c>
      <c r="J54" s="5" t="s">
        <v>67</v>
      </c>
      <c r="K54" s="5" t="s">
        <v>64</v>
      </c>
      <c r="L54" s="5" t="s">
        <v>59</v>
      </c>
      <c r="M54" s="5" t="s">
        <v>55</v>
      </c>
      <c r="N54" s="5" t="s">
        <v>48</v>
      </c>
      <c r="O54" s="5" t="s">
        <v>65</v>
      </c>
      <c r="P54" s="5" t="s">
        <v>66</v>
      </c>
      <c r="Q54" s="5" t="s">
        <v>52</v>
      </c>
      <c r="R54" s="5" t="s">
        <v>208</v>
      </c>
      <c r="S54" s="5" t="s">
        <v>47</v>
      </c>
      <c r="T54" s="1">
        <v>8</v>
      </c>
      <c r="U54" s="1">
        <v>28</v>
      </c>
      <c r="V54" s="1">
        <v>56</v>
      </c>
      <c r="AA54">
        <f t="shared" si="18"/>
        <v>52</v>
      </c>
      <c r="AB54">
        <f t="shared" si="6"/>
        <v>7</v>
      </c>
    </row>
    <row r="55" spans="1:28" x14ac:dyDescent="0.3">
      <c r="A55" s="3">
        <v>40</v>
      </c>
      <c r="B55" s="4"/>
      <c r="C55" s="6" t="s">
        <v>98</v>
      </c>
      <c r="D55" s="5"/>
      <c r="E55" s="5" t="s">
        <v>58</v>
      </c>
      <c r="F55" s="5" t="s">
        <v>68</v>
      </c>
      <c r="G55" s="5" t="s">
        <v>50</v>
      </c>
      <c r="H55" s="5" t="s">
        <v>207</v>
      </c>
      <c r="I55" s="5" t="s">
        <v>57</v>
      </c>
      <c r="J55" s="5" t="s">
        <v>63</v>
      </c>
      <c r="K55" s="5" t="s">
        <v>64</v>
      </c>
      <c r="L55" s="5" t="s">
        <v>60</v>
      </c>
      <c r="M55" s="5" t="s">
        <v>53</v>
      </c>
      <c r="N55" s="5" t="s">
        <v>56</v>
      </c>
      <c r="O55" s="5" t="s">
        <v>210</v>
      </c>
      <c r="P55" s="5" t="s">
        <v>61</v>
      </c>
      <c r="Q55" s="5" t="s">
        <v>52</v>
      </c>
      <c r="R55" s="5" t="s">
        <v>62</v>
      </c>
      <c r="S55" s="5" t="s">
        <v>71</v>
      </c>
      <c r="T55" s="1">
        <v>8</v>
      </c>
      <c r="U55" s="1">
        <v>32</v>
      </c>
      <c r="V55" s="1">
        <v>55</v>
      </c>
      <c r="AA55">
        <f t="shared" si="18"/>
        <v>53</v>
      </c>
      <c r="AB55">
        <f t="shared" si="6"/>
        <v>1</v>
      </c>
    </row>
    <row r="56" spans="1:28" ht="28.8" x14ac:dyDescent="0.3">
      <c r="A56" s="3">
        <v>41</v>
      </c>
      <c r="B56" s="4"/>
      <c r="C56" s="6" t="s">
        <v>184</v>
      </c>
      <c r="D56" s="5"/>
      <c r="E56" s="5" t="s">
        <v>69</v>
      </c>
      <c r="F56" s="5" t="s">
        <v>73</v>
      </c>
      <c r="G56" s="5" t="s">
        <v>209</v>
      </c>
      <c r="H56" s="5" t="s">
        <v>54</v>
      </c>
      <c r="I56" s="5" t="s">
        <v>51</v>
      </c>
      <c r="J56" s="5" t="s">
        <v>67</v>
      </c>
      <c r="K56" s="5" t="s">
        <v>74</v>
      </c>
      <c r="L56" s="5" t="s">
        <v>59</v>
      </c>
      <c r="M56" s="5" t="s">
        <v>53</v>
      </c>
      <c r="N56" s="5" t="s">
        <v>48</v>
      </c>
      <c r="O56" s="5" t="s">
        <v>65</v>
      </c>
      <c r="P56" s="5" t="s">
        <v>61</v>
      </c>
      <c r="Q56" s="5" t="s">
        <v>52</v>
      </c>
      <c r="R56" s="5" t="s">
        <v>208</v>
      </c>
      <c r="S56" s="5" t="s">
        <v>47</v>
      </c>
      <c r="T56" s="1">
        <v>8</v>
      </c>
      <c r="U56" s="1">
        <v>30</v>
      </c>
      <c r="V56" s="1">
        <v>54</v>
      </c>
      <c r="AA56">
        <f t="shared" si="18"/>
        <v>54</v>
      </c>
      <c r="AB56">
        <f t="shared" si="6"/>
        <v>4</v>
      </c>
    </row>
    <row r="57" spans="1:28" ht="28.8" x14ac:dyDescent="0.3">
      <c r="A57" s="3">
        <v>42</v>
      </c>
      <c r="B57" s="4"/>
      <c r="C57" s="6" t="s">
        <v>154</v>
      </c>
      <c r="D57" s="5"/>
      <c r="E57" s="5" t="s">
        <v>69</v>
      </c>
      <c r="F57" s="5" t="s">
        <v>73</v>
      </c>
      <c r="G57" s="5" t="s">
        <v>209</v>
      </c>
      <c r="H57" s="5" t="s">
        <v>207</v>
      </c>
      <c r="I57" s="5" t="s">
        <v>57</v>
      </c>
      <c r="J57" s="5" t="s">
        <v>67</v>
      </c>
      <c r="K57" s="5" t="s">
        <v>64</v>
      </c>
      <c r="L57" s="5" t="s">
        <v>59</v>
      </c>
      <c r="M57" s="5" t="s">
        <v>53</v>
      </c>
      <c r="N57" s="5" t="s">
        <v>56</v>
      </c>
      <c r="O57" s="5" t="s">
        <v>65</v>
      </c>
      <c r="P57" s="5" t="s">
        <v>61</v>
      </c>
      <c r="Q57" s="5" t="s">
        <v>75</v>
      </c>
      <c r="R57" s="5" t="s">
        <v>208</v>
      </c>
      <c r="S57" s="5" t="s">
        <v>71</v>
      </c>
      <c r="T57" s="1">
        <v>8</v>
      </c>
      <c r="U57" s="1">
        <v>29</v>
      </c>
      <c r="V57" s="1">
        <v>54</v>
      </c>
      <c r="AA57">
        <f t="shared" si="18"/>
        <v>55</v>
      </c>
      <c r="AB57">
        <f t="shared" si="6"/>
        <v>4</v>
      </c>
    </row>
    <row r="58" spans="1:28" ht="28.8" x14ac:dyDescent="0.3">
      <c r="A58" s="3">
        <v>43</v>
      </c>
      <c r="B58" s="4"/>
      <c r="C58" s="6" t="s">
        <v>123</v>
      </c>
      <c r="D58" s="5"/>
      <c r="E58" s="5" t="s">
        <v>69</v>
      </c>
      <c r="F58" s="5" t="s">
        <v>73</v>
      </c>
      <c r="G58" s="5" t="s">
        <v>50</v>
      </c>
      <c r="H58" s="5" t="s">
        <v>207</v>
      </c>
      <c r="I58" s="5" t="s">
        <v>57</v>
      </c>
      <c r="J58" s="5" t="s">
        <v>67</v>
      </c>
      <c r="K58" s="5" t="s">
        <v>74</v>
      </c>
      <c r="L58" s="5" t="s">
        <v>60</v>
      </c>
      <c r="M58" s="5" t="s">
        <v>55</v>
      </c>
      <c r="N58" s="5" t="s">
        <v>48</v>
      </c>
      <c r="O58" s="5" t="s">
        <v>65</v>
      </c>
      <c r="P58" s="5" t="s">
        <v>61</v>
      </c>
      <c r="Q58" s="5" t="s">
        <v>75</v>
      </c>
      <c r="R58" s="5" t="s">
        <v>62</v>
      </c>
      <c r="S58" s="5" t="s">
        <v>71</v>
      </c>
      <c r="T58" s="1">
        <v>8</v>
      </c>
      <c r="U58" s="1">
        <v>29</v>
      </c>
      <c r="V58" s="1">
        <v>53</v>
      </c>
      <c r="AA58">
        <f t="shared" si="18"/>
        <v>56</v>
      </c>
      <c r="AB58">
        <f t="shared" si="6"/>
        <v>3</v>
      </c>
    </row>
    <row r="59" spans="1:28" x14ac:dyDescent="0.3">
      <c r="A59" s="3">
        <v>44</v>
      </c>
      <c r="B59" s="4"/>
      <c r="C59" s="6" t="s">
        <v>118</v>
      </c>
      <c r="D59" s="5"/>
      <c r="E59" s="5" t="s">
        <v>58</v>
      </c>
      <c r="F59" s="5" t="s">
        <v>73</v>
      </c>
      <c r="G59" s="5" t="s">
        <v>209</v>
      </c>
      <c r="H59" s="5" t="s">
        <v>207</v>
      </c>
      <c r="I59" s="5" t="s">
        <v>57</v>
      </c>
      <c r="J59" s="5" t="s">
        <v>67</v>
      </c>
      <c r="K59" s="5" t="s">
        <v>64</v>
      </c>
      <c r="L59" s="5" t="s">
        <v>59</v>
      </c>
      <c r="M59" s="5" t="s">
        <v>53</v>
      </c>
      <c r="N59" s="5" t="s">
        <v>56</v>
      </c>
      <c r="O59" s="5" t="s">
        <v>65</v>
      </c>
      <c r="P59" s="5" t="s">
        <v>61</v>
      </c>
      <c r="Q59" s="5" t="s">
        <v>52</v>
      </c>
      <c r="R59" s="5" t="s">
        <v>208</v>
      </c>
      <c r="S59" s="5" t="s">
        <v>71</v>
      </c>
      <c r="T59" s="1">
        <v>8</v>
      </c>
      <c r="U59" s="1">
        <v>32</v>
      </c>
      <c r="V59" s="1">
        <v>52</v>
      </c>
      <c r="AA59">
        <f t="shared" si="18"/>
        <v>57</v>
      </c>
      <c r="AB59">
        <f t="shared" si="6"/>
        <v>0</v>
      </c>
    </row>
    <row r="60" spans="1:28" x14ac:dyDescent="0.3">
      <c r="A60" s="3">
        <v>45</v>
      </c>
      <c r="B60" s="4"/>
      <c r="C60" s="6" t="s">
        <v>21</v>
      </c>
      <c r="D60" s="5"/>
      <c r="E60" s="5" t="s">
        <v>58</v>
      </c>
      <c r="F60" s="5" t="s">
        <v>68</v>
      </c>
      <c r="G60" s="5" t="s">
        <v>50</v>
      </c>
      <c r="H60" s="5" t="s">
        <v>207</v>
      </c>
      <c r="I60" s="5" t="s">
        <v>51</v>
      </c>
      <c r="J60" s="5" t="s">
        <v>67</v>
      </c>
      <c r="K60" s="5" t="s">
        <v>64</v>
      </c>
      <c r="L60" s="5" t="s">
        <v>59</v>
      </c>
      <c r="M60" s="5" t="s">
        <v>55</v>
      </c>
      <c r="N60" s="5" t="s">
        <v>56</v>
      </c>
      <c r="O60" s="5" t="s">
        <v>65</v>
      </c>
      <c r="P60" s="5" t="s">
        <v>61</v>
      </c>
      <c r="Q60" s="5" t="s">
        <v>75</v>
      </c>
      <c r="R60" s="5" t="s">
        <v>62</v>
      </c>
      <c r="S60" s="5" t="s">
        <v>71</v>
      </c>
      <c r="T60" s="1">
        <v>8</v>
      </c>
      <c r="U60" s="1">
        <v>28</v>
      </c>
      <c r="V60" s="1">
        <v>51</v>
      </c>
      <c r="AA60">
        <f t="shared" si="18"/>
        <v>58</v>
      </c>
      <c r="AB60">
        <f t="shared" si="6"/>
        <v>1</v>
      </c>
    </row>
    <row r="61" spans="1:28" ht="28.8" x14ac:dyDescent="0.3">
      <c r="A61" s="3">
        <v>46</v>
      </c>
      <c r="B61" s="4"/>
      <c r="C61" s="6" t="s">
        <v>140</v>
      </c>
      <c r="D61" s="5"/>
      <c r="E61" s="5" t="s">
        <v>58</v>
      </c>
      <c r="F61" s="5" t="s">
        <v>68</v>
      </c>
      <c r="G61" s="5" t="s">
        <v>50</v>
      </c>
      <c r="H61" s="5" t="s">
        <v>54</v>
      </c>
      <c r="I61" s="5" t="s">
        <v>57</v>
      </c>
      <c r="J61" s="5" t="s">
        <v>63</v>
      </c>
      <c r="K61" s="5" t="s">
        <v>74</v>
      </c>
      <c r="L61" s="5" t="s">
        <v>59</v>
      </c>
      <c r="M61" s="5" t="s">
        <v>53</v>
      </c>
      <c r="N61" s="5" t="s">
        <v>56</v>
      </c>
      <c r="O61" s="5" t="s">
        <v>210</v>
      </c>
      <c r="P61" s="5" t="s">
        <v>66</v>
      </c>
      <c r="Q61" s="5" t="s">
        <v>52</v>
      </c>
      <c r="R61" s="5" t="s">
        <v>62</v>
      </c>
      <c r="S61" s="5" t="s">
        <v>71</v>
      </c>
      <c r="T61" s="1">
        <v>8</v>
      </c>
      <c r="U61" s="1">
        <v>31</v>
      </c>
      <c r="V61" s="1">
        <v>48</v>
      </c>
      <c r="AA61">
        <f t="shared" si="18"/>
        <v>59</v>
      </c>
      <c r="AB61">
        <f t="shared" si="6"/>
        <v>0</v>
      </c>
    </row>
    <row r="62" spans="1:28" x14ac:dyDescent="0.3">
      <c r="A62" s="3">
        <v>47</v>
      </c>
      <c r="B62" s="4"/>
      <c r="C62" s="6" t="s">
        <v>183</v>
      </c>
      <c r="D62" s="5"/>
      <c r="E62" s="5" t="s">
        <v>69</v>
      </c>
      <c r="F62" s="5" t="s">
        <v>68</v>
      </c>
      <c r="G62" s="5" t="s">
        <v>50</v>
      </c>
      <c r="H62" s="5" t="s">
        <v>54</v>
      </c>
      <c r="I62" s="5" t="s">
        <v>51</v>
      </c>
      <c r="J62" s="5" t="s">
        <v>67</v>
      </c>
      <c r="K62" s="5" t="s">
        <v>74</v>
      </c>
      <c r="L62" s="5" t="s">
        <v>59</v>
      </c>
      <c r="M62" s="5" t="s">
        <v>55</v>
      </c>
      <c r="N62" s="5" t="s">
        <v>56</v>
      </c>
      <c r="O62" s="5" t="s">
        <v>65</v>
      </c>
      <c r="P62" s="5" t="s">
        <v>66</v>
      </c>
      <c r="Q62" s="5" t="s">
        <v>52</v>
      </c>
      <c r="R62" s="5" t="s">
        <v>208</v>
      </c>
      <c r="S62" s="5" t="s">
        <v>71</v>
      </c>
      <c r="T62" s="1">
        <v>8</v>
      </c>
      <c r="U62" s="1">
        <v>35</v>
      </c>
      <c r="V62" s="1">
        <v>48</v>
      </c>
      <c r="AA62">
        <f t="shared" si="18"/>
        <v>60</v>
      </c>
      <c r="AB62">
        <f t="shared" si="6"/>
        <v>0</v>
      </c>
    </row>
    <row r="63" spans="1:28" ht="28.8" x14ac:dyDescent="0.3">
      <c r="A63" s="3">
        <v>48</v>
      </c>
      <c r="B63" s="4"/>
      <c r="C63" s="6" t="s">
        <v>32</v>
      </c>
      <c r="D63" s="5"/>
      <c r="E63" s="5" t="s">
        <v>58</v>
      </c>
      <c r="F63" s="5" t="s">
        <v>68</v>
      </c>
      <c r="G63" s="5" t="s">
        <v>50</v>
      </c>
      <c r="H63" s="5" t="s">
        <v>207</v>
      </c>
      <c r="I63" s="5" t="s">
        <v>57</v>
      </c>
      <c r="J63" s="5" t="s">
        <v>67</v>
      </c>
      <c r="K63" s="5" t="s">
        <v>74</v>
      </c>
      <c r="L63" s="5" t="s">
        <v>59</v>
      </c>
      <c r="M63" s="5" t="s">
        <v>55</v>
      </c>
      <c r="N63" s="5" t="s">
        <v>48</v>
      </c>
      <c r="O63" s="5" t="s">
        <v>65</v>
      </c>
      <c r="P63" s="5" t="s">
        <v>66</v>
      </c>
      <c r="Q63" s="5" t="s">
        <v>75</v>
      </c>
      <c r="R63" s="5" t="s">
        <v>62</v>
      </c>
      <c r="S63" s="5" t="s">
        <v>71</v>
      </c>
      <c r="T63" s="1">
        <v>8</v>
      </c>
      <c r="U63" s="1">
        <v>24</v>
      </c>
      <c r="V63" s="1">
        <v>47</v>
      </c>
      <c r="AA63">
        <f t="shared" si="18"/>
        <v>61</v>
      </c>
      <c r="AB63">
        <f t="shared" si="6"/>
        <v>0</v>
      </c>
    </row>
    <row r="64" spans="1:28" x14ac:dyDescent="0.3">
      <c r="A64" s="3">
        <v>49</v>
      </c>
      <c r="B64" s="4"/>
      <c r="C64" s="6" t="s">
        <v>97</v>
      </c>
      <c r="D64" s="5"/>
      <c r="E64" s="5" t="s">
        <v>58</v>
      </c>
      <c r="F64" s="5" t="s">
        <v>73</v>
      </c>
      <c r="G64" s="5" t="s">
        <v>50</v>
      </c>
      <c r="H64" s="5" t="s">
        <v>54</v>
      </c>
      <c r="I64" s="5" t="s">
        <v>57</v>
      </c>
      <c r="J64" s="5" t="s">
        <v>67</v>
      </c>
      <c r="K64" s="5" t="s">
        <v>74</v>
      </c>
      <c r="L64" s="5" t="s">
        <v>60</v>
      </c>
      <c r="M64" s="5" t="s">
        <v>53</v>
      </c>
      <c r="N64" s="5" t="s">
        <v>48</v>
      </c>
      <c r="O64" s="5" t="s">
        <v>65</v>
      </c>
      <c r="P64" s="5" t="s">
        <v>66</v>
      </c>
      <c r="Q64" s="5" t="s">
        <v>52</v>
      </c>
      <c r="R64" s="5" t="s">
        <v>208</v>
      </c>
      <c r="S64" s="5" t="s">
        <v>71</v>
      </c>
      <c r="T64" s="1">
        <v>8</v>
      </c>
      <c r="U64" s="1">
        <v>26</v>
      </c>
      <c r="V64" s="1">
        <v>47</v>
      </c>
      <c r="AA64">
        <f t="shared" si="18"/>
        <v>62</v>
      </c>
      <c r="AB64">
        <f t="shared" si="6"/>
        <v>0</v>
      </c>
    </row>
    <row r="65" spans="1:28" x14ac:dyDescent="0.3">
      <c r="A65" s="3">
        <v>50</v>
      </c>
      <c r="B65" s="4"/>
      <c r="C65" s="6" t="s">
        <v>83</v>
      </c>
      <c r="D65" s="5"/>
      <c r="E65" s="5" t="s">
        <v>58</v>
      </c>
      <c r="F65" s="5" t="s">
        <v>73</v>
      </c>
      <c r="G65" s="5" t="s">
        <v>50</v>
      </c>
      <c r="H65" s="5" t="s">
        <v>207</v>
      </c>
      <c r="I65" s="5" t="s">
        <v>57</v>
      </c>
      <c r="J65" s="5" t="s">
        <v>67</v>
      </c>
      <c r="K65" s="5" t="s">
        <v>74</v>
      </c>
      <c r="L65" s="5" t="s">
        <v>60</v>
      </c>
      <c r="M65" s="5" t="s">
        <v>55</v>
      </c>
      <c r="N65" s="5" t="s">
        <v>48</v>
      </c>
      <c r="O65" s="5" t="s">
        <v>65</v>
      </c>
      <c r="P65" s="5" t="s">
        <v>66</v>
      </c>
      <c r="Q65" s="5" t="s">
        <v>75</v>
      </c>
      <c r="R65" s="5" t="s">
        <v>62</v>
      </c>
      <c r="S65" s="5" t="s">
        <v>71</v>
      </c>
      <c r="T65" s="1">
        <v>8</v>
      </c>
      <c r="U65" s="1">
        <v>31</v>
      </c>
      <c r="V65" s="1">
        <v>47</v>
      </c>
      <c r="AA65">
        <f t="shared" si="18"/>
        <v>63</v>
      </c>
      <c r="AB65">
        <f t="shared" si="6"/>
        <v>0</v>
      </c>
    </row>
    <row r="66" spans="1:28" ht="28.8" x14ac:dyDescent="0.3">
      <c r="A66" s="3">
        <v>51</v>
      </c>
      <c r="B66" s="4"/>
      <c r="C66" s="6" t="s">
        <v>17</v>
      </c>
      <c r="D66" s="5"/>
      <c r="E66" s="5" t="s">
        <v>58</v>
      </c>
      <c r="F66" s="5" t="s">
        <v>73</v>
      </c>
      <c r="G66" s="5" t="s">
        <v>50</v>
      </c>
      <c r="H66" s="5" t="s">
        <v>54</v>
      </c>
      <c r="I66" s="5" t="s">
        <v>57</v>
      </c>
      <c r="J66" s="5" t="s">
        <v>67</v>
      </c>
      <c r="K66" s="5" t="s">
        <v>64</v>
      </c>
      <c r="L66" s="5" t="s">
        <v>59</v>
      </c>
      <c r="M66" s="5" t="s">
        <v>55</v>
      </c>
      <c r="N66" s="5" t="s">
        <v>56</v>
      </c>
      <c r="O66" s="5" t="s">
        <v>65</v>
      </c>
      <c r="P66" s="5" t="s">
        <v>66</v>
      </c>
      <c r="Q66" s="5" t="s">
        <v>52</v>
      </c>
      <c r="R66" s="5" t="s">
        <v>208</v>
      </c>
      <c r="S66" s="5" t="s">
        <v>71</v>
      </c>
      <c r="T66" s="1">
        <v>8</v>
      </c>
      <c r="U66" s="1">
        <v>35</v>
      </c>
      <c r="V66" s="1">
        <v>46</v>
      </c>
      <c r="AA66">
        <f t="shared" si="18"/>
        <v>64</v>
      </c>
      <c r="AB66">
        <f t="shared" si="6"/>
        <v>0</v>
      </c>
    </row>
    <row r="67" spans="1:28" x14ac:dyDescent="0.3">
      <c r="A67" s="3">
        <v>52</v>
      </c>
      <c r="B67" s="4"/>
      <c r="C67" s="6" t="s">
        <v>26</v>
      </c>
      <c r="D67" s="5"/>
      <c r="E67" s="5" t="s">
        <v>58</v>
      </c>
      <c r="F67" s="5" t="s">
        <v>73</v>
      </c>
      <c r="G67" s="5" t="s">
        <v>209</v>
      </c>
      <c r="H67" s="5" t="s">
        <v>54</v>
      </c>
      <c r="I67" s="5" t="s">
        <v>57</v>
      </c>
      <c r="J67" s="5" t="s">
        <v>63</v>
      </c>
      <c r="K67" s="5" t="s">
        <v>64</v>
      </c>
      <c r="L67" s="5" t="s">
        <v>60</v>
      </c>
      <c r="M67" s="5" t="s">
        <v>55</v>
      </c>
      <c r="N67" s="5" t="s">
        <v>48</v>
      </c>
      <c r="O67" s="5" t="s">
        <v>65</v>
      </c>
      <c r="P67" s="5" t="s">
        <v>66</v>
      </c>
      <c r="Q67" s="5" t="s">
        <v>52</v>
      </c>
      <c r="R67" s="5" t="s">
        <v>62</v>
      </c>
      <c r="S67" s="5" t="s">
        <v>47</v>
      </c>
      <c r="T67" s="1">
        <v>8</v>
      </c>
      <c r="U67" s="1">
        <v>29</v>
      </c>
      <c r="V67" s="1">
        <v>46</v>
      </c>
      <c r="AA67">
        <f t="shared" si="18"/>
        <v>65</v>
      </c>
      <c r="AB67">
        <f t="shared" ref="AB67:AB120" si="21">COUNTIF(V$16:V$179,AA67)</f>
        <v>2</v>
      </c>
    </row>
    <row r="68" spans="1:28" ht="28.8" x14ac:dyDescent="0.3">
      <c r="A68" s="3">
        <v>53</v>
      </c>
      <c r="B68" s="4"/>
      <c r="C68" s="6" t="s">
        <v>115</v>
      </c>
      <c r="D68" s="5"/>
      <c r="E68" s="5" t="s">
        <v>69</v>
      </c>
      <c r="F68" s="5" t="s">
        <v>73</v>
      </c>
      <c r="G68" s="5" t="s">
        <v>209</v>
      </c>
      <c r="H68" s="5" t="s">
        <v>54</v>
      </c>
      <c r="I68" s="5" t="s">
        <v>51</v>
      </c>
      <c r="J68" s="5" t="s">
        <v>67</v>
      </c>
      <c r="K68" s="5" t="s">
        <v>74</v>
      </c>
      <c r="L68" s="5" t="s">
        <v>59</v>
      </c>
      <c r="M68" s="5" t="s">
        <v>53</v>
      </c>
      <c r="N68" s="5" t="s">
        <v>56</v>
      </c>
      <c r="O68" s="5" t="s">
        <v>65</v>
      </c>
      <c r="P68" s="5" t="s">
        <v>61</v>
      </c>
      <c r="Q68" s="5" t="s">
        <v>52</v>
      </c>
      <c r="R68" s="5" t="s">
        <v>208</v>
      </c>
      <c r="S68" s="5" t="s">
        <v>71</v>
      </c>
      <c r="T68" s="1">
        <v>8</v>
      </c>
      <c r="U68" s="1">
        <v>27</v>
      </c>
      <c r="V68" s="1">
        <v>46</v>
      </c>
      <c r="AA68">
        <f t="shared" si="18"/>
        <v>66</v>
      </c>
      <c r="AB68">
        <f t="shared" si="21"/>
        <v>0</v>
      </c>
    </row>
    <row r="69" spans="1:28" ht="28.8" x14ac:dyDescent="0.3">
      <c r="A69" s="3">
        <v>54</v>
      </c>
      <c r="B69" s="4"/>
      <c r="C69" s="6" t="s">
        <v>193</v>
      </c>
      <c r="D69" s="5"/>
      <c r="E69" s="5" t="s">
        <v>69</v>
      </c>
      <c r="F69" s="5" t="s">
        <v>73</v>
      </c>
      <c r="G69" s="5" t="s">
        <v>50</v>
      </c>
      <c r="H69" s="5" t="s">
        <v>54</v>
      </c>
      <c r="I69" s="5" t="s">
        <v>57</v>
      </c>
      <c r="J69" s="5" t="s">
        <v>63</v>
      </c>
      <c r="K69" s="5" t="s">
        <v>74</v>
      </c>
      <c r="L69" s="5" t="s">
        <v>60</v>
      </c>
      <c r="M69" s="5" t="s">
        <v>55</v>
      </c>
      <c r="N69" s="5" t="s">
        <v>48</v>
      </c>
      <c r="O69" s="5" t="s">
        <v>210</v>
      </c>
      <c r="P69" s="5" t="s">
        <v>61</v>
      </c>
      <c r="Q69" s="5" t="s">
        <v>52</v>
      </c>
      <c r="R69" s="5" t="s">
        <v>62</v>
      </c>
      <c r="S69" s="5" t="s">
        <v>71</v>
      </c>
      <c r="T69" s="1">
        <v>8</v>
      </c>
      <c r="U69" s="1">
        <v>24</v>
      </c>
      <c r="V69" s="1">
        <v>46</v>
      </c>
      <c r="AA69">
        <f t="shared" si="18"/>
        <v>67</v>
      </c>
      <c r="AB69">
        <f t="shared" si="21"/>
        <v>0</v>
      </c>
    </row>
    <row r="70" spans="1:28" ht="28.8" x14ac:dyDescent="0.3">
      <c r="A70" s="3">
        <v>55</v>
      </c>
      <c r="B70" s="4"/>
      <c r="C70" s="6" t="s">
        <v>185</v>
      </c>
      <c r="D70" s="5"/>
      <c r="E70" s="5" t="s">
        <v>58</v>
      </c>
      <c r="F70" s="5" t="s">
        <v>73</v>
      </c>
      <c r="G70" s="5" t="s">
        <v>209</v>
      </c>
      <c r="H70" s="5" t="s">
        <v>54</v>
      </c>
      <c r="I70" s="5" t="s">
        <v>51</v>
      </c>
      <c r="J70" s="5" t="s">
        <v>63</v>
      </c>
      <c r="K70" s="5" t="s">
        <v>74</v>
      </c>
      <c r="L70" s="5" t="s">
        <v>60</v>
      </c>
      <c r="M70" s="5" t="s">
        <v>53</v>
      </c>
      <c r="N70" s="5" t="s">
        <v>56</v>
      </c>
      <c r="O70" s="5" t="s">
        <v>65</v>
      </c>
      <c r="P70" s="5" t="s">
        <v>66</v>
      </c>
      <c r="Q70" s="5" t="s">
        <v>75</v>
      </c>
      <c r="R70" s="5" t="s">
        <v>62</v>
      </c>
      <c r="S70" s="5" t="s">
        <v>71</v>
      </c>
      <c r="T70" s="1">
        <v>8</v>
      </c>
      <c r="U70" s="1">
        <v>26</v>
      </c>
      <c r="V70" s="1">
        <v>45</v>
      </c>
      <c r="AA70">
        <f t="shared" si="18"/>
        <v>68</v>
      </c>
      <c r="AB70">
        <f t="shared" si="21"/>
        <v>0</v>
      </c>
    </row>
    <row r="71" spans="1:28" ht="28.8" x14ac:dyDescent="0.3">
      <c r="A71" s="3">
        <v>56</v>
      </c>
      <c r="B71" s="4"/>
      <c r="C71" s="6" t="s">
        <v>174</v>
      </c>
      <c r="D71" s="5"/>
      <c r="E71" s="5" t="s">
        <v>69</v>
      </c>
      <c r="F71" s="5" t="s">
        <v>73</v>
      </c>
      <c r="G71" s="5" t="s">
        <v>209</v>
      </c>
      <c r="H71" s="5" t="s">
        <v>54</v>
      </c>
      <c r="I71" s="5" t="s">
        <v>57</v>
      </c>
      <c r="J71" s="5" t="s">
        <v>63</v>
      </c>
      <c r="K71" s="5" t="s">
        <v>74</v>
      </c>
      <c r="L71" s="5" t="s">
        <v>60</v>
      </c>
      <c r="M71" s="5" t="s">
        <v>53</v>
      </c>
      <c r="N71" s="5" t="s">
        <v>48</v>
      </c>
      <c r="O71" s="5" t="s">
        <v>65</v>
      </c>
      <c r="P71" s="5" t="s">
        <v>61</v>
      </c>
      <c r="Q71" s="5" t="s">
        <v>52</v>
      </c>
      <c r="R71" s="5" t="s">
        <v>208</v>
      </c>
      <c r="S71" s="5" t="s">
        <v>71</v>
      </c>
      <c r="T71" s="1">
        <v>8</v>
      </c>
      <c r="U71" s="1">
        <v>31</v>
      </c>
      <c r="V71" s="1">
        <v>45</v>
      </c>
      <c r="AA71">
        <f t="shared" ref="AA71:AA120" si="22">AA70+1</f>
        <v>69</v>
      </c>
      <c r="AB71">
        <f t="shared" si="21"/>
        <v>0</v>
      </c>
    </row>
    <row r="72" spans="1:28" x14ac:dyDescent="0.3">
      <c r="A72" s="3">
        <v>57</v>
      </c>
      <c r="B72" s="4"/>
      <c r="C72" s="6" t="s">
        <v>181</v>
      </c>
      <c r="D72" s="5"/>
      <c r="E72" s="5" t="s">
        <v>69</v>
      </c>
      <c r="F72" s="5" t="s">
        <v>73</v>
      </c>
      <c r="G72" s="5" t="s">
        <v>209</v>
      </c>
      <c r="H72" s="5" t="s">
        <v>207</v>
      </c>
      <c r="I72" s="5" t="s">
        <v>57</v>
      </c>
      <c r="J72" s="5" t="s">
        <v>67</v>
      </c>
      <c r="K72" s="5" t="s">
        <v>74</v>
      </c>
      <c r="L72" s="5" t="s">
        <v>59</v>
      </c>
      <c r="M72" s="5" t="s">
        <v>53</v>
      </c>
      <c r="N72" s="5" t="s">
        <v>48</v>
      </c>
      <c r="O72" s="5" t="s">
        <v>210</v>
      </c>
      <c r="P72" s="5" t="s">
        <v>61</v>
      </c>
      <c r="Q72" s="5" t="s">
        <v>52</v>
      </c>
      <c r="R72" s="5" t="s">
        <v>62</v>
      </c>
      <c r="S72" s="5" t="s">
        <v>47</v>
      </c>
      <c r="T72" s="1">
        <v>8</v>
      </c>
      <c r="U72" s="1">
        <v>25</v>
      </c>
      <c r="V72" s="1">
        <v>45</v>
      </c>
      <c r="AA72">
        <f t="shared" si="22"/>
        <v>70</v>
      </c>
      <c r="AB72">
        <f t="shared" si="21"/>
        <v>0</v>
      </c>
    </row>
    <row r="73" spans="1:28" x14ac:dyDescent="0.3">
      <c r="A73" s="3">
        <v>58</v>
      </c>
      <c r="B73" s="4"/>
      <c r="C73" s="6" t="s">
        <v>44</v>
      </c>
      <c r="D73" s="5"/>
      <c r="E73" s="5" t="s">
        <v>69</v>
      </c>
      <c r="F73" s="5" t="s">
        <v>73</v>
      </c>
      <c r="G73" s="5" t="s">
        <v>50</v>
      </c>
      <c r="H73" s="5" t="s">
        <v>207</v>
      </c>
      <c r="I73" s="5" t="s">
        <v>57</v>
      </c>
      <c r="J73" s="5" t="s">
        <v>67</v>
      </c>
      <c r="K73" s="5" t="s">
        <v>64</v>
      </c>
      <c r="L73" s="5" t="s">
        <v>60</v>
      </c>
      <c r="M73" s="5" t="s">
        <v>55</v>
      </c>
      <c r="N73" s="5" t="s">
        <v>56</v>
      </c>
      <c r="O73" s="5" t="s">
        <v>210</v>
      </c>
      <c r="P73" s="5" t="s">
        <v>66</v>
      </c>
      <c r="Q73" s="5" t="s">
        <v>52</v>
      </c>
      <c r="R73" s="5" t="s">
        <v>62</v>
      </c>
      <c r="S73" s="5" t="s">
        <v>47</v>
      </c>
      <c r="T73" s="1">
        <v>8</v>
      </c>
      <c r="U73" s="1">
        <v>34</v>
      </c>
      <c r="V73" s="1">
        <v>44</v>
      </c>
      <c r="AA73">
        <f t="shared" si="22"/>
        <v>71</v>
      </c>
      <c r="AB73">
        <f t="shared" si="21"/>
        <v>0</v>
      </c>
    </row>
    <row r="74" spans="1:28" x14ac:dyDescent="0.3">
      <c r="A74" s="3">
        <v>59</v>
      </c>
      <c r="B74" s="4"/>
      <c r="C74" s="6" t="s">
        <v>136</v>
      </c>
      <c r="D74" s="5"/>
      <c r="E74" s="5" t="s">
        <v>69</v>
      </c>
      <c r="F74" s="5" t="s">
        <v>73</v>
      </c>
      <c r="G74" s="5" t="s">
        <v>50</v>
      </c>
      <c r="H74" s="5" t="s">
        <v>207</v>
      </c>
      <c r="I74" s="5" t="s">
        <v>57</v>
      </c>
      <c r="J74" s="5" t="s">
        <v>63</v>
      </c>
      <c r="K74" s="5" t="s">
        <v>74</v>
      </c>
      <c r="L74" s="5" t="s">
        <v>59</v>
      </c>
      <c r="M74" s="5" t="s">
        <v>55</v>
      </c>
      <c r="N74" s="5" t="s">
        <v>56</v>
      </c>
      <c r="O74" s="5" t="s">
        <v>65</v>
      </c>
      <c r="P74" s="5" t="s">
        <v>61</v>
      </c>
      <c r="Q74" s="5" t="s">
        <v>75</v>
      </c>
      <c r="R74" s="5" t="s">
        <v>62</v>
      </c>
      <c r="S74" s="5" t="s">
        <v>47</v>
      </c>
      <c r="T74" s="1">
        <v>8</v>
      </c>
      <c r="U74" s="1">
        <v>25</v>
      </c>
      <c r="V74" s="1">
        <v>44</v>
      </c>
      <c r="AA74">
        <f t="shared" si="22"/>
        <v>72</v>
      </c>
      <c r="AB74">
        <f t="shared" si="21"/>
        <v>0</v>
      </c>
    </row>
    <row r="75" spans="1:28" ht="28.8" x14ac:dyDescent="0.3">
      <c r="A75" s="3">
        <v>60</v>
      </c>
      <c r="B75" s="4"/>
      <c r="C75" s="6" t="s">
        <v>90</v>
      </c>
      <c r="D75" s="5"/>
      <c r="E75" s="5" t="s">
        <v>58</v>
      </c>
      <c r="F75" s="5" t="s">
        <v>73</v>
      </c>
      <c r="G75" s="5" t="s">
        <v>50</v>
      </c>
      <c r="H75" s="5" t="s">
        <v>207</v>
      </c>
      <c r="I75" s="5" t="s">
        <v>51</v>
      </c>
      <c r="J75" s="5" t="s">
        <v>67</v>
      </c>
      <c r="K75" s="5" t="s">
        <v>74</v>
      </c>
      <c r="L75" s="5" t="s">
        <v>59</v>
      </c>
      <c r="M75" s="5" t="s">
        <v>53</v>
      </c>
      <c r="N75" s="5" t="s">
        <v>48</v>
      </c>
      <c r="O75" s="5" t="s">
        <v>210</v>
      </c>
      <c r="P75" s="5" t="s">
        <v>61</v>
      </c>
      <c r="Q75" s="5" t="s">
        <v>75</v>
      </c>
      <c r="R75" s="5" t="s">
        <v>208</v>
      </c>
      <c r="S75" s="5" t="s">
        <v>71</v>
      </c>
      <c r="T75" s="1">
        <v>8</v>
      </c>
      <c r="U75" s="1">
        <v>32</v>
      </c>
      <c r="V75" s="1">
        <v>44</v>
      </c>
      <c r="AA75">
        <f t="shared" si="22"/>
        <v>73</v>
      </c>
      <c r="AB75">
        <f t="shared" si="21"/>
        <v>0</v>
      </c>
    </row>
    <row r="76" spans="1:28" ht="28.8" x14ac:dyDescent="0.3">
      <c r="A76" s="3">
        <v>61</v>
      </c>
      <c r="B76" s="4"/>
      <c r="C76" s="6" t="s">
        <v>162</v>
      </c>
      <c r="D76" s="5"/>
      <c r="E76" s="5" t="s">
        <v>58</v>
      </c>
      <c r="F76" s="5" t="s">
        <v>68</v>
      </c>
      <c r="G76" s="5" t="s">
        <v>209</v>
      </c>
      <c r="H76" s="5" t="s">
        <v>207</v>
      </c>
      <c r="I76" s="5" t="s">
        <v>51</v>
      </c>
      <c r="J76" s="5" t="s">
        <v>63</v>
      </c>
      <c r="K76" s="5" t="s">
        <v>74</v>
      </c>
      <c r="L76" s="5" t="s">
        <v>59</v>
      </c>
      <c r="M76" s="5" t="s">
        <v>53</v>
      </c>
      <c r="N76" s="5" t="s">
        <v>48</v>
      </c>
      <c r="O76" s="5" t="s">
        <v>210</v>
      </c>
      <c r="P76" s="5" t="s">
        <v>66</v>
      </c>
      <c r="Q76" s="5" t="s">
        <v>75</v>
      </c>
      <c r="R76" s="5" t="s">
        <v>208</v>
      </c>
      <c r="S76" s="5" t="s">
        <v>71</v>
      </c>
      <c r="T76" s="1">
        <v>8</v>
      </c>
      <c r="U76" s="1">
        <v>33</v>
      </c>
      <c r="V76" s="1">
        <v>43</v>
      </c>
      <c r="AA76">
        <f t="shared" si="22"/>
        <v>74</v>
      </c>
      <c r="AB76">
        <f t="shared" si="21"/>
        <v>0</v>
      </c>
    </row>
    <row r="77" spans="1:28" ht="28.8" x14ac:dyDescent="0.3">
      <c r="A77" s="3">
        <v>62</v>
      </c>
      <c r="B77" s="4"/>
      <c r="C77" s="6" t="s">
        <v>36</v>
      </c>
      <c r="D77" s="5"/>
      <c r="E77" s="5" t="s">
        <v>69</v>
      </c>
      <c r="F77" s="5" t="s">
        <v>73</v>
      </c>
      <c r="G77" s="5" t="s">
        <v>50</v>
      </c>
      <c r="H77" s="5" t="s">
        <v>54</v>
      </c>
      <c r="I77" s="5" t="s">
        <v>57</v>
      </c>
      <c r="J77" s="5" t="s">
        <v>67</v>
      </c>
      <c r="K77" s="5" t="s">
        <v>74</v>
      </c>
      <c r="L77" s="5" t="s">
        <v>60</v>
      </c>
      <c r="M77" s="5" t="s">
        <v>53</v>
      </c>
      <c r="N77" s="5" t="s">
        <v>48</v>
      </c>
      <c r="O77" s="5" t="s">
        <v>65</v>
      </c>
      <c r="P77" s="5" t="s">
        <v>66</v>
      </c>
      <c r="Q77" s="5" t="s">
        <v>52</v>
      </c>
      <c r="R77" s="5" t="s">
        <v>208</v>
      </c>
      <c r="S77" s="5" t="s">
        <v>47</v>
      </c>
      <c r="T77" s="1">
        <v>8</v>
      </c>
      <c r="U77" s="1">
        <v>29</v>
      </c>
      <c r="V77" s="1">
        <v>42</v>
      </c>
      <c r="AA77">
        <f t="shared" si="22"/>
        <v>75</v>
      </c>
      <c r="AB77">
        <f t="shared" si="21"/>
        <v>0</v>
      </c>
    </row>
    <row r="78" spans="1:28" ht="28.8" x14ac:dyDescent="0.3">
      <c r="A78" s="3">
        <v>63</v>
      </c>
      <c r="B78" s="4"/>
      <c r="C78" s="6" t="s">
        <v>153</v>
      </c>
      <c r="D78" s="5"/>
      <c r="E78" s="5" t="s">
        <v>69</v>
      </c>
      <c r="F78" s="5" t="s">
        <v>73</v>
      </c>
      <c r="G78" s="5" t="s">
        <v>209</v>
      </c>
      <c r="H78" s="5" t="s">
        <v>207</v>
      </c>
      <c r="I78" s="5" t="s">
        <v>57</v>
      </c>
      <c r="J78" s="5" t="s">
        <v>63</v>
      </c>
      <c r="K78" s="5" t="s">
        <v>74</v>
      </c>
      <c r="L78" s="5" t="s">
        <v>59</v>
      </c>
      <c r="M78" s="5" t="s">
        <v>53</v>
      </c>
      <c r="N78" s="5" t="s">
        <v>48</v>
      </c>
      <c r="O78" s="5" t="s">
        <v>65</v>
      </c>
      <c r="P78" s="5" t="s">
        <v>61</v>
      </c>
      <c r="Q78" s="5" t="s">
        <v>75</v>
      </c>
      <c r="R78" s="5" t="s">
        <v>208</v>
      </c>
      <c r="S78" s="5" t="s">
        <v>47</v>
      </c>
      <c r="T78" s="1">
        <v>8</v>
      </c>
      <c r="U78" s="1">
        <v>25</v>
      </c>
      <c r="V78" s="1">
        <v>41</v>
      </c>
      <c r="AA78">
        <f t="shared" si="22"/>
        <v>76</v>
      </c>
      <c r="AB78">
        <f t="shared" si="21"/>
        <v>0</v>
      </c>
    </row>
    <row r="79" spans="1:28" ht="28.8" x14ac:dyDescent="0.3">
      <c r="A79" s="3">
        <v>64</v>
      </c>
      <c r="B79" s="4"/>
      <c r="C79" s="6" t="s">
        <v>124</v>
      </c>
      <c r="D79" s="5"/>
      <c r="E79" s="5" t="s">
        <v>69</v>
      </c>
      <c r="F79" s="5" t="s">
        <v>73</v>
      </c>
      <c r="G79" s="5" t="s">
        <v>209</v>
      </c>
      <c r="H79" s="5" t="s">
        <v>207</v>
      </c>
      <c r="I79" s="5" t="s">
        <v>51</v>
      </c>
      <c r="J79" s="5" t="s">
        <v>67</v>
      </c>
      <c r="K79" s="5" t="s">
        <v>74</v>
      </c>
      <c r="L79" s="5" t="s">
        <v>60</v>
      </c>
      <c r="M79" s="5" t="s">
        <v>55</v>
      </c>
      <c r="N79" s="5" t="s">
        <v>56</v>
      </c>
      <c r="O79" s="5" t="s">
        <v>65</v>
      </c>
      <c r="P79" s="5" t="s">
        <v>66</v>
      </c>
      <c r="Q79" s="5" t="s">
        <v>52</v>
      </c>
      <c r="R79" s="5" t="s">
        <v>208</v>
      </c>
      <c r="S79" s="5" t="s">
        <v>71</v>
      </c>
      <c r="T79" s="1">
        <v>8</v>
      </c>
      <c r="U79" s="1">
        <v>21</v>
      </c>
      <c r="V79" s="1">
        <v>39</v>
      </c>
      <c r="AA79">
        <f t="shared" si="22"/>
        <v>77</v>
      </c>
      <c r="AB79">
        <f t="shared" si="21"/>
        <v>0</v>
      </c>
    </row>
    <row r="80" spans="1:28" x14ac:dyDescent="0.3">
      <c r="A80" s="3">
        <v>65</v>
      </c>
      <c r="B80" s="4"/>
      <c r="C80" s="6" t="s">
        <v>14</v>
      </c>
      <c r="D80" s="5"/>
      <c r="E80" s="5" t="s">
        <v>58</v>
      </c>
      <c r="F80" s="5" t="s">
        <v>73</v>
      </c>
      <c r="G80" s="5" t="s">
        <v>209</v>
      </c>
      <c r="H80" s="5" t="s">
        <v>207</v>
      </c>
      <c r="I80" s="5" t="s">
        <v>57</v>
      </c>
      <c r="J80" s="5" t="s">
        <v>67</v>
      </c>
      <c r="K80" s="5" t="s">
        <v>74</v>
      </c>
      <c r="L80" s="5" t="s">
        <v>60</v>
      </c>
      <c r="M80" s="5" t="s">
        <v>53</v>
      </c>
      <c r="N80" s="5" t="s">
        <v>48</v>
      </c>
      <c r="O80" s="5" t="s">
        <v>210</v>
      </c>
      <c r="P80" s="5" t="s">
        <v>66</v>
      </c>
      <c r="Q80" s="5" t="s">
        <v>52</v>
      </c>
      <c r="R80" s="5" t="s">
        <v>62</v>
      </c>
      <c r="S80" s="5" t="s">
        <v>71</v>
      </c>
      <c r="T80" s="1">
        <v>8</v>
      </c>
      <c r="U80" s="1">
        <v>31</v>
      </c>
      <c r="V80" s="1">
        <v>39</v>
      </c>
      <c r="AA80">
        <f t="shared" si="22"/>
        <v>78</v>
      </c>
      <c r="AB80">
        <f t="shared" si="21"/>
        <v>0</v>
      </c>
    </row>
    <row r="81" spans="1:28" x14ac:dyDescent="0.3">
      <c r="A81" s="3">
        <v>66</v>
      </c>
      <c r="B81" s="4"/>
      <c r="C81" s="6" t="s">
        <v>121</v>
      </c>
      <c r="D81" s="5"/>
      <c r="E81" s="5" t="s">
        <v>69</v>
      </c>
      <c r="F81" s="5" t="s">
        <v>73</v>
      </c>
      <c r="G81" s="5" t="s">
        <v>209</v>
      </c>
      <c r="H81" s="5" t="s">
        <v>207</v>
      </c>
      <c r="I81" s="5" t="s">
        <v>51</v>
      </c>
      <c r="J81" s="5" t="s">
        <v>63</v>
      </c>
      <c r="K81" s="5" t="s">
        <v>74</v>
      </c>
      <c r="L81" s="5" t="s">
        <v>60</v>
      </c>
      <c r="M81" s="5" t="s">
        <v>53</v>
      </c>
      <c r="N81" s="5" t="s">
        <v>48</v>
      </c>
      <c r="O81" s="5" t="s">
        <v>210</v>
      </c>
      <c r="P81" s="5" t="s">
        <v>61</v>
      </c>
      <c r="Q81" s="5" t="s">
        <v>75</v>
      </c>
      <c r="R81" s="5" t="s">
        <v>208</v>
      </c>
      <c r="S81" s="5" t="s">
        <v>71</v>
      </c>
      <c r="T81" s="1">
        <v>8</v>
      </c>
      <c r="U81" s="1">
        <v>33</v>
      </c>
      <c r="V81" s="1">
        <v>36</v>
      </c>
      <c r="AA81">
        <f t="shared" si="22"/>
        <v>79</v>
      </c>
      <c r="AB81">
        <f t="shared" si="21"/>
        <v>0</v>
      </c>
    </row>
    <row r="82" spans="1:28" ht="28.8" x14ac:dyDescent="0.3">
      <c r="A82" s="3">
        <v>67</v>
      </c>
      <c r="B82" s="4"/>
      <c r="C82" s="6" t="s">
        <v>9</v>
      </c>
      <c r="D82" s="5"/>
      <c r="E82" s="5" t="s">
        <v>58</v>
      </c>
      <c r="F82" s="5" t="s">
        <v>73</v>
      </c>
      <c r="G82" s="5" t="s">
        <v>209</v>
      </c>
      <c r="H82" s="5" t="s">
        <v>207</v>
      </c>
      <c r="I82" s="5" t="s">
        <v>57</v>
      </c>
      <c r="J82" s="5" t="s">
        <v>67</v>
      </c>
      <c r="K82" s="5" t="s">
        <v>74</v>
      </c>
      <c r="L82" s="5" t="s">
        <v>60</v>
      </c>
      <c r="M82" s="5" t="s">
        <v>55</v>
      </c>
      <c r="N82" s="5" t="s">
        <v>48</v>
      </c>
      <c r="O82" s="5" t="s">
        <v>65</v>
      </c>
      <c r="P82" s="5" t="s">
        <v>61</v>
      </c>
      <c r="Q82" s="5" t="s">
        <v>52</v>
      </c>
      <c r="R82" s="5" t="s">
        <v>62</v>
      </c>
      <c r="S82" s="5" t="s">
        <v>71</v>
      </c>
      <c r="T82" s="1">
        <v>7</v>
      </c>
      <c r="U82" s="1">
        <v>27</v>
      </c>
      <c r="V82" s="1">
        <v>58</v>
      </c>
      <c r="AA82">
        <f t="shared" si="22"/>
        <v>80</v>
      </c>
      <c r="AB82">
        <f t="shared" si="21"/>
        <v>0</v>
      </c>
    </row>
    <row r="83" spans="1:28" ht="28.8" x14ac:dyDescent="0.3">
      <c r="A83" s="3">
        <v>68</v>
      </c>
      <c r="B83" s="4"/>
      <c r="C83" s="6" t="s">
        <v>117</v>
      </c>
      <c r="D83" s="5"/>
      <c r="E83" s="5" t="s">
        <v>69</v>
      </c>
      <c r="F83" s="5" t="s">
        <v>73</v>
      </c>
      <c r="G83" s="5" t="s">
        <v>50</v>
      </c>
      <c r="H83" s="5" t="s">
        <v>207</v>
      </c>
      <c r="I83" s="5" t="s">
        <v>57</v>
      </c>
      <c r="J83" s="5" t="s">
        <v>67</v>
      </c>
      <c r="K83" s="5" t="s">
        <v>74</v>
      </c>
      <c r="L83" s="5" t="s">
        <v>59</v>
      </c>
      <c r="M83" s="5" t="s">
        <v>55</v>
      </c>
      <c r="N83" s="5" t="s">
        <v>56</v>
      </c>
      <c r="O83" s="5" t="s">
        <v>65</v>
      </c>
      <c r="P83" s="5" t="s">
        <v>61</v>
      </c>
      <c r="Q83" s="5" t="s">
        <v>75</v>
      </c>
      <c r="R83" s="5" t="s">
        <v>208</v>
      </c>
      <c r="S83" s="5" t="s">
        <v>71</v>
      </c>
      <c r="T83" s="1">
        <v>7</v>
      </c>
      <c r="U83" s="1">
        <v>30</v>
      </c>
      <c r="V83" s="1">
        <v>55</v>
      </c>
      <c r="AA83">
        <f t="shared" si="22"/>
        <v>81</v>
      </c>
      <c r="AB83">
        <f t="shared" si="21"/>
        <v>0</v>
      </c>
    </row>
    <row r="84" spans="1:28" x14ac:dyDescent="0.3">
      <c r="A84" s="3">
        <v>69</v>
      </c>
      <c r="B84" s="4"/>
      <c r="C84" s="6" t="s">
        <v>111</v>
      </c>
      <c r="D84" s="5"/>
      <c r="E84" s="5" t="s">
        <v>69</v>
      </c>
      <c r="F84" s="5" t="s">
        <v>73</v>
      </c>
      <c r="G84" s="5" t="s">
        <v>209</v>
      </c>
      <c r="H84" s="5" t="s">
        <v>54</v>
      </c>
      <c r="I84" s="5" t="s">
        <v>51</v>
      </c>
      <c r="J84" s="5" t="s">
        <v>63</v>
      </c>
      <c r="K84" s="5" t="s">
        <v>74</v>
      </c>
      <c r="L84" s="5" t="s">
        <v>59</v>
      </c>
      <c r="M84" s="5" t="s">
        <v>55</v>
      </c>
      <c r="N84" s="5" t="s">
        <v>48</v>
      </c>
      <c r="O84" s="5" t="s">
        <v>210</v>
      </c>
      <c r="P84" s="5" t="s">
        <v>66</v>
      </c>
      <c r="Q84" s="5" t="s">
        <v>75</v>
      </c>
      <c r="R84" s="5" t="s">
        <v>208</v>
      </c>
      <c r="S84" s="5" t="s">
        <v>47</v>
      </c>
      <c r="T84" s="1">
        <v>7</v>
      </c>
      <c r="U84" s="1">
        <v>29</v>
      </c>
      <c r="V84" s="1">
        <v>52</v>
      </c>
      <c r="AA84">
        <f t="shared" si="22"/>
        <v>82</v>
      </c>
      <c r="AB84">
        <f t="shared" si="21"/>
        <v>0</v>
      </c>
    </row>
    <row r="85" spans="1:28" ht="28.8" x14ac:dyDescent="0.3">
      <c r="A85" s="3">
        <v>70</v>
      </c>
      <c r="B85" s="4"/>
      <c r="C85" s="6" t="s">
        <v>125</v>
      </c>
      <c r="D85" s="5"/>
      <c r="E85" s="5" t="s">
        <v>69</v>
      </c>
      <c r="F85" s="5" t="s">
        <v>73</v>
      </c>
      <c r="G85" s="5" t="s">
        <v>209</v>
      </c>
      <c r="H85" s="5" t="s">
        <v>207</v>
      </c>
      <c r="I85" s="5" t="s">
        <v>57</v>
      </c>
      <c r="J85" s="5" t="s">
        <v>67</v>
      </c>
      <c r="K85" s="5" t="s">
        <v>74</v>
      </c>
      <c r="L85" s="5" t="s">
        <v>59</v>
      </c>
      <c r="M85" s="5" t="s">
        <v>55</v>
      </c>
      <c r="N85" s="5" t="s">
        <v>48</v>
      </c>
      <c r="O85" s="5" t="s">
        <v>65</v>
      </c>
      <c r="P85" s="5" t="s">
        <v>61</v>
      </c>
      <c r="Q85" s="5" t="s">
        <v>75</v>
      </c>
      <c r="R85" s="5" t="s">
        <v>208</v>
      </c>
      <c r="S85" s="5" t="s">
        <v>71</v>
      </c>
      <c r="T85" s="1">
        <v>7</v>
      </c>
      <c r="U85" s="1">
        <v>30</v>
      </c>
      <c r="V85" s="1">
        <v>52</v>
      </c>
      <c r="AA85">
        <f t="shared" si="22"/>
        <v>83</v>
      </c>
      <c r="AB85">
        <f t="shared" si="21"/>
        <v>0</v>
      </c>
    </row>
    <row r="86" spans="1:28" x14ac:dyDescent="0.3">
      <c r="A86" s="3">
        <v>71</v>
      </c>
      <c r="B86" s="4"/>
      <c r="C86" s="6" t="s">
        <v>40</v>
      </c>
      <c r="D86" s="5"/>
      <c r="E86" s="5" t="s">
        <v>58</v>
      </c>
      <c r="F86" s="5" t="s">
        <v>68</v>
      </c>
      <c r="G86" s="5" t="s">
        <v>209</v>
      </c>
      <c r="H86" s="5" t="s">
        <v>54</v>
      </c>
      <c r="I86" s="5" t="s">
        <v>57</v>
      </c>
      <c r="J86" s="5" t="s">
        <v>63</v>
      </c>
      <c r="K86" s="5" t="s">
        <v>64</v>
      </c>
      <c r="L86" s="5" t="s">
        <v>59</v>
      </c>
      <c r="M86" s="5" t="s">
        <v>53</v>
      </c>
      <c r="N86" s="5" t="s">
        <v>56</v>
      </c>
      <c r="O86" s="5" t="s">
        <v>65</v>
      </c>
      <c r="P86" s="5" t="s">
        <v>61</v>
      </c>
      <c r="Q86" s="5" t="s">
        <v>52</v>
      </c>
      <c r="R86" s="5" t="s">
        <v>208</v>
      </c>
      <c r="S86" s="5" t="s">
        <v>71</v>
      </c>
      <c r="T86" s="1">
        <v>7</v>
      </c>
      <c r="U86" s="1">
        <v>30</v>
      </c>
      <c r="V86" s="1">
        <v>52</v>
      </c>
      <c r="AA86">
        <f t="shared" si="22"/>
        <v>84</v>
      </c>
      <c r="AB86">
        <f t="shared" si="21"/>
        <v>0</v>
      </c>
    </row>
    <row r="87" spans="1:28" ht="28.8" x14ac:dyDescent="0.3">
      <c r="A87" s="3">
        <v>72</v>
      </c>
      <c r="B87" s="4"/>
      <c r="C87" s="6" t="s">
        <v>164</v>
      </c>
      <c r="D87" s="5"/>
      <c r="E87" s="5" t="s">
        <v>69</v>
      </c>
      <c r="F87" s="5" t="s">
        <v>73</v>
      </c>
      <c r="G87" s="5" t="s">
        <v>209</v>
      </c>
      <c r="H87" s="5" t="s">
        <v>54</v>
      </c>
      <c r="I87" s="5" t="s">
        <v>57</v>
      </c>
      <c r="J87" s="5" t="s">
        <v>67</v>
      </c>
      <c r="K87" s="5" t="s">
        <v>74</v>
      </c>
      <c r="L87" s="5" t="s">
        <v>59</v>
      </c>
      <c r="M87" s="5" t="s">
        <v>53</v>
      </c>
      <c r="N87" s="5" t="s">
        <v>56</v>
      </c>
      <c r="O87" s="5" t="s">
        <v>65</v>
      </c>
      <c r="P87" s="5" t="s">
        <v>61</v>
      </c>
      <c r="Q87" s="5" t="s">
        <v>75</v>
      </c>
      <c r="R87" s="5" t="s">
        <v>62</v>
      </c>
      <c r="S87" s="5" t="s">
        <v>71</v>
      </c>
      <c r="T87" s="1">
        <v>7</v>
      </c>
      <c r="U87" s="1">
        <v>26</v>
      </c>
      <c r="V87" s="1">
        <v>52</v>
      </c>
      <c r="AA87">
        <f t="shared" si="22"/>
        <v>85</v>
      </c>
      <c r="AB87">
        <f t="shared" si="21"/>
        <v>0</v>
      </c>
    </row>
    <row r="88" spans="1:28" ht="28.8" x14ac:dyDescent="0.3">
      <c r="A88" s="3">
        <v>73</v>
      </c>
      <c r="B88" s="4"/>
      <c r="C88" s="6" t="s">
        <v>172</v>
      </c>
      <c r="D88" s="5"/>
      <c r="E88" s="5" t="s">
        <v>69</v>
      </c>
      <c r="F88" s="5" t="s">
        <v>73</v>
      </c>
      <c r="G88" s="5" t="s">
        <v>209</v>
      </c>
      <c r="H88" s="5" t="s">
        <v>207</v>
      </c>
      <c r="I88" s="5" t="s">
        <v>57</v>
      </c>
      <c r="J88" s="5" t="s">
        <v>67</v>
      </c>
      <c r="K88" s="5" t="s">
        <v>64</v>
      </c>
      <c r="L88" s="5" t="s">
        <v>60</v>
      </c>
      <c r="M88" s="5" t="s">
        <v>53</v>
      </c>
      <c r="N88" s="5" t="s">
        <v>48</v>
      </c>
      <c r="O88" s="5" t="s">
        <v>65</v>
      </c>
      <c r="P88" s="5" t="s">
        <v>61</v>
      </c>
      <c r="Q88" s="5" t="s">
        <v>75</v>
      </c>
      <c r="R88" s="5" t="s">
        <v>208</v>
      </c>
      <c r="S88" s="5" t="s">
        <v>47</v>
      </c>
      <c r="T88" s="1">
        <v>7</v>
      </c>
      <c r="U88" s="1">
        <v>28</v>
      </c>
      <c r="V88" s="1">
        <v>51</v>
      </c>
      <c r="AA88">
        <f t="shared" si="22"/>
        <v>86</v>
      </c>
      <c r="AB88">
        <f t="shared" si="21"/>
        <v>0</v>
      </c>
    </row>
    <row r="89" spans="1:28" x14ac:dyDescent="0.3">
      <c r="A89" s="3">
        <v>74</v>
      </c>
      <c r="B89" s="4"/>
      <c r="C89" s="6" t="s">
        <v>13</v>
      </c>
      <c r="D89" s="5"/>
      <c r="E89" s="5" t="s">
        <v>58</v>
      </c>
      <c r="F89" s="5" t="s">
        <v>73</v>
      </c>
      <c r="G89" s="5" t="s">
        <v>50</v>
      </c>
      <c r="H89" s="5" t="s">
        <v>54</v>
      </c>
      <c r="I89" s="5" t="s">
        <v>57</v>
      </c>
      <c r="J89" s="5" t="s">
        <v>67</v>
      </c>
      <c r="K89" s="5" t="s">
        <v>64</v>
      </c>
      <c r="L89" s="5" t="s">
        <v>59</v>
      </c>
      <c r="M89" s="5" t="s">
        <v>53</v>
      </c>
      <c r="N89" s="5" t="s">
        <v>48</v>
      </c>
      <c r="O89" s="5" t="s">
        <v>210</v>
      </c>
      <c r="P89" s="5" t="s">
        <v>66</v>
      </c>
      <c r="Q89" s="5" t="s">
        <v>75</v>
      </c>
      <c r="R89" s="5" t="s">
        <v>208</v>
      </c>
      <c r="S89" s="5" t="s">
        <v>47</v>
      </c>
      <c r="T89" s="1">
        <v>7</v>
      </c>
      <c r="U89" s="1">
        <v>33</v>
      </c>
      <c r="V89" s="1">
        <v>51</v>
      </c>
      <c r="AA89">
        <f t="shared" si="22"/>
        <v>87</v>
      </c>
      <c r="AB89">
        <f t="shared" si="21"/>
        <v>0</v>
      </c>
    </row>
    <row r="90" spans="1:28" ht="28.8" x14ac:dyDescent="0.3">
      <c r="A90" s="3">
        <v>75</v>
      </c>
      <c r="B90" s="4"/>
      <c r="C90" s="6" t="s">
        <v>113</v>
      </c>
      <c r="D90" s="5"/>
      <c r="E90" s="5" t="s">
        <v>69</v>
      </c>
      <c r="F90" s="5" t="s">
        <v>73</v>
      </c>
      <c r="G90" s="5" t="s">
        <v>50</v>
      </c>
      <c r="H90" s="5" t="s">
        <v>207</v>
      </c>
      <c r="I90" s="5" t="s">
        <v>57</v>
      </c>
      <c r="J90" s="5" t="s">
        <v>67</v>
      </c>
      <c r="K90" s="5" t="s">
        <v>74</v>
      </c>
      <c r="L90" s="5" t="s">
        <v>60</v>
      </c>
      <c r="M90" s="5" t="s">
        <v>55</v>
      </c>
      <c r="N90" s="5" t="s">
        <v>48</v>
      </c>
      <c r="O90" s="5" t="s">
        <v>210</v>
      </c>
      <c r="P90" s="5" t="s">
        <v>61</v>
      </c>
      <c r="Q90" s="5" t="s">
        <v>75</v>
      </c>
      <c r="R90" s="5" t="s">
        <v>62</v>
      </c>
      <c r="S90" s="5" t="s">
        <v>71</v>
      </c>
      <c r="T90" s="1">
        <v>7</v>
      </c>
      <c r="U90" s="1">
        <v>31</v>
      </c>
      <c r="V90" s="1">
        <v>50</v>
      </c>
      <c r="AA90">
        <f t="shared" si="22"/>
        <v>88</v>
      </c>
      <c r="AB90">
        <f t="shared" si="21"/>
        <v>0</v>
      </c>
    </row>
    <row r="91" spans="1:28" ht="28.8" x14ac:dyDescent="0.3">
      <c r="A91" s="3">
        <v>76</v>
      </c>
      <c r="B91" s="4"/>
      <c r="C91" s="6" t="s">
        <v>92</v>
      </c>
      <c r="D91" s="5"/>
      <c r="E91" s="5" t="s">
        <v>58</v>
      </c>
      <c r="F91" s="5" t="s">
        <v>73</v>
      </c>
      <c r="G91" s="5" t="s">
        <v>209</v>
      </c>
      <c r="H91" s="5" t="s">
        <v>207</v>
      </c>
      <c r="I91" s="5" t="s">
        <v>57</v>
      </c>
      <c r="J91" s="5" t="s">
        <v>67</v>
      </c>
      <c r="K91" s="5" t="s">
        <v>74</v>
      </c>
      <c r="L91" s="5" t="s">
        <v>59</v>
      </c>
      <c r="M91" s="5" t="s">
        <v>55</v>
      </c>
      <c r="N91" s="5" t="s">
        <v>48</v>
      </c>
      <c r="O91" s="5" t="s">
        <v>210</v>
      </c>
      <c r="P91" s="5" t="s">
        <v>66</v>
      </c>
      <c r="Q91" s="5" t="s">
        <v>75</v>
      </c>
      <c r="R91" s="5" t="s">
        <v>62</v>
      </c>
      <c r="S91" s="5" t="s">
        <v>71</v>
      </c>
      <c r="T91" s="1">
        <v>7</v>
      </c>
      <c r="U91" s="1">
        <v>29</v>
      </c>
      <c r="V91" s="1">
        <v>49</v>
      </c>
      <c r="AA91">
        <f t="shared" si="22"/>
        <v>89</v>
      </c>
      <c r="AB91">
        <f t="shared" si="21"/>
        <v>0</v>
      </c>
    </row>
    <row r="92" spans="1:28" ht="28.8" x14ac:dyDescent="0.3">
      <c r="A92" s="3">
        <v>77</v>
      </c>
      <c r="B92" s="4"/>
      <c r="C92" s="6" t="s">
        <v>104</v>
      </c>
      <c r="D92" s="5"/>
      <c r="E92" s="5" t="s">
        <v>58</v>
      </c>
      <c r="F92" s="5" t="s">
        <v>73</v>
      </c>
      <c r="G92" s="5" t="s">
        <v>209</v>
      </c>
      <c r="H92" s="5" t="s">
        <v>54</v>
      </c>
      <c r="I92" s="5" t="s">
        <v>57</v>
      </c>
      <c r="J92" s="5" t="s">
        <v>67</v>
      </c>
      <c r="K92" s="5" t="s">
        <v>74</v>
      </c>
      <c r="L92" s="5" t="s">
        <v>59</v>
      </c>
      <c r="M92" s="5" t="s">
        <v>55</v>
      </c>
      <c r="N92" s="5" t="s">
        <v>48</v>
      </c>
      <c r="O92" s="5" t="s">
        <v>65</v>
      </c>
      <c r="P92" s="5" t="s">
        <v>66</v>
      </c>
      <c r="Q92" s="5" t="s">
        <v>75</v>
      </c>
      <c r="R92" s="5" t="s">
        <v>62</v>
      </c>
      <c r="S92" s="5" t="s">
        <v>71</v>
      </c>
      <c r="T92" s="1">
        <v>7</v>
      </c>
      <c r="U92" s="1">
        <v>27</v>
      </c>
      <c r="V92" s="1">
        <v>49</v>
      </c>
      <c r="AA92">
        <f t="shared" si="22"/>
        <v>90</v>
      </c>
      <c r="AB92">
        <f t="shared" si="21"/>
        <v>0</v>
      </c>
    </row>
    <row r="93" spans="1:28" ht="28.8" x14ac:dyDescent="0.3">
      <c r="A93" s="3">
        <v>78</v>
      </c>
      <c r="B93" s="4"/>
      <c r="C93" s="6" t="s">
        <v>163</v>
      </c>
      <c r="D93" s="5"/>
      <c r="E93" s="5" t="s">
        <v>69</v>
      </c>
      <c r="F93" s="5" t="s">
        <v>73</v>
      </c>
      <c r="G93" s="5" t="s">
        <v>209</v>
      </c>
      <c r="H93" s="5" t="s">
        <v>207</v>
      </c>
      <c r="I93" s="5" t="s">
        <v>57</v>
      </c>
      <c r="J93" s="5" t="s">
        <v>67</v>
      </c>
      <c r="K93" s="5" t="s">
        <v>74</v>
      </c>
      <c r="L93" s="5" t="s">
        <v>59</v>
      </c>
      <c r="M93" s="5" t="s">
        <v>53</v>
      </c>
      <c r="N93" s="5" t="s">
        <v>56</v>
      </c>
      <c r="O93" s="5" t="s">
        <v>65</v>
      </c>
      <c r="P93" s="5" t="s">
        <v>61</v>
      </c>
      <c r="Q93" s="5" t="s">
        <v>75</v>
      </c>
      <c r="R93" s="5" t="s">
        <v>208</v>
      </c>
      <c r="S93" s="5" t="s">
        <v>71</v>
      </c>
      <c r="T93" s="1">
        <v>7</v>
      </c>
      <c r="U93" s="1">
        <v>27</v>
      </c>
      <c r="V93" s="1">
        <v>49</v>
      </c>
      <c r="AA93">
        <f t="shared" si="22"/>
        <v>91</v>
      </c>
      <c r="AB93">
        <f t="shared" si="21"/>
        <v>0</v>
      </c>
    </row>
    <row r="94" spans="1:28" ht="43.2" x14ac:dyDescent="0.3">
      <c r="A94" s="3">
        <v>79</v>
      </c>
      <c r="B94" s="4"/>
      <c r="C94" s="6" t="s">
        <v>132</v>
      </c>
      <c r="D94" s="5"/>
      <c r="E94" s="5" t="s">
        <v>58</v>
      </c>
      <c r="F94" s="5" t="s">
        <v>73</v>
      </c>
      <c r="G94" s="5" t="s">
        <v>209</v>
      </c>
      <c r="H94" s="5" t="s">
        <v>207</v>
      </c>
      <c r="I94" s="5" t="s">
        <v>57</v>
      </c>
      <c r="J94" s="5" t="s">
        <v>67</v>
      </c>
      <c r="K94" s="5" t="s">
        <v>74</v>
      </c>
      <c r="L94" s="5" t="s">
        <v>59</v>
      </c>
      <c r="M94" s="5" t="s">
        <v>53</v>
      </c>
      <c r="N94" s="5" t="s">
        <v>48</v>
      </c>
      <c r="O94" s="5" t="s">
        <v>210</v>
      </c>
      <c r="P94" s="5" t="s">
        <v>66</v>
      </c>
      <c r="Q94" s="5" t="s">
        <v>52</v>
      </c>
      <c r="R94" s="5" t="s">
        <v>208</v>
      </c>
      <c r="S94" s="5" t="s">
        <v>47</v>
      </c>
      <c r="T94" s="1">
        <v>7</v>
      </c>
      <c r="U94" s="1">
        <v>28</v>
      </c>
      <c r="V94" s="1">
        <v>48</v>
      </c>
      <c r="AA94">
        <f t="shared" si="22"/>
        <v>92</v>
      </c>
      <c r="AB94">
        <f t="shared" si="21"/>
        <v>0</v>
      </c>
    </row>
    <row r="95" spans="1:28" x14ac:dyDescent="0.3">
      <c r="A95" s="3">
        <v>80</v>
      </c>
      <c r="B95" s="4"/>
      <c r="C95" s="6" t="s">
        <v>45</v>
      </c>
      <c r="D95" s="5"/>
      <c r="E95" s="5" t="s">
        <v>69</v>
      </c>
      <c r="F95" s="5" t="s">
        <v>73</v>
      </c>
      <c r="G95" s="5" t="s">
        <v>209</v>
      </c>
      <c r="H95" s="5" t="s">
        <v>207</v>
      </c>
      <c r="I95" s="5" t="s">
        <v>57</v>
      </c>
      <c r="J95" s="5" t="s">
        <v>67</v>
      </c>
      <c r="K95" s="5" t="s">
        <v>74</v>
      </c>
      <c r="L95" s="5" t="s">
        <v>60</v>
      </c>
      <c r="M95" s="5" t="s">
        <v>53</v>
      </c>
      <c r="N95" s="5" t="s">
        <v>48</v>
      </c>
      <c r="O95" s="5" t="s">
        <v>65</v>
      </c>
      <c r="P95" s="5" t="s">
        <v>61</v>
      </c>
      <c r="Q95" s="5" t="s">
        <v>75</v>
      </c>
      <c r="R95" s="5" t="s">
        <v>208</v>
      </c>
      <c r="S95" s="5" t="s">
        <v>71</v>
      </c>
      <c r="T95" s="1">
        <v>7</v>
      </c>
      <c r="U95" s="1">
        <v>23</v>
      </c>
      <c r="V95" s="1">
        <v>48</v>
      </c>
      <c r="AA95">
        <f t="shared" si="22"/>
        <v>93</v>
      </c>
      <c r="AB95">
        <f t="shared" si="21"/>
        <v>0</v>
      </c>
    </row>
    <row r="96" spans="1:28" ht="28.8" x14ac:dyDescent="0.3">
      <c r="A96" s="3">
        <v>81</v>
      </c>
      <c r="B96" s="4"/>
      <c r="C96" s="6" t="s">
        <v>107</v>
      </c>
      <c r="D96" s="5"/>
      <c r="E96" s="5" t="s">
        <v>58</v>
      </c>
      <c r="F96" s="5" t="s">
        <v>73</v>
      </c>
      <c r="G96" s="5" t="s">
        <v>209</v>
      </c>
      <c r="H96" s="5" t="s">
        <v>207</v>
      </c>
      <c r="I96" s="5" t="s">
        <v>57</v>
      </c>
      <c r="J96" s="5" t="s">
        <v>67</v>
      </c>
      <c r="K96" s="5" t="s">
        <v>74</v>
      </c>
      <c r="L96" s="5" t="s">
        <v>60</v>
      </c>
      <c r="M96" s="5" t="s">
        <v>53</v>
      </c>
      <c r="N96" s="5" t="s">
        <v>48</v>
      </c>
      <c r="O96" s="5" t="s">
        <v>210</v>
      </c>
      <c r="P96" s="5" t="s">
        <v>66</v>
      </c>
      <c r="Q96" s="5" t="s">
        <v>52</v>
      </c>
      <c r="R96" s="5" t="s">
        <v>208</v>
      </c>
      <c r="S96" s="5" t="s">
        <v>71</v>
      </c>
      <c r="T96" s="1">
        <v>7</v>
      </c>
      <c r="U96" s="1">
        <v>27</v>
      </c>
      <c r="V96" s="1">
        <v>48</v>
      </c>
      <c r="AA96">
        <f t="shared" si="22"/>
        <v>94</v>
      </c>
      <c r="AB96">
        <f t="shared" si="21"/>
        <v>0</v>
      </c>
    </row>
    <row r="97" spans="1:28" x14ac:dyDescent="0.3">
      <c r="A97" s="3">
        <v>82</v>
      </c>
      <c r="B97" s="4"/>
      <c r="C97" s="6" t="s">
        <v>106</v>
      </c>
      <c r="D97" s="5"/>
      <c r="E97" s="5" t="s">
        <v>58</v>
      </c>
      <c r="F97" s="5" t="s">
        <v>73</v>
      </c>
      <c r="G97" s="5" t="s">
        <v>209</v>
      </c>
      <c r="H97" s="5" t="s">
        <v>207</v>
      </c>
      <c r="I97" s="5" t="s">
        <v>51</v>
      </c>
      <c r="J97" s="5" t="s">
        <v>67</v>
      </c>
      <c r="K97" s="5" t="s">
        <v>64</v>
      </c>
      <c r="L97" s="5" t="s">
        <v>60</v>
      </c>
      <c r="M97" s="5" t="s">
        <v>53</v>
      </c>
      <c r="N97" s="5" t="s">
        <v>56</v>
      </c>
      <c r="O97" s="5" t="s">
        <v>65</v>
      </c>
      <c r="P97" s="5" t="s">
        <v>61</v>
      </c>
      <c r="Q97" s="5" t="s">
        <v>75</v>
      </c>
      <c r="R97" s="5" t="s">
        <v>62</v>
      </c>
      <c r="S97" s="5" t="s">
        <v>47</v>
      </c>
      <c r="T97" s="1">
        <v>7</v>
      </c>
      <c r="U97" s="1">
        <v>33</v>
      </c>
      <c r="V97" s="1">
        <v>48</v>
      </c>
      <c r="AA97">
        <f t="shared" si="22"/>
        <v>95</v>
      </c>
      <c r="AB97">
        <f t="shared" si="21"/>
        <v>0</v>
      </c>
    </row>
    <row r="98" spans="1:28" x14ac:dyDescent="0.3">
      <c r="A98" s="3">
        <v>83</v>
      </c>
      <c r="B98" s="4"/>
      <c r="C98" s="6" t="s">
        <v>85</v>
      </c>
      <c r="D98" s="5"/>
      <c r="E98" s="5" t="s">
        <v>58</v>
      </c>
      <c r="F98" s="5" t="s">
        <v>68</v>
      </c>
      <c r="G98" s="5" t="s">
        <v>209</v>
      </c>
      <c r="H98" s="5" t="s">
        <v>207</v>
      </c>
      <c r="I98" s="5" t="s">
        <v>57</v>
      </c>
      <c r="J98" s="5" t="s">
        <v>63</v>
      </c>
      <c r="K98" s="5" t="s">
        <v>64</v>
      </c>
      <c r="L98" s="5" t="s">
        <v>59</v>
      </c>
      <c r="M98" s="5" t="s">
        <v>55</v>
      </c>
      <c r="N98" s="5" t="s">
        <v>56</v>
      </c>
      <c r="O98" s="5" t="s">
        <v>65</v>
      </c>
      <c r="P98" s="5" t="s">
        <v>61</v>
      </c>
      <c r="Q98" s="5" t="s">
        <v>75</v>
      </c>
      <c r="R98" s="5" t="s">
        <v>62</v>
      </c>
      <c r="S98" s="5" t="s">
        <v>71</v>
      </c>
      <c r="T98" s="1">
        <v>7</v>
      </c>
      <c r="U98" s="1">
        <v>35</v>
      </c>
      <c r="V98" s="1">
        <v>48</v>
      </c>
      <c r="AA98">
        <f t="shared" si="22"/>
        <v>96</v>
      </c>
      <c r="AB98">
        <f t="shared" si="21"/>
        <v>0</v>
      </c>
    </row>
    <row r="99" spans="1:28" x14ac:dyDescent="0.3">
      <c r="A99" s="3">
        <v>84</v>
      </c>
      <c r="B99" s="4"/>
      <c r="C99" s="6" t="s">
        <v>93</v>
      </c>
      <c r="D99" s="5"/>
      <c r="E99" s="5" t="s">
        <v>58</v>
      </c>
      <c r="F99" s="5" t="s">
        <v>73</v>
      </c>
      <c r="G99" s="5" t="s">
        <v>50</v>
      </c>
      <c r="H99" s="5" t="s">
        <v>54</v>
      </c>
      <c r="I99" s="5" t="s">
        <v>57</v>
      </c>
      <c r="J99" s="5" t="s">
        <v>67</v>
      </c>
      <c r="K99" s="5" t="s">
        <v>74</v>
      </c>
      <c r="L99" s="5" t="s">
        <v>59</v>
      </c>
      <c r="M99" s="5" t="s">
        <v>55</v>
      </c>
      <c r="N99" s="5" t="s">
        <v>48</v>
      </c>
      <c r="O99" s="5" t="s">
        <v>210</v>
      </c>
      <c r="P99" s="5" t="s">
        <v>66</v>
      </c>
      <c r="Q99" s="5" t="s">
        <v>52</v>
      </c>
      <c r="R99" s="5" t="s">
        <v>208</v>
      </c>
      <c r="S99" s="5" t="s">
        <v>71</v>
      </c>
      <c r="T99" s="1">
        <v>7</v>
      </c>
      <c r="U99" s="1">
        <v>30</v>
      </c>
      <c r="V99" s="1">
        <v>48</v>
      </c>
      <c r="AA99">
        <f t="shared" si="22"/>
        <v>97</v>
      </c>
      <c r="AB99">
        <f t="shared" si="21"/>
        <v>0</v>
      </c>
    </row>
    <row r="100" spans="1:28" x14ac:dyDescent="0.3">
      <c r="A100" s="3">
        <v>85</v>
      </c>
      <c r="B100" s="4"/>
      <c r="C100" s="6" t="s">
        <v>101</v>
      </c>
      <c r="D100" s="5"/>
      <c r="E100" s="5" t="s">
        <v>69</v>
      </c>
      <c r="F100" s="5" t="s">
        <v>73</v>
      </c>
      <c r="G100" s="5" t="s">
        <v>209</v>
      </c>
      <c r="H100" s="5" t="s">
        <v>54</v>
      </c>
      <c r="I100" s="5" t="s">
        <v>57</v>
      </c>
      <c r="J100" s="5" t="s">
        <v>63</v>
      </c>
      <c r="K100" s="5" t="s">
        <v>64</v>
      </c>
      <c r="L100" s="5" t="s">
        <v>60</v>
      </c>
      <c r="M100" s="5" t="s">
        <v>55</v>
      </c>
      <c r="N100" s="5" t="s">
        <v>48</v>
      </c>
      <c r="O100" s="5" t="s">
        <v>65</v>
      </c>
      <c r="P100" s="5" t="s">
        <v>61</v>
      </c>
      <c r="Q100" s="5" t="s">
        <v>75</v>
      </c>
      <c r="R100" s="5" t="s">
        <v>208</v>
      </c>
      <c r="S100" s="5" t="s">
        <v>71</v>
      </c>
      <c r="T100" s="1">
        <v>7</v>
      </c>
      <c r="U100" s="1">
        <v>30</v>
      </c>
      <c r="V100" s="1">
        <v>48</v>
      </c>
      <c r="AA100">
        <f t="shared" si="22"/>
        <v>98</v>
      </c>
      <c r="AB100">
        <f t="shared" si="21"/>
        <v>0</v>
      </c>
    </row>
    <row r="101" spans="1:28" x14ac:dyDescent="0.3">
      <c r="A101" s="3">
        <v>86</v>
      </c>
      <c r="B101" s="4"/>
      <c r="C101" s="6" t="s">
        <v>100</v>
      </c>
      <c r="D101" s="5"/>
      <c r="E101" s="5" t="s">
        <v>58</v>
      </c>
      <c r="F101" s="5" t="s">
        <v>68</v>
      </c>
      <c r="G101" s="5" t="s">
        <v>209</v>
      </c>
      <c r="H101" s="5" t="s">
        <v>54</v>
      </c>
      <c r="I101" s="5" t="s">
        <v>51</v>
      </c>
      <c r="J101" s="5" t="s">
        <v>67</v>
      </c>
      <c r="K101" s="5" t="s">
        <v>64</v>
      </c>
      <c r="L101" s="5" t="s">
        <v>59</v>
      </c>
      <c r="M101" s="5" t="s">
        <v>53</v>
      </c>
      <c r="N101" s="5" t="s">
        <v>56</v>
      </c>
      <c r="O101" s="5" t="s">
        <v>65</v>
      </c>
      <c r="P101" s="5" t="s">
        <v>66</v>
      </c>
      <c r="Q101" s="5" t="s">
        <v>75</v>
      </c>
      <c r="R101" s="5" t="s">
        <v>62</v>
      </c>
      <c r="S101" s="5" t="s">
        <v>47</v>
      </c>
      <c r="T101" s="1">
        <v>7</v>
      </c>
      <c r="U101" s="1">
        <v>28</v>
      </c>
      <c r="V101" s="1">
        <v>48</v>
      </c>
      <c r="AA101">
        <f t="shared" si="22"/>
        <v>99</v>
      </c>
      <c r="AB101">
        <f t="shared" si="21"/>
        <v>0</v>
      </c>
    </row>
    <row r="102" spans="1:28" x14ac:dyDescent="0.3">
      <c r="A102" s="3">
        <v>87</v>
      </c>
      <c r="B102" s="4"/>
      <c r="C102" s="6" t="s">
        <v>94</v>
      </c>
      <c r="D102" s="5"/>
      <c r="E102" s="5" t="s">
        <v>58</v>
      </c>
      <c r="F102" s="5" t="s">
        <v>73</v>
      </c>
      <c r="G102" s="5" t="s">
        <v>209</v>
      </c>
      <c r="H102" s="5" t="s">
        <v>207</v>
      </c>
      <c r="I102" s="5" t="s">
        <v>57</v>
      </c>
      <c r="J102" s="5" t="s">
        <v>67</v>
      </c>
      <c r="K102" s="5" t="s">
        <v>64</v>
      </c>
      <c r="L102" s="5" t="s">
        <v>59</v>
      </c>
      <c r="M102" s="5" t="s">
        <v>55</v>
      </c>
      <c r="N102" s="5" t="s">
        <v>48</v>
      </c>
      <c r="O102" s="5" t="s">
        <v>210</v>
      </c>
      <c r="P102" s="5" t="s">
        <v>66</v>
      </c>
      <c r="Q102" s="5" t="s">
        <v>75</v>
      </c>
      <c r="R102" s="5" t="s">
        <v>208</v>
      </c>
      <c r="S102" s="5" t="s">
        <v>71</v>
      </c>
      <c r="T102" s="1">
        <v>7</v>
      </c>
      <c r="U102" s="1">
        <v>35</v>
      </c>
      <c r="V102" s="1">
        <v>47</v>
      </c>
      <c r="AA102">
        <f t="shared" si="22"/>
        <v>100</v>
      </c>
      <c r="AB102">
        <f t="shared" si="21"/>
        <v>0</v>
      </c>
    </row>
    <row r="103" spans="1:28" ht="28.8" x14ac:dyDescent="0.3">
      <c r="A103" s="3">
        <v>88</v>
      </c>
      <c r="B103" s="4"/>
      <c r="C103" s="6" t="s">
        <v>24</v>
      </c>
      <c r="D103" s="5"/>
      <c r="E103" s="5" t="s">
        <v>69</v>
      </c>
      <c r="F103" s="5" t="s">
        <v>73</v>
      </c>
      <c r="G103" s="5" t="s">
        <v>209</v>
      </c>
      <c r="H103" s="5" t="s">
        <v>54</v>
      </c>
      <c r="I103" s="5" t="s">
        <v>57</v>
      </c>
      <c r="J103" s="5" t="s">
        <v>67</v>
      </c>
      <c r="K103" s="5" t="s">
        <v>74</v>
      </c>
      <c r="L103" s="5" t="s">
        <v>59</v>
      </c>
      <c r="M103" s="5" t="s">
        <v>53</v>
      </c>
      <c r="N103" s="5" t="s">
        <v>48</v>
      </c>
      <c r="O103" s="5" t="s">
        <v>210</v>
      </c>
      <c r="P103" s="5" t="s">
        <v>66</v>
      </c>
      <c r="Q103" s="5" t="s">
        <v>52</v>
      </c>
      <c r="R103" s="5" t="s">
        <v>208</v>
      </c>
      <c r="S103" s="5" t="s">
        <v>47</v>
      </c>
      <c r="T103" s="1">
        <v>7</v>
      </c>
      <c r="U103" s="1">
        <v>28</v>
      </c>
      <c r="V103" s="1">
        <v>47</v>
      </c>
      <c r="AA103">
        <f t="shared" si="22"/>
        <v>101</v>
      </c>
      <c r="AB103">
        <f t="shared" si="21"/>
        <v>0</v>
      </c>
    </row>
    <row r="104" spans="1:28" ht="28.8" x14ac:dyDescent="0.3">
      <c r="A104" s="3">
        <v>89</v>
      </c>
      <c r="B104" s="4"/>
      <c r="C104" s="6" t="s">
        <v>165</v>
      </c>
      <c r="D104" s="5"/>
      <c r="E104" s="5" t="s">
        <v>58</v>
      </c>
      <c r="F104" s="5" t="s">
        <v>68</v>
      </c>
      <c r="G104" s="5" t="s">
        <v>209</v>
      </c>
      <c r="H104" s="5" t="s">
        <v>207</v>
      </c>
      <c r="I104" s="5" t="s">
        <v>51</v>
      </c>
      <c r="J104" s="5" t="s">
        <v>63</v>
      </c>
      <c r="K104" s="5" t="s">
        <v>64</v>
      </c>
      <c r="L104" s="5" t="s">
        <v>59</v>
      </c>
      <c r="M104" s="5" t="s">
        <v>53</v>
      </c>
      <c r="N104" s="5" t="s">
        <v>56</v>
      </c>
      <c r="O104" s="5" t="s">
        <v>65</v>
      </c>
      <c r="P104" s="5" t="s">
        <v>61</v>
      </c>
      <c r="Q104" s="5" t="s">
        <v>75</v>
      </c>
      <c r="R104" s="5" t="s">
        <v>208</v>
      </c>
      <c r="S104" s="5" t="s">
        <v>47</v>
      </c>
      <c r="T104" s="1">
        <v>7</v>
      </c>
      <c r="U104" s="1">
        <v>31</v>
      </c>
      <c r="V104" s="1">
        <v>46</v>
      </c>
      <c r="AA104">
        <f t="shared" si="22"/>
        <v>102</v>
      </c>
      <c r="AB104">
        <f t="shared" si="21"/>
        <v>0</v>
      </c>
    </row>
    <row r="105" spans="1:28" ht="28.8" x14ac:dyDescent="0.3">
      <c r="A105" s="3">
        <v>90</v>
      </c>
      <c r="B105" s="4"/>
      <c r="C105" s="6" t="s">
        <v>99</v>
      </c>
      <c r="D105" s="5"/>
      <c r="E105" s="5" t="s">
        <v>69</v>
      </c>
      <c r="F105" s="5" t="s">
        <v>73</v>
      </c>
      <c r="G105" s="5" t="s">
        <v>209</v>
      </c>
      <c r="H105" s="5" t="s">
        <v>54</v>
      </c>
      <c r="I105" s="5" t="s">
        <v>57</v>
      </c>
      <c r="J105" s="5" t="s">
        <v>67</v>
      </c>
      <c r="K105" s="5" t="s">
        <v>64</v>
      </c>
      <c r="L105" s="5" t="s">
        <v>60</v>
      </c>
      <c r="M105" s="5" t="s">
        <v>55</v>
      </c>
      <c r="N105" s="5" t="s">
        <v>48</v>
      </c>
      <c r="O105" s="5" t="s">
        <v>210</v>
      </c>
      <c r="P105" s="5" t="s">
        <v>66</v>
      </c>
      <c r="Q105" s="5" t="s">
        <v>52</v>
      </c>
      <c r="R105" s="5" t="s">
        <v>208</v>
      </c>
      <c r="S105" s="5" t="s">
        <v>71</v>
      </c>
      <c r="T105" s="1">
        <v>7</v>
      </c>
      <c r="U105" s="1">
        <v>29</v>
      </c>
      <c r="V105" s="1">
        <v>46</v>
      </c>
      <c r="AA105">
        <f t="shared" si="22"/>
        <v>103</v>
      </c>
      <c r="AB105">
        <f t="shared" si="21"/>
        <v>0</v>
      </c>
    </row>
    <row r="106" spans="1:28" ht="28.8" x14ac:dyDescent="0.3">
      <c r="A106" s="3">
        <v>91</v>
      </c>
      <c r="B106" s="4"/>
      <c r="C106" s="6" t="s">
        <v>137</v>
      </c>
      <c r="D106" s="5"/>
      <c r="E106" s="5" t="s">
        <v>58</v>
      </c>
      <c r="F106" s="5" t="s">
        <v>73</v>
      </c>
      <c r="G106" s="5" t="s">
        <v>209</v>
      </c>
      <c r="H106" s="5" t="s">
        <v>207</v>
      </c>
      <c r="I106" s="5" t="s">
        <v>57</v>
      </c>
      <c r="J106" s="5" t="s">
        <v>67</v>
      </c>
      <c r="K106" s="5" t="s">
        <v>74</v>
      </c>
      <c r="L106" s="5" t="s">
        <v>60</v>
      </c>
      <c r="M106" s="5" t="s">
        <v>53</v>
      </c>
      <c r="N106" s="5" t="s">
        <v>48</v>
      </c>
      <c r="O106" s="5" t="s">
        <v>65</v>
      </c>
      <c r="P106" s="5" t="s">
        <v>61</v>
      </c>
      <c r="Q106" s="5" t="s">
        <v>75</v>
      </c>
      <c r="R106" s="5" t="s">
        <v>62</v>
      </c>
      <c r="S106" s="5" t="s">
        <v>71</v>
      </c>
      <c r="T106" s="1">
        <v>7</v>
      </c>
      <c r="U106" s="1">
        <v>27</v>
      </c>
      <c r="V106" s="1">
        <v>46</v>
      </c>
      <c r="AA106">
        <f t="shared" si="22"/>
        <v>104</v>
      </c>
      <c r="AB106">
        <f t="shared" si="21"/>
        <v>0</v>
      </c>
    </row>
    <row r="107" spans="1:28" x14ac:dyDescent="0.3">
      <c r="A107" s="3">
        <v>92</v>
      </c>
      <c r="B107" s="4"/>
      <c r="C107" s="6" t="s">
        <v>150</v>
      </c>
      <c r="D107" s="5"/>
      <c r="E107" s="5" t="s">
        <v>69</v>
      </c>
      <c r="F107" s="5" t="s">
        <v>73</v>
      </c>
      <c r="G107" s="5" t="s">
        <v>209</v>
      </c>
      <c r="H107" s="5" t="s">
        <v>54</v>
      </c>
      <c r="I107" s="5" t="s">
        <v>51</v>
      </c>
      <c r="J107" s="5" t="s">
        <v>67</v>
      </c>
      <c r="K107" s="5" t="s">
        <v>74</v>
      </c>
      <c r="L107" s="5" t="s">
        <v>59</v>
      </c>
      <c r="M107" s="5" t="s">
        <v>55</v>
      </c>
      <c r="N107" s="5" t="s">
        <v>56</v>
      </c>
      <c r="O107" s="5" t="s">
        <v>65</v>
      </c>
      <c r="P107" s="5" t="s">
        <v>61</v>
      </c>
      <c r="Q107" s="5" t="s">
        <v>52</v>
      </c>
      <c r="R107" s="5" t="s">
        <v>208</v>
      </c>
      <c r="S107" s="5" t="s">
        <v>71</v>
      </c>
      <c r="T107" s="1">
        <v>7</v>
      </c>
      <c r="U107" s="1">
        <v>24</v>
      </c>
      <c r="V107" s="1">
        <v>46</v>
      </c>
      <c r="AA107">
        <f t="shared" si="22"/>
        <v>105</v>
      </c>
      <c r="AB107">
        <f t="shared" si="21"/>
        <v>0</v>
      </c>
    </row>
    <row r="108" spans="1:28" x14ac:dyDescent="0.3">
      <c r="A108" s="3">
        <v>93</v>
      </c>
      <c r="B108" s="4"/>
      <c r="C108" s="6" t="s">
        <v>169</v>
      </c>
      <c r="D108" s="5"/>
      <c r="E108" s="5" t="s">
        <v>69</v>
      </c>
      <c r="F108" s="5" t="s">
        <v>68</v>
      </c>
      <c r="G108" s="5" t="s">
        <v>50</v>
      </c>
      <c r="H108" s="5" t="s">
        <v>54</v>
      </c>
      <c r="I108" s="5" t="s">
        <v>57</v>
      </c>
      <c r="J108" s="5" t="s">
        <v>67</v>
      </c>
      <c r="K108" s="5" t="s">
        <v>74</v>
      </c>
      <c r="L108" s="5" t="s">
        <v>59</v>
      </c>
      <c r="M108" s="5" t="s">
        <v>53</v>
      </c>
      <c r="N108" s="5" t="s">
        <v>48</v>
      </c>
      <c r="O108" s="5" t="s">
        <v>65</v>
      </c>
      <c r="P108" s="5" t="s">
        <v>61</v>
      </c>
      <c r="Q108" s="5" t="s">
        <v>52</v>
      </c>
      <c r="R108" s="5" t="s">
        <v>208</v>
      </c>
      <c r="S108" s="5" t="s">
        <v>47</v>
      </c>
      <c r="T108" s="1">
        <v>7</v>
      </c>
      <c r="U108" s="1">
        <v>28</v>
      </c>
      <c r="V108" s="1">
        <v>45</v>
      </c>
      <c r="AA108">
        <f t="shared" si="22"/>
        <v>106</v>
      </c>
      <c r="AB108">
        <f t="shared" si="21"/>
        <v>0</v>
      </c>
    </row>
    <row r="109" spans="1:28" ht="28.8" x14ac:dyDescent="0.3">
      <c r="A109" s="3">
        <v>94</v>
      </c>
      <c r="B109" s="4"/>
      <c r="C109" s="6" t="s">
        <v>146</v>
      </c>
      <c r="D109" s="5"/>
      <c r="E109" s="5" t="s">
        <v>69</v>
      </c>
      <c r="F109" s="5" t="s">
        <v>73</v>
      </c>
      <c r="G109" s="5" t="s">
        <v>209</v>
      </c>
      <c r="H109" s="5" t="s">
        <v>54</v>
      </c>
      <c r="I109" s="5" t="s">
        <v>57</v>
      </c>
      <c r="J109" s="5" t="s">
        <v>67</v>
      </c>
      <c r="K109" s="5" t="s">
        <v>64</v>
      </c>
      <c r="L109" s="5" t="s">
        <v>59</v>
      </c>
      <c r="M109" s="5" t="s">
        <v>55</v>
      </c>
      <c r="N109" s="5" t="s">
        <v>48</v>
      </c>
      <c r="O109" s="5" t="s">
        <v>210</v>
      </c>
      <c r="P109" s="5" t="s">
        <v>61</v>
      </c>
      <c r="Q109" s="5" t="s">
        <v>52</v>
      </c>
      <c r="R109" s="5" t="s">
        <v>208</v>
      </c>
      <c r="S109" s="5" t="s">
        <v>71</v>
      </c>
      <c r="T109" s="1">
        <v>7</v>
      </c>
      <c r="U109" s="1">
        <v>27</v>
      </c>
      <c r="V109" s="1">
        <v>44</v>
      </c>
      <c r="AA109">
        <f t="shared" si="22"/>
        <v>107</v>
      </c>
      <c r="AB109">
        <f t="shared" si="21"/>
        <v>0</v>
      </c>
    </row>
    <row r="110" spans="1:28" ht="28.8" x14ac:dyDescent="0.3">
      <c r="A110" s="3">
        <v>95</v>
      </c>
      <c r="B110" s="4"/>
      <c r="C110" s="6" t="s">
        <v>81</v>
      </c>
      <c r="D110" s="5"/>
      <c r="E110" s="5" t="s">
        <v>69</v>
      </c>
      <c r="F110" s="5" t="s">
        <v>68</v>
      </c>
      <c r="G110" s="5" t="s">
        <v>209</v>
      </c>
      <c r="H110" s="5" t="s">
        <v>207</v>
      </c>
      <c r="I110" s="5" t="s">
        <v>57</v>
      </c>
      <c r="J110" s="5" t="s">
        <v>63</v>
      </c>
      <c r="K110" s="5" t="s">
        <v>74</v>
      </c>
      <c r="L110" s="5" t="s">
        <v>60</v>
      </c>
      <c r="M110" s="5" t="s">
        <v>53</v>
      </c>
      <c r="N110" s="5" t="s">
        <v>48</v>
      </c>
      <c r="O110" s="5" t="s">
        <v>210</v>
      </c>
      <c r="P110" s="5" t="s">
        <v>61</v>
      </c>
      <c r="Q110" s="5" t="s">
        <v>75</v>
      </c>
      <c r="R110" s="5" t="s">
        <v>62</v>
      </c>
      <c r="S110" s="5" t="s">
        <v>71</v>
      </c>
      <c r="T110" s="1">
        <v>7</v>
      </c>
      <c r="U110" s="1">
        <v>32</v>
      </c>
      <c r="V110" s="1">
        <v>43</v>
      </c>
      <c r="AA110">
        <f t="shared" si="22"/>
        <v>108</v>
      </c>
      <c r="AB110">
        <f t="shared" si="21"/>
        <v>0</v>
      </c>
    </row>
    <row r="111" spans="1:28" x14ac:dyDescent="0.3">
      <c r="A111" s="3">
        <v>96</v>
      </c>
      <c r="B111" s="4"/>
      <c r="C111" s="6" t="s">
        <v>155</v>
      </c>
      <c r="D111" s="5"/>
      <c r="E111" s="5" t="s">
        <v>58</v>
      </c>
      <c r="F111" s="5" t="s">
        <v>73</v>
      </c>
      <c r="G111" s="5" t="s">
        <v>50</v>
      </c>
      <c r="H111" s="5" t="s">
        <v>207</v>
      </c>
      <c r="I111" s="5" t="s">
        <v>57</v>
      </c>
      <c r="J111" s="5" t="s">
        <v>67</v>
      </c>
      <c r="K111" s="5" t="s">
        <v>74</v>
      </c>
      <c r="L111" s="5" t="s">
        <v>60</v>
      </c>
      <c r="M111" s="5" t="s">
        <v>53</v>
      </c>
      <c r="N111" s="5" t="s">
        <v>48</v>
      </c>
      <c r="O111" s="5" t="s">
        <v>210</v>
      </c>
      <c r="P111" s="5" t="s">
        <v>66</v>
      </c>
      <c r="Q111" s="5" t="s">
        <v>75</v>
      </c>
      <c r="R111" s="5" t="s">
        <v>62</v>
      </c>
      <c r="S111" s="5" t="s">
        <v>47</v>
      </c>
      <c r="T111" s="1">
        <v>7</v>
      </c>
      <c r="U111" s="1">
        <v>26</v>
      </c>
      <c r="V111" s="1">
        <v>42</v>
      </c>
      <c r="AA111">
        <f t="shared" si="22"/>
        <v>109</v>
      </c>
      <c r="AB111">
        <f t="shared" si="21"/>
        <v>0</v>
      </c>
    </row>
    <row r="112" spans="1:28" ht="28.8" x14ac:dyDescent="0.3">
      <c r="A112" s="3">
        <v>97</v>
      </c>
      <c r="B112" s="4"/>
      <c r="C112" s="6" t="s">
        <v>30</v>
      </c>
      <c r="D112" s="5"/>
      <c r="E112" s="5" t="s">
        <v>58</v>
      </c>
      <c r="F112" s="5" t="s">
        <v>73</v>
      </c>
      <c r="G112" s="5" t="s">
        <v>209</v>
      </c>
      <c r="H112" s="5" t="s">
        <v>207</v>
      </c>
      <c r="I112" s="5" t="s">
        <v>57</v>
      </c>
      <c r="J112" s="5" t="s">
        <v>63</v>
      </c>
      <c r="K112" s="5" t="s">
        <v>64</v>
      </c>
      <c r="L112" s="5" t="s">
        <v>60</v>
      </c>
      <c r="M112" s="5" t="s">
        <v>55</v>
      </c>
      <c r="N112" s="5" t="s">
        <v>56</v>
      </c>
      <c r="O112" s="5" t="s">
        <v>65</v>
      </c>
      <c r="P112" s="5" t="s">
        <v>61</v>
      </c>
      <c r="Q112" s="5" t="s">
        <v>75</v>
      </c>
      <c r="R112" s="5" t="s">
        <v>62</v>
      </c>
      <c r="S112" s="5" t="s">
        <v>71</v>
      </c>
      <c r="T112" s="1">
        <v>7</v>
      </c>
      <c r="U112" s="1">
        <v>28</v>
      </c>
      <c r="V112" s="1">
        <v>42</v>
      </c>
      <c r="AA112">
        <f t="shared" si="22"/>
        <v>110</v>
      </c>
      <c r="AB112">
        <f t="shared" si="21"/>
        <v>0</v>
      </c>
    </row>
    <row r="113" spans="1:28" ht="28.8" x14ac:dyDescent="0.3">
      <c r="A113" s="3">
        <v>98</v>
      </c>
      <c r="B113" s="4"/>
      <c r="C113" s="6" t="s">
        <v>20</v>
      </c>
      <c r="D113" s="5"/>
      <c r="E113" s="5" t="s">
        <v>58</v>
      </c>
      <c r="F113" s="5" t="s">
        <v>73</v>
      </c>
      <c r="G113" s="5" t="s">
        <v>50</v>
      </c>
      <c r="H113" s="5" t="s">
        <v>54</v>
      </c>
      <c r="I113" s="5" t="s">
        <v>57</v>
      </c>
      <c r="J113" s="5" t="s">
        <v>67</v>
      </c>
      <c r="K113" s="5" t="s">
        <v>74</v>
      </c>
      <c r="L113" s="5" t="s">
        <v>59</v>
      </c>
      <c r="M113" s="5" t="s">
        <v>53</v>
      </c>
      <c r="N113" s="5" t="s">
        <v>48</v>
      </c>
      <c r="O113" s="5" t="s">
        <v>210</v>
      </c>
      <c r="P113" s="5" t="s">
        <v>61</v>
      </c>
      <c r="Q113" s="5" t="s">
        <v>75</v>
      </c>
      <c r="R113" s="5" t="s">
        <v>62</v>
      </c>
      <c r="S113" s="5" t="s">
        <v>71</v>
      </c>
      <c r="T113" s="1">
        <v>7</v>
      </c>
      <c r="U113" s="1">
        <v>26</v>
      </c>
      <c r="V113" s="1">
        <v>42</v>
      </c>
      <c r="AA113">
        <f t="shared" si="22"/>
        <v>111</v>
      </c>
      <c r="AB113">
        <f t="shared" si="21"/>
        <v>0</v>
      </c>
    </row>
    <row r="114" spans="1:28" x14ac:dyDescent="0.3">
      <c r="A114" s="3">
        <v>99</v>
      </c>
      <c r="B114" s="4"/>
      <c r="C114" s="6" t="s">
        <v>129</v>
      </c>
      <c r="D114" s="5"/>
      <c r="E114" s="5" t="s">
        <v>69</v>
      </c>
      <c r="F114" s="5" t="s">
        <v>73</v>
      </c>
      <c r="G114" s="5" t="s">
        <v>50</v>
      </c>
      <c r="H114" s="5" t="s">
        <v>54</v>
      </c>
      <c r="I114" s="5" t="s">
        <v>57</v>
      </c>
      <c r="J114" s="5" t="s">
        <v>67</v>
      </c>
      <c r="K114" s="5" t="s">
        <v>64</v>
      </c>
      <c r="L114" s="5" t="s">
        <v>59</v>
      </c>
      <c r="M114" s="5" t="s">
        <v>55</v>
      </c>
      <c r="N114" s="5" t="s">
        <v>56</v>
      </c>
      <c r="O114" s="5" t="s">
        <v>210</v>
      </c>
      <c r="P114" s="5" t="s">
        <v>61</v>
      </c>
      <c r="Q114" s="5" t="s">
        <v>75</v>
      </c>
      <c r="R114" s="5" t="s">
        <v>62</v>
      </c>
      <c r="S114" s="5" t="s">
        <v>71</v>
      </c>
      <c r="T114" s="1">
        <v>7</v>
      </c>
      <c r="U114" s="1">
        <v>30</v>
      </c>
      <c r="V114" s="1">
        <v>38</v>
      </c>
      <c r="AA114">
        <f t="shared" si="22"/>
        <v>112</v>
      </c>
      <c r="AB114">
        <f t="shared" si="21"/>
        <v>0</v>
      </c>
    </row>
    <row r="115" spans="1:28" ht="28.8" x14ac:dyDescent="0.3">
      <c r="A115" s="3">
        <v>100</v>
      </c>
      <c r="B115" s="4"/>
      <c r="C115" s="6" t="s">
        <v>134</v>
      </c>
      <c r="D115" s="5"/>
      <c r="E115" s="5" t="s">
        <v>58</v>
      </c>
      <c r="F115" s="5" t="s">
        <v>68</v>
      </c>
      <c r="G115" s="5" t="s">
        <v>209</v>
      </c>
      <c r="H115" s="5" t="s">
        <v>54</v>
      </c>
      <c r="I115" s="5" t="s">
        <v>51</v>
      </c>
      <c r="J115" s="5" t="s">
        <v>63</v>
      </c>
      <c r="K115" s="5" t="s">
        <v>64</v>
      </c>
      <c r="L115" s="5" t="s">
        <v>59</v>
      </c>
      <c r="M115" s="5" t="s">
        <v>53</v>
      </c>
      <c r="N115" s="5" t="s">
        <v>48</v>
      </c>
      <c r="O115" s="5" t="s">
        <v>210</v>
      </c>
      <c r="P115" s="5" t="s">
        <v>66</v>
      </c>
      <c r="Q115" s="5" t="s">
        <v>75</v>
      </c>
      <c r="R115" s="5" t="s">
        <v>208</v>
      </c>
      <c r="S115" s="5" t="s">
        <v>47</v>
      </c>
      <c r="T115" s="1">
        <v>7</v>
      </c>
      <c r="U115" s="1">
        <v>27</v>
      </c>
      <c r="V115" s="1">
        <v>37</v>
      </c>
      <c r="AA115">
        <f t="shared" si="22"/>
        <v>113</v>
      </c>
      <c r="AB115">
        <f t="shared" si="21"/>
        <v>0</v>
      </c>
    </row>
    <row r="116" spans="1:28" x14ac:dyDescent="0.3">
      <c r="A116" s="3">
        <v>101</v>
      </c>
      <c r="B116" s="4"/>
      <c r="C116" s="6" t="s">
        <v>37</v>
      </c>
      <c r="D116" s="5"/>
      <c r="E116" s="5" t="s">
        <v>58</v>
      </c>
      <c r="F116" s="5" t="s">
        <v>68</v>
      </c>
      <c r="G116" s="5" t="s">
        <v>50</v>
      </c>
      <c r="H116" s="5" t="s">
        <v>54</v>
      </c>
      <c r="I116" s="5" t="s">
        <v>57</v>
      </c>
      <c r="J116" s="5" t="s">
        <v>63</v>
      </c>
      <c r="K116" s="5" t="s">
        <v>64</v>
      </c>
      <c r="L116" s="5" t="s">
        <v>60</v>
      </c>
      <c r="M116" s="5" t="s">
        <v>53</v>
      </c>
      <c r="N116" s="5" t="s">
        <v>48</v>
      </c>
      <c r="O116" s="5" t="s">
        <v>210</v>
      </c>
      <c r="P116" s="5" t="s">
        <v>66</v>
      </c>
      <c r="Q116" s="5" t="s">
        <v>75</v>
      </c>
      <c r="R116" s="5" t="s">
        <v>62</v>
      </c>
      <c r="S116" s="5" t="s">
        <v>47</v>
      </c>
      <c r="T116" s="1">
        <v>7</v>
      </c>
      <c r="U116" s="1">
        <v>33</v>
      </c>
      <c r="V116" s="1">
        <v>36</v>
      </c>
      <c r="AA116">
        <f t="shared" si="22"/>
        <v>114</v>
      </c>
      <c r="AB116">
        <f t="shared" si="21"/>
        <v>0</v>
      </c>
    </row>
    <row r="117" spans="1:28" ht="28.8" x14ac:dyDescent="0.3">
      <c r="A117" s="3">
        <v>102</v>
      </c>
      <c r="B117" s="4"/>
      <c r="C117" s="6" t="s">
        <v>196</v>
      </c>
      <c r="D117" s="5"/>
      <c r="E117" s="5" t="s">
        <v>69</v>
      </c>
      <c r="F117" s="5" t="s">
        <v>68</v>
      </c>
      <c r="G117" s="5" t="s">
        <v>209</v>
      </c>
      <c r="H117" s="5" t="s">
        <v>207</v>
      </c>
      <c r="I117" s="5" t="s">
        <v>57</v>
      </c>
      <c r="J117" s="5" t="s">
        <v>67</v>
      </c>
      <c r="K117" s="5" t="s">
        <v>64</v>
      </c>
      <c r="L117" s="5" t="s">
        <v>60</v>
      </c>
      <c r="M117" s="5" t="s">
        <v>53</v>
      </c>
      <c r="N117" s="5" t="s">
        <v>48</v>
      </c>
      <c r="O117" s="5" t="s">
        <v>210</v>
      </c>
      <c r="P117" s="5" t="s">
        <v>66</v>
      </c>
      <c r="Q117" s="5" t="s">
        <v>75</v>
      </c>
      <c r="R117" s="5" t="s">
        <v>62</v>
      </c>
      <c r="S117" s="5" t="s">
        <v>47</v>
      </c>
      <c r="T117" s="1">
        <v>7</v>
      </c>
      <c r="U117" s="1">
        <v>28</v>
      </c>
      <c r="V117" s="1">
        <v>35</v>
      </c>
      <c r="AA117">
        <f t="shared" si="22"/>
        <v>115</v>
      </c>
      <c r="AB117">
        <f t="shared" si="21"/>
        <v>0</v>
      </c>
    </row>
    <row r="118" spans="1:28" x14ac:dyDescent="0.3">
      <c r="A118" s="3">
        <v>103</v>
      </c>
      <c r="B118" s="4"/>
      <c r="C118" s="6" t="s">
        <v>201</v>
      </c>
      <c r="D118" s="5"/>
      <c r="E118" s="5" t="s">
        <v>58</v>
      </c>
      <c r="F118" s="5" t="s">
        <v>68</v>
      </c>
      <c r="G118" s="5" t="s">
        <v>209</v>
      </c>
      <c r="H118" s="5" t="s">
        <v>54</v>
      </c>
      <c r="I118" s="5" t="s">
        <v>57</v>
      </c>
      <c r="J118" s="5" t="s">
        <v>67</v>
      </c>
      <c r="K118" s="5" t="s">
        <v>74</v>
      </c>
      <c r="L118" s="5" t="s">
        <v>59</v>
      </c>
      <c r="M118" s="5" t="s">
        <v>53</v>
      </c>
      <c r="N118" s="5" t="s">
        <v>48</v>
      </c>
      <c r="O118" s="5" t="s">
        <v>65</v>
      </c>
      <c r="P118" s="5" t="s">
        <v>61</v>
      </c>
      <c r="Q118" s="5" t="s">
        <v>52</v>
      </c>
      <c r="R118" s="5" t="s">
        <v>62</v>
      </c>
      <c r="S118" s="5" t="s">
        <v>71</v>
      </c>
      <c r="T118" s="1">
        <v>7</v>
      </c>
      <c r="U118" s="1">
        <v>27</v>
      </c>
      <c r="V118" s="1">
        <v>35</v>
      </c>
      <c r="AA118">
        <f t="shared" si="22"/>
        <v>116</v>
      </c>
      <c r="AB118">
        <f t="shared" si="21"/>
        <v>0</v>
      </c>
    </row>
    <row r="119" spans="1:28" x14ac:dyDescent="0.3">
      <c r="A119" s="3">
        <v>104</v>
      </c>
      <c r="B119" s="4"/>
      <c r="C119" s="6" t="s">
        <v>82</v>
      </c>
      <c r="D119" s="5"/>
      <c r="E119" s="5" t="s">
        <v>58</v>
      </c>
      <c r="F119" s="5" t="s">
        <v>73</v>
      </c>
      <c r="G119" s="5" t="s">
        <v>50</v>
      </c>
      <c r="H119" s="5" t="s">
        <v>207</v>
      </c>
      <c r="I119" s="5" t="s">
        <v>57</v>
      </c>
      <c r="J119" s="5" t="s">
        <v>67</v>
      </c>
      <c r="K119" s="5" t="s">
        <v>64</v>
      </c>
      <c r="L119" s="5" t="s">
        <v>59</v>
      </c>
      <c r="M119" s="5" t="s">
        <v>53</v>
      </c>
      <c r="N119" s="5" t="s">
        <v>56</v>
      </c>
      <c r="O119" s="5" t="s">
        <v>210</v>
      </c>
      <c r="P119" s="5" t="s">
        <v>66</v>
      </c>
      <c r="Q119" s="5" t="s">
        <v>75</v>
      </c>
      <c r="R119" s="5" t="s">
        <v>208</v>
      </c>
      <c r="S119" s="5" t="s">
        <v>47</v>
      </c>
      <c r="T119" s="1">
        <v>7</v>
      </c>
      <c r="U119" s="1">
        <v>29</v>
      </c>
      <c r="V119" s="1">
        <v>31</v>
      </c>
      <c r="AA119">
        <f t="shared" si="22"/>
        <v>117</v>
      </c>
      <c r="AB119">
        <f t="shared" si="21"/>
        <v>0</v>
      </c>
    </row>
    <row r="120" spans="1:28" ht="28.8" x14ac:dyDescent="0.3">
      <c r="A120" s="3">
        <v>105</v>
      </c>
      <c r="B120" s="4"/>
      <c r="C120" s="6" t="s">
        <v>34</v>
      </c>
      <c r="D120" s="5"/>
      <c r="E120" s="5" t="s">
        <v>58</v>
      </c>
      <c r="F120" s="5" t="s">
        <v>73</v>
      </c>
      <c r="G120" s="5" t="s">
        <v>50</v>
      </c>
      <c r="H120" s="5" t="s">
        <v>54</v>
      </c>
      <c r="I120" s="5" t="s">
        <v>57</v>
      </c>
      <c r="J120" s="5" t="s">
        <v>67</v>
      </c>
      <c r="K120" s="5" t="s">
        <v>74</v>
      </c>
      <c r="L120" s="5" t="s">
        <v>59</v>
      </c>
      <c r="M120" s="5" t="s">
        <v>55</v>
      </c>
      <c r="N120" s="5" t="s">
        <v>48</v>
      </c>
      <c r="O120" s="5" t="s">
        <v>210</v>
      </c>
      <c r="P120" s="5" t="s">
        <v>66</v>
      </c>
      <c r="Q120" s="5" t="s">
        <v>75</v>
      </c>
      <c r="R120" s="5" t="s">
        <v>62</v>
      </c>
      <c r="S120" s="5" t="s">
        <v>71</v>
      </c>
      <c r="T120" s="1">
        <v>7</v>
      </c>
      <c r="U120" s="1">
        <v>24</v>
      </c>
      <c r="V120" s="1">
        <v>31</v>
      </c>
      <c r="AA120">
        <f t="shared" si="22"/>
        <v>118</v>
      </c>
      <c r="AB120">
        <f t="shared" si="21"/>
        <v>0</v>
      </c>
    </row>
    <row r="121" spans="1:28" ht="28.8" x14ac:dyDescent="0.3">
      <c r="A121" s="3">
        <v>106</v>
      </c>
      <c r="B121" s="4"/>
      <c r="C121" s="6" t="s">
        <v>122</v>
      </c>
      <c r="D121" s="5"/>
      <c r="E121" s="5" t="s">
        <v>58</v>
      </c>
      <c r="F121" s="5" t="s">
        <v>68</v>
      </c>
      <c r="G121" s="5" t="s">
        <v>50</v>
      </c>
      <c r="H121" s="5" t="s">
        <v>54</v>
      </c>
      <c r="I121" s="5" t="s">
        <v>57</v>
      </c>
      <c r="J121" s="5" t="s">
        <v>67</v>
      </c>
      <c r="K121" s="5" t="s">
        <v>74</v>
      </c>
      <c r="L121" s="5" t="s">
        <v>59</v>
      </c>
      <c r="M121" s="5" t="s">
        <v>53</v>
      </c>
      <c r="N121" s="5" t="s">
        <v>48</v>
      </c>
      <c r="O121" s="5" t="s">
        <v>65</v>
      </c>
      <c r="P121" s="5" t="s">
        <v>61</v>
      </c>
      <c r="Q121" s="5" t="s">
        <v>75</v>
      </c>
      <c r="R121" s="5" t="s">
        <v>208</v>
      </c>
      <c r="S121" s="5" t="s">
        <v>71</v>
      </c>
      <c r="T121" s="1">
        <v>6</v>
      </c>
      <c r="U121" s="1">
        <v>25</v>
      </c>
      <c r="V121" s="1">
        <v>56</v>
      </c>
    </row>
    <row r="122" spans="1:28" ht="28.8" x14ac:dyDescent="0.3">
      <c r="A122" s="3">
        <v>107</v>
      </c>
      <c r="B122" s="4"/>
      <c r="C122" s="6" t="s">
        <v>200</v>
      </c>
      <c r="D122" s="5"/>
      <c r="E122" s="5" t="s">
        <v>69</v>
      </c>
      <c r="F122" s="5" t="s">
        <v>73</v>
      </c>
      <c r="G122" s="5" t="s">
        <v>209</v>
      </c>
      <c r="H122" s="5" t="s">
        <v>54</v>
      </c>
      <c r="I122" s="5" t="s">
        <v>51</v>
      </c>
      <c r="J122" s="5" t="s">
        <v>67</v>
      </c>
      <c r="K122" s="5" t="s">
        <v>64</v>
      </c>
      <c r="L122" s="5" t="s">
        <v>60</v>
      </c>
      <c r="M122" s="5" t="s">
        <v>53</v>
      </c>
      <c r="N122" s="5" t="s">
        <v>56</v>
      </c>
      <c r="O122" s="5" t="s">
        <v>65</v>
      </c>
      <c r="P122" s="5" t="s">
        <v>61</v>
      </c>
      <c r="Q122" s="5" t="s">
        <v>75</v>
      </c>
      <c r="R122" s="5" t="s">
        <v>208</v>
      </c>
      <c r="S122" s="5" t="s">
        <v>47</v>
      </c>
      <c r="T122" s="1">
        <v>6</v>
      </c>
      <c r="U122" s="1">
        <v>23</v>
      </c>
      <c r="V122" s="1">
        <v>56</v>
      </c>
    </row>
    <row r="123" spans="1:28" ht="28.8" x14ac:dyDescent="0.3">
      <c r="A123" s="3">
        <v>108</v>
      </c>
      <c r="B123" s="4"/>
      <c r="C123" s="6" t="s">
        <v>197</v>
      </c>
      <c r="D123" s="5"/>
      <c r="E123" s="5" t="s">
        <v>69</v>
      </c>
      <c r="F123" s="5" t="s">
        <v>73</v>
      </c>
      <c r="G123" s="5" t="s">
        <v>209</v>
      </c>
      <c r="H123" s="5" t="s">
        <v>207</v>
      </c>
      <c r="I123" s="5" t="s">
        <v>57</v>
      </c>
      <c r="J123" s="5" t="s">
        <v>67</v>
      </c>
      <c r="K123" s="5" t="s">
        <v>74</v>
      </c>
      <c r="L123" s="5" t="s">
        <v>59</v>
      </c>
      <c r="M123" s="5" t="s">
        <v>55</v>
      </c>
      <c r="N123" s="5" t="s">
        <v>56</v>
      </c>
      <c r="O123" s="5" t="s">
        <v>65</v>
      </c>
      <c r="P123" s="5" t="s">
        <v>61</v>
      </c>
      <c r="Q123" s="5" t="s">
        <v>75</v>
      </c>
      <c r="R123" s="5" t="s">
        <v>208</v>
      </c>
      <c r="S123" s="5" t="s">
        <v>71</v>
      </c>
      <c r="T123" s="1">
        <v>6</v>
      </c>
      <c r="U123" s="1">
        <v>25</v>
      </c>
      <c r="V123" s="1">
        <v>55</v>
      </c>
    </row>
    <row r="124" spans="1:28" ht="28.8" x14ac:dyDescent="0.3">
      <c r="A124" s="3">
        <v>109</v>
      </c>
      <c r="B124" s="4"/>
      <c r="C124" s="6" t="s">
        <v>28</v>
      </c>
      <c r="D124" s="5"/>
      <c r="E124" s="5" t="s">
        <v>58</v>
      </c>
      <c r="F124" s="5" t="s">
        <v>73</v>
      </c>
      <c r="G124" s="5" t="s">
        <v>209</v>
      </c>
      <c r="H124" s="5" t="s">
        <v>207</v>
      </c>
      <c r="I124" s="5" t="s">
        <v>57</v>
      </c>
      <c r="J124" s="5" t="s">
        <v>67</v>
      </c>
      <c r="K124" s="5" t="s">
        <v>64</v>
      </c>
      <c r="L124" s="5" t="s">
        <v>60</v>
      </c>
      <c r="M124" s="5" t="s">
        <v>53</v>
      </c>
      <c r="N124" s="5" t="s">
        <v>48</v>
      </c>
      <c r="O124" s="5" t="s">
        <v>210</v>
      </c>
      <c r="P124" s="5" t="s">
        <v>61</v>
      </c>
      <c r="Q124" s="5" t="s">
        <v>75</v>
      </c>
      <c r="R124" s="5" t="s">
        <v>208</v>
      </c>
      <c r="S124" s="5" t="s">
        <v>71</v>
      </c>
      <c r="T124" s="1">
        <v>6</v>
      </c>
      <c r="U124" s="1">
        <v>27</v>
      </c>
      <c r="V124" s="1">
        <v>54</v>
      </c>
    </row>
    <row r="125" spans="1:28" ht="28.8" x14ac:dyDescent="0.3">
      <c r="A125" s="3">
        <v>110</v>
      </c>
      <c r="B125" s="4"/>
      <c r="C125" s="6" t="s">
        <v>116</v>
      </c>
      <c r="D125" s="5"/>
      <c r="E125" s="5" t="s">
        <v>58</v>
      </c>
      <c r="F125" s="5" t="s">
        <v>73</v>
      </c>
      <c r="G125" s="5" t="s">
        <v>50</v>
      </c>
      <c r="H125" s="5" t="s">
        <v>207</v>
      </c>
      <c r="I125" s="5" t="s">
        <v>51</v>
      </c>
      <c r="J125" s="5" t="s">
        <v>67</v>
      </c>
      <c r="K125" s="5" t="s">
        <v>64</v>
      </c>
      <c r="L125" s="5" t="s">
        <v>60</v>
      </c>
      <c r="M125" s="5" t="s">
        <v>53</v>
      </c>
      <c r="N125" s="5" t="s">
        <v>56</v>
      </c>
      <c r="O125" s="5" t="s">
        <v>210</v>
      </c>
      <c r="P125" s="5" t="s">
        <v>61</v>
      </c>
      <c r="Q125" s="5" t="s">
        <v>75</v>
      </c>
      <c r="R125" s="5" t="s">
        <v>208</v>
      </c>
      <c r="S125" s="5" t="s">
        <v>47</v>
      </c>
      <c r="T125" s="1">
        <v>6</v>
      </c>
      <c r="U125" s="1">
        <v>25</v>
      </c>
      <c r="V125" s="1">
        <v>52</v>
      </c>
    </row>
    <row r="126" spans="1:28" x14ac:dyDescent="0.3">
      <c r="A126" s="3">
        <v>111</v>
      </c>
      <c r="B126" s="4"/>
      <c r="C126" s="6" t="s">
        <v>128</v>
      </c>
      <c r="D126" s="5"/>
      <c r="E126" s="5" t="s">
        <v>69</v>
      </c>
      <c r="F126" s="5" t="s">
        <v>73</v>
      </c>
      <c r="G126" s="5" t="s">
        <v>209</v>
      </c>
      <c r="H126" s="5" t="s">
        <v>207</v>
      </c>
      <c r="I126" s="5" t="s">
        <v>57</v>
      </c>
      <c r="J126" s="5" t="s">
        <v>67</v>
      </c>
      <c r="K126" s="5" t="s">
        <v>74</v>
      </c>
      <c r="L126" s="5" t="s">
        <v>60</v>
      </c>
      <c r="M126" s="5" t="s">
        <v>55</v>
      </c>
      <c r="N126" s="5" t="s">
        <v>48</v>
      </c>
      <c r="O126" s="5" t="s">
        <v>65</v>
      </c>
      <c r="P126" s="5" t="s">
        <v>61</v>
      </c>
      <c r="Q126" s="5" t="s">
        <v>75</v>
      </c>
      <c r="R126" s="5" t="s">
        <v>208</v>
      </c>
      <c r="S126" s="5" t="s">
        <v>71</v>
      </c>
      <c r="T126" s="1">
        <v>6</v>
      </c>
      <c r="U126" s="1">
        <v>28</v>
      </c>
      <c r="V126" s="1">
        <v>52</v>
      </c>
    </row>
    <row r="127" spans="1:28" x14ac:dyDescent="0.3">
      <c r="A127" s="3">
        <v>112</v>
      </c>
      <c r="B127" s="4"/>
      <c r="C127" s="6" t="s">
        <v>119</v>
      </c>
      <c r="D127" s="5"/>
      <c r="E127" s="5" t="s">
        <v>58</v>
      </c>
      <c r="F127" s="5" t="s">
        <v>68</v>
      </c>
      <c r="G127" s="5" t="s">
        <v>50</v>
      </c>
      <c r="H127" s="5" t="s">
        <v>207</v>
      </c>
      <c r="I127" s="5" t="s">
        <v>57</v>
      </c>
      <c r="J127" s="5" t="s">
        <v>63</v>
      </c>
      <c r="K127" s="5" t="s">
        <v>74</v>
      </c>
      <c r="L127" s="5" t="s">
        <v>60</v>
      </c>
      <c r="M127" s="5" t="s">
        <v>55</v>
      </c>
      <c r="N127" s="5" t="s">
        <v>56</v>
      </c>
      <c r="O127" s="5" t="s">
        <v>210</v>
      </c>
      <c r="P127" s="5" t="s">
        <v>61</v>
      </c>
      <c r="Q127" s="5" t="s">
        <v>52</v>
      </c>
      <c r="R127" s="5" t="s">
        <v>62</v>
      </c>
      <c r="S127" s="5" t="s">
        <v>71</v>
      </c>
      <c r="T127" s="1">
        <v>6</v>
      </c>
      <c r="U127" s="1">
        <v>28</v>
      </c>
      <c r="V127" s="1">
        <v>51</v>
      </c>
    </row>
    <row r="128" spans="1:28" ht="28.8" x14ac:dyDescent="0.3">
      <c r="A128" s="3">
        <v>113</v>
      </c>
      <c r="B128" s="4"/>
      <c r="C128" s="6" t="s">
        <v>29</v>
      </c>
      <c r="D128" s="5"/>
      <c r="E128" s="5" t="s">
        <v>58</v>
      </c>
      <c r="F128" s="5" t="s">
        <v>73</v>
      </c>
      <c r="G128" s="5" t="s">
        <v>209</v>
      </c>
      <c r="H128" s="5" t="s">
        <v>207</v>
      </c>
      <c r="I128" s="5" t="s">
        <v>57</v>
      </c>
      <c r="J128" s="5" t="s">
        <v>67</v>
      </c>
      <c r="K128" s="5" t="s">
        <v>74</v>
      </c>
      <c r="L128" s="5" t="s">
        <v>60</v>
      </c>
      <c r="M128" s="5" t="s">
        <v>53</v>
      </c>
      <c r="N128" s="5" t="s">
        <v>56</v>
      </c>
      <c r="O128" s="5" t="s">
        <v>65</v>
      </c>
      <c r="P128" s="5" t="s">
        <v>66</v>
      </c>
      <c r="Q128" s="5" t="s">
        <v>52</v>
      </c>
      <c r="R128" s="5" t="s">
        <v>208</v>
      </c>
      <c r="S128" s="5" t="s">
        <v>47</v>
      </c>
      <c r="T128" s="1">
        <v>6</v>
      </c>
      <c r="U128" s="1">
        <v>23</v>
      </c>
      <c r="V128" s="1">
        <v>50</v>
      </c>
    </row>
    <row r="129" spans="1:22" ht="28.8" x14ac:dyDescent="0.3">
      <c r="A129" s="3">
        <v>114</v>
      </c>
      <c r="B129" s="4"/>
      <c r="C129" s="6" t="s">
        <v>102</v>
      </c>
      <c r="D129" s="5"/>
      <c r="E129" s="5" t="s">
        <v>69</v>
      </c>
      <c r="F129" s="5" t="s">
        <v>68</v>
      </c>
      <c r="G129" s="5" t="s">
        <v>209</v>
      </c>
      <c r="H129" s="5" t="s">
        <v>54</v>
      </c>
      <c r="I129" s="5" t="s">
        <v>57</v>
      </c>
      <c r="J129" s="5" t="s">
        <v>67</v>
      </c>
      <c r="K129" s="5" t="s">
        <v>64</v>
      </c>
      <c r="L129" s="5" t="s">
        <v>59</v>
      </c>
      <c r="M129" s="5" t="s">
        <v>55</v>
      </c>
      <c r="N129" s="5" t="s">
        <v>56</v>
      </c>
      <c r="O129" s="5" t="s">
        <v>65</v>
      </c>
      <c r="P129" s="5" t="s">
        <v>66</v>
      </c>
      <c r="Q129" s="5" t="s">
        <v>75</v>
      </c>
      <c r="R129" s="5" t="s">
        <v>62</v>
      </c>
      <c r="S129" s="5" t="s">
        <v>47</v>
      </c>
      <c r="T129" s="1">
        <v>6</v>
      </c>
      <c r="U129" s="1">
        <v>26</v>
      </c>
      <c r="V129" s="1">
        <v>49</v>
      </c>
    </row>
    <row r="130" spans="1:22" x14ac:dyDescent="0.3">
      <c r="A130" s="3">
        <v>115</v>
      </c>
      <c r="B130" s="4"/>
      <c r="C130" s="6" t="s">
        <v>180</v>
      </c>
      <c r="D130" s="5"/>
      <c r="E130" s="5" t="s">
        <v>58</v>
      </c>
      <c r="F130" s="5" t="s">
        <v>73</v>
      </c>
      <c r="G130" s="5" t="s">
        <v>50</v>
      </c>
      <c r="H130" s="5" t="s">
        <v>207</v>
      </c>
      <c r="I130" s="5" t="s">
        <v>57</v>
      </c>
      <c r="J130" s="5" t="s">
        <v>67</v>
      </c>
      <c r="K130" s="5" t="s">
        <v>74</v>
      </c>
      <c r="L130" s="5" t="s">
        <v>60</v>
      </c>
      <c r="M130" s="5" t="s">
        <v>55</v>
      </c>
      <c r="N130" s="5" t="s">
        <v>48</v>
      </c>
      <c r="O130" s="5" t="s">
        <v>210</v>
      </c>
      <c r="P130" s="5" t="s">
        <v>61</v>
      </c>
      <c r="Q130" s="5" t="s">
        <v>75</v>
      </c>
      <c r="R130" s="5" t="s">
        <v>62</v>
      </c>
      <c r="S130" s="5" t="s">
        <v>71</v>
      </c>
      <c r="T130" s="1">
        <v>6</v>
      </c>
      <c r="U130" s="1">
        <v>26</v>
      </c>
      <c r="V130" s="1">
        <v>48</v>
      </c>
    </row>
    <row r="131" spans="1:22" ht="28.8" x14ac:dyDescent="0.3">
      <c r="A131" s="3">
        <v>116</v>
      </c>
      <c r="B131" s="4"/>
      <c r="C131" s="6" t="s">
        <v>175</v>
      </c>
      <c r="D131" s="5"/>
      <c r="E131" s="5" t="s">
        <v>69</v>
      </c>
      <c r="F131" s="5" t="s">
        <v>73</v>
      </c>
      <c r="G131" s="5" t="s">
        <v>209</v>
      </c>
      <c r="H131" s="5" t="s">
        <v>207</v>
      </c>
      <c r="I131" s="5" t="s">
        <v>57</v>
      </c>
      <c r="J131" s="5" t="s">
        <v>67</v>
      </c>
      <c r="K131" s="5" t="s">
        <v>64</v>
      </c>
      <c r="L131" s="5" t="s">
        <v>60</v>
      </c>
      <c r="M131" s="5" t="s">
        <v>53</v>
      </c>
      <c r="N131" s="5" t="s">
        <v>56</v>
      </c>
      <c r="O131" s="5" t="s">
        <v>65</v>
      </c>
      <c r="P131" s="5" t="s">
        <v>61</v>
      </c>
      <c r="Q131" s="5" t="s">
        <v>75</v>
      </c>
      <c r="R131" s="5" t="s">
        <v>208</v>
      </c>
      <c r="S131" s="5" t="s">
        <v>47</v>
      </c>
      <c r="T131" s="1">
        <v>6</v>
      </c>
      <c r="U131" s="1">
        <v>18</v>
      </c>
      <c r="V131" s="1">
        <v>48</v>
      </c>
    </row>
    <row r="132" spans="1:22" x14ac:dyDescent="0.3">
      <c r="A132" s="3">
        <v>117</v>
      </c>
      <c r="B132" s="4"/>
      <c r="C132" s="6" t="s">
        <v>84</v>
      </c>
      <c r="D132" s="5"/>
      <c r="E132" s="5" t="s">
        <v>58</v>
      </c>
      <c r="F132" s="5" t="s">
        <v>73</v>
      </c>
      <c r="G132" s="5" t="s">
        <v>209</v>
      </c>
      <c r="H132" s="5" t="s">
        <v>54</v>
      </c>
      <c r="I132" s="5" t="s">
        <v>57</v>
      </c>
      <c r="J132" s="5" t="s">
        <v>67</v>
      </c>
      <c r="K132" s="5" t="s">
        <v>74</v>
      </c>
      <c r="L132" s="5" t="s">
        <v>59</v>
      </c>
      <c r="M132" s="5" t="s">
        <v>55</v>
      </c>
      <c r="N132" s="5" t="s">
        <v>48</v>
      </c>
      <c r="O132" s="5" t="s">
        <v>65</v>
      </c>
      <c r="P132" s="5" t="s">
        <v>61</v>
      </c>
      <c r="Q132" s="5" t="s">
        <v>52</v>
      </c>
      <c r="R132" s="5" t="s">
        <v>208</v>
      </c>
      <c r="S132" s="5" t="s">
        <v>71</v>
      </c>
      <c r="T132" s="1">
        <v>6</v>
      </c>
      <c r="U132" s="1">
        <v>29</v>
      </c>
      <c r="V132" s="1">
        <v>48</v>
      </c>
    </row>
    <row r="133" spans="1:22" ht="28.8" x14ac:dyDescent="0.3">
      <c r="A133" s="3">
        <v>118</v>
      </c>
      <c r="B133" s="4"/>
      <c r="C133" s="6" t="s">
        <v>148</v>
      </c>
      <c r="D133" s="5"/>
      <c r="E133" s="5" t="s">
        <v>69</v>
      </c>
      <c r="F133" s="5" t="s">
        <v>68</v>
      </c>
      <c r="G133" s="5" t="s">
        <v>50</v>
      </c>
      <c r="H133" s="5" t="s">
        <v>54</v>
      </c>
      <c r="I133" s="5" t="s">
        <v>57</v>
      </c>
      <c r="J133" s="5" t="s">
        <v>67</v>
      </c>
      <c r="K133" s="5" t="s">
        <v>74</v>
      </c>
      <c r="L133" s="5" t="s">
        <v>59</v>
      </c>
      <c r="M133" s="5" t="s">
        <v>55</v>
      </c>
      <c r="N133" s="5" t="s">
        <v>48</v>
      </c>
      <c r="O133" s="5" t="s">
        <v>65</v>
      </c>
      <c r="P133" s="5" t="s">
        <v>66</v>
      </c>
      <c r="Q133" s="5" t="s">
        <v>75</v>
      </c>
      <c r="R133" s="5" t="s">
        <v>208</v>
      </c>
      <c r="S133" s="5" t="s">
        <v>47</v>
      </c>
      <c r="T133" s="1">
        <v>6</v>
      </c>
      <c r="U133" s="1">
        <v>28</v>
      </c>
      <c r="V133" s="1">
        <v>47</v>
      </c>
    </row>
    <row r="134" spans="1:22" x14ac:dyDescent="0.3">
      <c r="A134" s="3">
        <v>119</v>
      </c>
      <c r="B134" s="4"/>
      <c r="C134" s="6" t="s">
        <v>38</v>
      </c>
      <c r="D134" s="5"/>
      <c r="E134" s="5" t="s">
        <v>58</v>
      </c>
      <c r="F134" s="5" t="s">
        <v>73</v>
      </c>
      <c r="G134" s="5" t="s">
        <v>209</v>
      </c>
      <c r="H134" s="5" t="s">
        <v>54</v>
      </c>
      <c r="I134" s="5" t="s">
        <v>57</v>
      </c>
      <c r="J134" s="5" t="s">
        <v>67</v>
      </c>
      <c r="K134" s="5" t="s">
        <v>74</v>
      </c>
      <c r="L134" s="5" t="s">
        <v>60</v>
      </c>
      <c r="M134" s="5" t="s">
        <v>55</v>
      </c>
      <c r="N134" s="5" t="s">
        <v>48</v>
      </c>
      <c r="O134" s="5" t="s">
        <v>65</v>
      </c>
      <c r="P134" s="5" t="s">
        <v>61</v>
      </c>
      <c r="Q134" s="5" t="s">
        <v>52</v>
      </c>
      <c r="R134" s="5" t="s">
        <v>62</v>
      </c>
      <c r="S134" s="5" t="s">
        <v>71</v>
      </c>
      <c r="T134" s="1">
        <v>6</v>
      </c>
      <c r="U134" s="1">
        <v>27</v>
      </c>
      <c r="V134" s="1">
        <v>47</v>
      </c>
    </row>
    <row r="135" spans="1:22" ht="28.8" x14ac:dyDescent="0.3">
      <c r="A135" s="3">
        <v>120</v>
      </c>
      <c r="B135" s="4"/>
      <c r="C135" s="6" t="s">
        <v>80</v>
      </c>
      <c r="D135" s="5"/>
      <c r="E135" s="5" t="s">
        <v>69</v>
      </c>
      <c r="F135" s="5" t="s">
        <v>73</v>
      </c>
      <c r="G135" s="5" t="s">
        <v>209</v>
      </c>
      <c r="H135" s="5" t="s">
        <v>207</v>
      </c>
      <c r="I135" s="5" t="s">
        <v>57</v>
      </c>
      <c r="J135" s="5" t="s">
        <v>67</v>
      </c>
      <c r="K135" s="5" t="s">
        <v>64</v>
      </c>
      <c r="L135" s="5" t="s">
        <v>60</v>
      </c>
      <c r="M135" s="5" t="s">
        <v>55</v>
      </c>
      <c r="N135" s="5" t="s">
        <v>48</v>
      </c>
      <c r="O135" s="5" t="s">
        <v>210</v>
      </c>
      <c r="P135" s="5" t="s">
        <v>61</v>
      </c>
      <c r="Q135" s="5" t="s">
        <v>75</v>
      </c>
      <c r="R135" s="5" t="s">
        <v>208</v>
      </c>
      <c r="S135" s="5" t="s">
        <v>71</v>
      </c>
      <c r="T135" s="1">
        <v>6</v>
      </c>
      <c r="U135" s="1">
        <v>31</v>
      </c>
      <c r="V135" s="1">
        <v>47</v>
      </c>
    </row>
    <row r="136" spans="1:22" ht="28.8" x14ac:dyDescent="0.3">
      <c r="A136" s="3">
        <v>121</v>
      </c>
      <c r="B136" s="4"/>
      <c r="C136" s="6" t="s">
        <v>158</v>
      </c>
      <c r="D136" s="5"/>
      <c r="E136" s="5" t="s">
        <v>58</v>
      </c>
      <c r="F136" s="5" t="s">
        <v>73</v>
      </c>
      <c r="G136" s="5" t="s">
        <v>50</v>
      </c>
      <c r="H136" s="5" t="s">
        <v>207</v>
      </c>
      <c r="I136" s="5" t="s">
        <v>57</v>
      </c>
      <c r="J136" s="5" t="s">
        <v>67</v>
      </c>
      <c r="K136" s="5" t="s">
        <v>74</v>
      </c>
      <c r="L136" s="5" t="s">
        <v>59</v>
      </c>
      <c r="M136" s="5" t="s">
        <v>55</v>
      </c>
      <c r="N136" s="5" t="s">
        <v>48</v>
      </c>
      <c r="O136" s="5" t="s">
        <v>210</v>
      </c>
      <c r="P136" s="5" t="s">
        <v>61</v>
      </c>
      <c r="Q136" s="5" t="s">
        <v>75</v>
      </c>
      <c r="R136" s="5" t="s">
        <v>208</v>
      </c>
      <c r="S136" s="5" t="s">
        <v>71</v>
      </c>
      <c r="T136" s="1">
        <v>6</v>
      </c>
      <c r="U136" s="1">
        <v>27</v>
      </c>
      <c r="V136" s="1">
        <v>47</v>
      </c>
    </row>
    <row r="137" spans="1:22" ht="28.8" x14ac:dyDescent="0.3">
      <c r="A137" s="3">
        <v>122</v>
      </c>
      <c r="B137" s="4"/>
      <c r="C137" s="6" t="s">
        <v>15</v>
      </c>
      <c r="D137" s="5"/>
      <c r="E137" s="5" t="s">
        <v>69</v>
      </c>
      <c r="F137" s="5" t="s">
        <v>73</v>
      </c>
      <c r="G137" s="5" t="s">
        <v>209</v>
      </c>
      <c r="H137" s="5" t="s">
        <v>54</v>
      </c>
      <c r="I137" s="5" t="s">
        <v>57</v>
      </c>
      <c r="J137" s="5" t="s">
        <v>63</v>
      </c>
      <c r="K137" s="5" t="s">
        <v>74</v>
      </c>
      <c r="L137" s="5" t="s">
        <v>60</v>
      </c>
      <c r="M137" s="5" t="s">
        <v>55</v>
      </c>
      <c r="N137" s="5" t="s">
        <v>48</v>
      </c>
      <c r="O137" s="5" t="s">
        <v>65</v>
      </c>
      <c r="P137" s="5" t="s">
        <v>61</v>
      </c>
      <c r="Q137" s="5" t="s">
        <v>75</v>
      </c>
      <c r="R137" s="5" t="s">
        <v>62</v>
      </c>
      <c r="S137" s="5" t="s">
        <v>47</v>
      </c>
      <c r="T137" s="1">
        <v>6</v>
      </c>
      <c r="U137" s="1">
        <v>25</v>
      </c>
      <c r="V137" s="1">
        <v>47</v>
      </c>
    </row>
    <row r="138" spans="1:22" x14ac:dyDescent="0.3">
      <c r="A138" s="3">
        <v>123</v>
      </c>
      <c r="B138" s="4"/>
      <c r="C138" s="6" t="s">
        <v>88</v>
      </c>
      <c r="D138" s="5"/>
      <c r="E138" s="5" t="s">
        <v>69</v>
      </c>
      <c r="F138" s="5" t="s">
        <v>73</v>
      </c>
      <c r="G138" s="5" t="s">
        <v>50</v>
      </c>
      <c r="H138" s="5" t="s">
        <v>54</v>
      </c>
      <c r="I138" s="5" t="s">
        <v>57</v>
      </c>
      <c r="J138" s="5" t="s">
        <v>63</v>
      </c>
      <c r="K138" s="5" t="s">
        <v>74</v>
      </c>
      <c r="L138" s="5" t="s">
        <v>60</v>
      </c>
      <c r="M138" s="5" t="s">
        <v>55</v>
      </c>
      <c r="N138" s="5" t="s">
        <v>56</v>
      </c>
      <c r="O138" s="5" t="s">
        <v>210</v>
      </c>
      <c r="P138" s="5" t="s">
        <v>61</v>
      </c>
      <c r="Q138" s="5" t="s">
        <v>75</v>
      </c>
      <c r="R138" s="5" t="s">
        <v>62</v>
      </c>
      <c r="S138" s="5" t="s">
        <v>71</v>
      </c>
      <c r="T138" s="1">
        <v>6</v>
      </c>
      <c r="U138" s="1">
        <v>27</v>
      </c>
      <c r="V138" s="1">
        <v>46</v>
      </c>
    </row>
    <row r="139" spans="1:22" x14ac:dyDescent="0.3">
      <c r="A139" s="3">
        <v>124</v>
      </c>
      <c r="B139" s="4"/>
      <c r="C139" s="6" t="s">
        <v>149</v>
      </c>
      <c r="D139" s="5"/>
      <c r="E139" s="5" t="s">
        <v>69</v>
      </c>
      <c r="F139" s="5" t="s">
        <v>73</v>
      </c>
      <c r="G139" s="5" t="s">
        <v>209</v>
      </c>
      <c r="H139" s="5" t="s">
        <v>54</v>
      </c>
      <c r="I139" s="5" t="s">
        <v>57</v>
      </c>
      <c r="J139" s="5" t="s">
        <v>67</v>
      </c>
      <c r="K139" s="5" t="s">
        <v>74</v>
      </c>
      <c r="L139" s="5" t="s">
        <v>59</v>
      </c>
      <c r="M139" s="5" t="s">
        <v>53</v>
      </c>
      <c r="N139" s="5" t="s">
        <v>48</v>
      </c>
      <c r="O139" s="5" t="s">
        <v>65</v>
      </c>
      <c r="P139" s="5" t="s">
        <v>61</v>
      </c>
      <c r="Q139" s="5" t="s">
        <v>75</v>
      </c>
      <c r="R139" s="5" t="s">
        <v>208</v>
      </c>
      <c r="S139" s="5" t="s">
        <v>47</v>
      </c>
      <c r="T139" s="1">
        <v>6</v>
      </c>
      <c r="U139" s="1">
        <v>27</v>
      </c>
      <c r="V139" s="1">
        <v>46</v>
      </c>
    </row>
    <row r="140" spans="1:22" ht="28.8" x14ac:dyDescent="0.3">
      <c r="A140" s="3">
        <v>125</v>
      </c>
      <c r="B140" s="4"/>
      <c r="C140" s="6" t="s">
        <v>10</v>
      </c>
      <c r="D140" s="5"/>
      <c r="E140" s="5" t="s">
        <v>58</v>
      </c>
      <c r="F140" s="5" t="s">
        <v>73</v>
      </c>
      <c r="G140" s="5" t="s">
        <v>209</v>
      </c>
      <c r="H140" s="5" t="s">
        <v>54</v>
      </c>
      <c r="I140" s="5" t="s">
        <v>57</v>
      </c>
      <c r="J140" s="5" t="s">
        <v>63</v>
      </c>
      <c r="K140" s="5" t="s">
        <v>74</v>
      </c>
      <c r="L140" s="5" t="s">
        <v>59</v>
      </c>
      <c r="M140" s="5" t="s">
        <v>53</v>
      </c>
      <c r="N140" s="5" t="s">
        <v>56</v>
      </c>
      <c r="O140" s="5" t="s">
        <v>210</v>
      </c>
      <c r="P140" s="5" t="s">
        <v>66</v>
      </c>
      <c r="Q140" s="5" t="s">
        <v>52</v>
      </c>
      <c r="R140" s="5" t="s">
        <v>208</v>
      </c>
      <c r="S140" s="5" t="s">
        <v>47</v>
      </c>
      <c r="T140" s="1">
        <v>6</v>
      </c>
      <c r="U140" s="1">
        <v>26</v>
      </c>
      <c r="V140" s="1">
        <v>46</v>
      </c>
    </row>
    <row r="141" spans="1:22" ht="28.8" x14ac:dyDescent="0.3">
      <c r="A141" s="3">
        <v>126</v>
      </c>
      <c r="B141" s="4"/>
      <c r="C141" s="6" t="s">
        <v>89</v>
      </c>
      <c r="D141" s="5"/>
      <c r="E141" s="5" t="s">
        <v>69</v>
      </c>
      <c r="F141" s="5" t="s">
        <v>73</v>
      </c>
      <c r="G141" s="5" t="s">
        <v>50</v>
      </c>
      <c r="H141" s="5" t="s">
        <v>207</v>
      </c>
      <c r="I141" s="5" t="s">
        <v>57</v>
      </c>
      <c r="J141" s="5" t="s">
        <v>63</v>
      </c>
      <c r="K141" s="5" t="s">
        <v>74</v>
      </c>
      <c r="L141" s="5" t="s">
        <v>60</v>
      </c>
      <c r="M141" s="5" t="s">
        <v>53</v>
      </c>
      <c r="N141" s="5" t="s">
        <v>56</v>
      </c>
      <c r="O141" s="5" t="s">
        <v>210</v>
      </c>
      <c r="P141" s="5" t="s">
        <v>61</v>
      </c>
      <c r="Q141" s="5" t="s">
        <v>75</v>
      </c>
      <c r="R141" s="5" t="s">
        <v>208</v>
      </c>
      <c r="S141" s="5" t="s">
        <v>47</v>
      </c>
      <c r="T141" s="1">
        <v>6</v>
      </c>
      <c r="U141" s="1">
        <v>30</v>
      </c>
      <c r="V141" s="1">
        <v>45</v>
      </c>
    </row>
    <row r="142" spans="1:22" x14ac:dyDescent="0.3">
      <c r="A142" s="3">
        <v>127</v>
      </c>
      <c r="B142" s="4"/>
      <c r="C142" s="6" t="s">
        <v>11</v>
      </c>
      <c r="D142" s="5"/>
      <c r="E142" s="5" t="s">
        <v>58</v>
      </c>
      <c r="F142" s="5" t="s">
        <v>68</v>
      </c>
      <c r="G142" s="5" t="s">
        <v>209</v>
      </c>
      <c r="H142" s="5" t="s">
        <v>207</v>
      </c>
      <c r="I142" s="5" t="s">
        <v>57</v>
      </c>
      <c r="J142" s="5" t="s">
        <v>67</v>
      </c>
      <c r="K142" s="5" t="s">
        <v>74</v>
      </c>
      <c r="L142" s="5" t="s">
        <v>59</v>
      </c>
      <c r="M142" s="5" t="s">
        <v>53</v>
      </c>
      <c r="N142" s="5" t="s">
        <v>48</v>
      </c>
      <c r="O142" s="5" t="s">
        <v>65</v>
      </c>
      <c r="P142" s="5" t="s">
        <v>61</v>
      </c>
      <c r="Q142" s="5" t="s">
        <v>75</v>
      </c>
      <c r="R142" s="5" t="s">
        <v>62</v>
      </c>
      <c r="S142" s="5" t="s">
        <v>47</v>
      </c>
      <c r="T142" s="1">
        <v>6</v>
      </c>
      <c r="U142" s="1">
        <v>28</v>
      </c>
      <c r="V142" s="1">
        <v>45</v>
      </c>
    </row>
    <row r="143" spans="1:22" x14ac:dyDescent="0.3">
      <c r="A143" s="3">
        <v>128</v>
      </c>
      <c r="B143" s="4"/>
      <c r="C143" s="6" t="s">
        <v>86</v>
      </c>
      <c r="D143" s="5"/>
      <c r="E143" s="5" t="s">
        <v>58</v>
      </c>
      <c r="F143" s="5" t="s">
        <v>73</v>
      </c>
      <c r="G143" s="5" t="s">
        <v>209</v>
      </c>
      <c r="H143" s="5" t="s">
        <v>207</v>
      </c>
      <c r="I143" s="5" t="s">
        <v>57</v>
      </c>
      <c r="J143" s="5" t="s">
        <v>67</v>
      </c>
      <c r="K143" s="5" t="s">
        <v>74</v>
      </c>
      <c r="L143" s="5" t="s">
        <v>60</v>
      </c>
      <c r="M143" s="5" t="s">
        <v>55</v>
      </c>
      <c r="N143" s="5" t="s">
        <v>48</v>
      </c>
      <c r="O143" s="5" t="s">
        <v>210</v>
      </c>
      <c r="P143" s="5" t="s">
        <v>66</v>
      </c>
      <c r="Q143" s="5" t="s">
        <v>75</v>
      </c>
      <c r="R143" s="5" t="s">
        <v>62</v>
      </c>
      <c r="S143" s="5" t="s">
        <v>71</v>
      </c>
      <c r="T143" s="1">
        <v>6</v>
      </c>
      <c r="U143" s="1">
        <v>27</v>
      </c>
      <c r="V143" s="1">
        <v>45</v>
      </c>
    </row>
    <row r="144" spans="1:22" x14ac:dyDescent="0.3">
      <c r="A144" s="3">
        <v>129</v>
      </c>
      <c r="B144" s="4"/>
      <c r="C144" s="6" t="s">
        <v>168</v>
      </c>
      <c r="D144" s="5"/>
      <c r="E144" s="5" t="s">
        <v>58</v>
      </c>
      <c r="F144" s="5" t="s">
        <v>68</v>
      </c>
      <c r="G144" s="5" t="s">
        <v>209</v>
      </c>
      <c r="H144" s="5" t="s">
        <v>54</v>
      </c>
      <c r="I144" s="5" t="s">
        <v>57</v>
      </c>
      <c r="J144" s="5" t="s">
        <v>63</v>
      </c>
      <c r="K144" s="5" t="s">
        <v>64</v>
      </c>
      <c r="L144" s="5" t="s">
        <v>59</v>
      </c>
      <c r="M144" s="5" t="s">
        <v>55</v>
      </c>
      <c r="N144" s="5" t="s">
        <v>56</v>
      </c>
      <c r="O144" s="5" t="s">
        <v>210</v>
      </c>
      <c r="P144" s="5" t="s">
        <v>66</v>
      </c>
      <c r="Q144" s="5" t="s">
        <v>75</v>
      </c>
      <c r="R144" s="5" t="s">
        <v>62</v>
      </c>
      <c r="S144" s="5" t="s">
        <v>71</v>
      </c>
      <c r="T144" s="1">
        <v>6</v>
      </c>
      <c r="U144" s="1">
        <v>34</v>
      </c>
      <c r="V144" s="1">
        <v>44</v>
      </c>
    </row>
    <row r="145" spans="1:22" x14ac:dyDescent="0.3">
      <c r="A145" s="3">
        <v>130</v>
      </c>
      <c r="B145" s="4"/>
      <c r="C145" s="6" t="s">
        <v>173</v>
      </c>
      <c r="D145" s="5"/>
      <c r="E145" s="5" t="s">
        <v>58</v>
      </c>
      <c r="F145" s="5" t="s">
        <v>68</v>
      </c>
      <c r="G145" s="5" t="s">
        <v>209</v>
      </c>
      <c r="H145" s="5" t="s">
        <v>54</v>
      </c>
      <c r="I145" s="5" t="s">
        <v>57</v>
      </c>
      <c r="J145" s="5" t="s">
        <v>67</v>
      </c>
      <c r="K145" s="5" t="s">
        <v>74</v>
      </c>
      <c r="L145" s="5" t="s">
        <v>59</v>
      </c>
      <c r="M145" s="5" t="s">
        <v>53</v>
      </c>
      <c r="N145" s="5" t="s">
        <v>56</v>
      </c>
      <c r="O145" s="5" t="s">
        <v>65</v>
      </c>
      <c r="P145" s="5" t="s">
        <v>61</v>
      </c>
      <c r="Q145" s="5" t="s">
        <v>52</v>
      </c>
      <c r="R145" s="5" t="s">
        <v>62</v>
      </c>
      <c r="S145" s="5" t="s">
        <v>71</v>
      </c>
      <c r="T145" s="1">
        <v>6</v>
      </c>
      <c r="U145" s="1">
        <v>31</v>
      </c>
      <c r="V145" s="1">
        <v>44</v>
      </c>
    </row>
    <row r="146" spans="1:22" ht="28.8" x14ac:dyDescent="0.3">
      <c r="A146" s="3">
        <v>131</v>
      </c>
      <c r="B146" s="4"/>
      <c r="C146" s="6" t="s">
        <v>135</v>
      </c>
      <c r="D146" s="5"/>
      <c r="E146" s="5" t="s">
        <v>58</v>
      </c>
      <c r="F146" s="5" t="s">
        <v>68</v>
      </c>
      <c r="G146" s="5" t="s">
        <v>50</v>
      </c>
      <c r="H146" s="5" t="s">
        <v>54</v>
      </c>
      <c r="I146" s="5" t="s">
        <v>57</v>
      </c>
      <c r="J146" s="5" t="s">
        <v>67</v>
      </c>
      <c r="K146" s="5" t="s">
        <v>64</v>
      </c>
      <c r="L146" s="5" t="s">
        <v>60</v>
      </c>
      <c r="M146" s="5" t="s">
        <v>53</v>
      </c>
      <c r="N146" s="5" t="s">
        <v>56</v>
      </c>
      <c r="O146" s="5" t="s">
        <v>65</v>
      </c>
      <c r="P146" s="5" t="s">
        <v>66</v>
      </c>
      <c r="Q146" s="5" t="s">
        <v>75</v>
      </c>
      <c r="R146" s="5" t="s">
        <v>208</v>
      </c>
      <c r="S146" s="5" t="s">
        <v>71</v>
      </c>
      <c r="T146" s="1">
        <v>6</v>
      </c>
      <c r="U146" s="1">
        <v>25</v>
      </c>
      <c r="V146" s="1">
        <v>43</v>
      </c>
    </row>
    <row r="147" spans="1:22" ht="28.8" x14ac:dyDescent="0.3">
      <c r="A147" s="3">
        <v>132</v>
      </c>
      <c r="B147" s="4"/>
      <c r="C147" s="6" t="s">
        <v>170</v>
      </c>
      <c r="D147" s="5"/>
      <c r="E147" s="5" t="s">
        <v>69</v>
      </c>
      <c r="F147" s="5" t="s">
        <v>68</v>
      </c>
      <c r="G147" s="5" t="s">
        <v>50</v>
      </c>
      <c r="H147" s="5" t="s">
        <v>54</v>
      </c>
      <c r="I147" s="5" t="s">
        <v>51</v>
      </c>
      <c r="J147" s="5" t="s">
        <v>67</v>
      </c>
      <c r="K147" s="5" t="s">
        <v>64</v>
      </c>
      <c r="L147" s="5" t="s">
        <v>60</v>
      </c>
      <c r="M147" s="5" t="s">
        <v>53</v>
      </c>
      <c r="N147" s="5" t="s">
        <v>56</v>
      </c>
      <c r="O147" s="5" t="s">
        <v>210</v>
      </c>
      <c r="P147" s="5" t="s">
        <v>61</v>
      </c>
      <c r="Q147" s="5" t="s">
        <v>75</v>
      </c>
      <c r="R147" s="5" t="s">
        <v>208</v>
      </c>
      <c r="S147" s="5" t="s">
        <v>71</v>
      </c>
      <c r="T147" s="1">
        <v>6</v>
      </c>
      <c r="U147" s="1">
        <v>26</v>
      </c>
      <c r="V147" s="1">
        <v>43</v>
      </c>
    </row>
    <row r="148" spans="1:22" ht="28.8" x14ac:dyDescent="0.3">
      <c r="A148" s="3">
        <v>133</v>
      </c>
      <c r="B148" s="4"/>
      <c r="C148" s="6" t="s">
        <v>159</v>
      </c>
      <c r="D148" s="5"/>
      <c r="E148" s="5" t="s">
        <v>69</v>
      </c>
      <c r="F148" s="5" t="s">
        <v>73</v>
      </c>
      <c r="G148" s="5" t="s">
        <v>209</v>
      </c>
      <c r="H148" s="5" t="s">
        <v>207</v>
      </c>
      <c r="I148" s="5" t="s">
        <v>57</v>
      </c>
      <c r="J148" s="5" t="s">
        <v>63</v>
      </c>
      <c r="K148" s="5" t="s">
        <v>74</v>
      </c>
      <c r="L148" s="5" t="s">
        <v>60</v>
      </c>
      <c r="M148" s="5" t="s">
        <v>55</v>
      </c>
      <c r="N148" s="5" t="s">
        <v>56</v>
      </c>
      <c r="O148" s="5" t="s">
        <v>65</v>
      </c>
      <c r="P148" s="5" t="s">
        <v>61</v>
      </c>
      <c r="Q148" s="5" t="s">
        <v>75</v>
      </c>
      <c r="R148" s="5" t="s">
        <v>208</v>
      </c>
      <c r="S148" s="5" t="s">
        <v>71</v>
      </c>
      <c r="T148" s="1">
        <v>6</v>
      </c>
      <c r="U148" s="1">
        <v>24</v>
      </c>
      <c r="V148" s="1">
        <v>43</v>
      </c>
    </row>
    <row r="149" spans="1:22" x14ac:dyDescent="0.3">
      <c r="A149" s="3">
        <v>134</v>
      </c>
      <c r="B149" s="4"/>
      <c r="C149" s="6" t="s">
        <v>138</v>
      </c>
      <c r="D149" s="5"/>
      <c r="E149" s="5" t="s">
        <v>69</v>
      </c>
      <c r="F149" s="5" t="s">
        <v>73</v>
      </c>
      <c r="G149" s="5" t="s">
        <v>209</v>
      </c>
      <c r="H149" s="5" t="s">
        <v>54</v>
      </c>
      <c r="I149" s="5" t="s">
        <v>57</v>
      </c>
      <c r="J149" s="5" t="s">
        <v>63</v>
      </c>
      <c r="K149" s="5" t="s">
        <v>74</v>
      </c>
      <c r="L149" s="5" t="s">
        <v>59</v>
      </c>
      <c r="M149" s="5" t="s">
        <v>55</v>
      </c>
      <c r="N149" s="5" t="s">
        <v>56</v>
      </c>
      <c r="O149" s="5" t="s">
        <v>210</v>
      </c>
      <c r="P149" s="5" t="s">
        <v>66</v>
      </c>
      <c r="Q149" s="5" t="s">
        <v>75</v>
      </c>
      <c r="R149" s="5" t="s">
        <v>208</v>
      </c>
      <c r="S149" s="5" t="s">
        <v>71</v>
      </c>
      <c r="T149" s="1">
        <v>6</v>
      </c>
      <c r="U149" s="1">
        <v>32</v>
      </c>
      <c r="V149" s="1">
        <v>43</v>
      </c>
    </row>
    <row r="150" spans="1:22" x14ac:dyDescent="0.3">
      <c r="A150" s="3">
        <v>135</v>
      </c>
      <c r="B150" s="4"/>
      <c r="C150" s="6" t="s">
        <v>39</v>
      </c>
      <c r="D150" s="5"/>
      <c r="E150" s="5" t="s">
        <v>58</v>
      </c>
      <c r="F150" s="5" t="s">
        <v>73</v>
      </c>
      <c r="G150" s="5" t="s">
        <v>50</v>
      </c>
      <c r="H150" s="5" t="s">
        <v>54</v>
      </c>
      <c r="I150" s="5" t="s">
        <v>51</v>
      </c>
      <c r="J150" s="5" t="s">
        <v>63</v>
      </c>
      <c r="K150" s="5" t="s">
        <v>64</v>
      </c>
      <c r="L150" s="5" t="s">
        <v>60</v>
      </c>
      <c r="M150" s="5" t="s">
        <v>55</v>
      </c>
      <c r="N150" s="5" t="s">
        <v>56</v>
      </c>
      <c r="O150" s="5" t="s">
        <v>210</v>
      </c>
      <c r="P150" s="5" t="s">
        <v>61</v>
      </c>
      <c r="Q150" s="5" t="s">
        <v>75</v>
      </c>
      <c r="R150" s="5" t="s">
        <v>62</v>
      </c>
      <c r="S150" s="5" t="s">
        <v>47</v>
      </c>
      <c r="T150" s="1">
        <v>6</v>
      </c>
      <c r="U150" s="1">
        <v>29</v>
      </c>
      <c r="V150" s="1">
        <v>42</v>
      </c>
    </row>
    <row r="151" spans="1:22" x14ac:dyDescent="0.3">
      <c r="A151" s="3">
        <v>136</v>
      </c>
      <c r="B151" s="4"/>
      <c r="C151" s="6" t="s">
        <v>43</v>
      </c>
      <c r="D151" s="5"/>
      <c r="E151" s="5" t="s">
        <v>69</v>
      </c>
      <c r="F151" s="5" t="s">
        <v>73</v>
      </c>
      <c r="G151" s="5" t="s">
        <v>209</v>
      </c>
      <c r="H151" s="5" t="s">
        <v>207</v>
      </c>
      <c r="I151" s="5" t="s">
        <v>57</v>
      </c>
      <c r="J151" s="5" t="s">
        <v>67</v>
      </c>
      <c r="K151" s="5" t="s">
        <v>74</v>
      </c>
      <c r="L151" s="5" t="s">
        <v>59</v>
      </c>
      <c r="M151" s="5" t="s">
        <v>55</v>
      </c>
      <c r="N151" s="5" t="s">
        <v>48</v>
      </c>
      <c r="O151" s="5" t="s">
        <v>65</v>
      </c>
      <c r="P151" s="5" t="s">
        <v>61</v>
      </c>
      <c r="Q151" s="5" t="s">
        <v>75</v>
      </c>
      <c r="R151" s="5" t="s">
        <v>208</v>
      </c>
      <c r="S151" s="5" t="s">
        <v>47</v>
      </c>
      <c r="T151" s="1">
        <v>6</v>
      </c>
      <c r="U151" s="1">
        <v>22</v>
      </c>
      <c r="V151" s="1">
        <v>41</v>
      </c>
    </row>
    <row r="152" spans="1:22" x14ac:dyDescent="0.3">
      <c r="A152" s="3">
        <v>137</v>
      </c>
      <c r="B152" s="4"/>
      <c r="C152" s="6" t="s">
        <v>195</v>
      </c>
      <c r="D152" s="5"/>
      <c r="E152" s="5" t="s">
        <v>58</v>
      </c>
      <c r="F152" s="5" t="s">
        <v>68</v>
      </c>
      <c r="G152" s="5" t="s">
        <v>209</v>
      </c>
      <c r="H152" s="5" t="s">
        <v>54</v>
      </c>
      <c r="I152" s="5" t="s">
        <v>57</v>
      </c>
      <c r="J152" s="5" t="s">
        <v>63</v>
      </c>
      <c r="K152" s="5" t="s">
        <v>64</v>
      </c>
      <c r="L152" s="5" t="s">
        <v>59</v>
      </c>
      <c r="M152" s="5" t="s">
        <v>55</v>
      </c>
      <c r="N152" s="5" t="s">
        <v>56</v>
      </c>
      <c r="O152" s="5" t="s">
        <v>65</v>
      </c>
      <c r="P152" s="5" t="s">
        <v>61</v>
      </c>
      <c r="Q152" s="5" t="s">
        <v>52</v>
      </c>
      <c r="R152" s="5" t="s">
        <v>208</v>
      </c>
      <c r="S152" s="5" t="s">
        <v>71</v>
      </c>
      <c r="T152" s="1">
        <v>6</v>
      </c>
      <c r="U152" s="1">
        <v>29</v>
      </c>
      <c r="V152" s="1">
        <v>37</v>
      </c>
    </row>
    <row r="153" spans="1:22" x14ac:dyDescent="0.3">
      <c r="A153" s="3">
        <v>138</v>
      </c>
      <c r="B153" s="4"/>
      <c r="C153" s="6" t="s">
        <v>95</v>
      </c>
      <c r="D153" s="5"/>
      <c r="E153" s="5" t="s">
        <v>69</v>
      </c>
      <c r="F153" s="5" t="s">
        <v>73</v>
      </c>
      <c r="G153" s="5" t="s">
        <v>50</v>
      </c>
      <c r="H153" s="5" t="s">
        <v>54</v>
      </c>
      <c r="I153" s="5" t="s">
        <v>57</v>
      </c>
      <c r="J153" s="5" t="s">
        <v>67</v>
      </c>
      <c r="K153" s="5" t="s">
        <v>74</v>
      </c>
      <c r="L153" s="5" t="s">
        <v>60</v>
      </c>
      <c r="M153" s="5" t="s">
        <v>55</v>
      </c>
      <c r="N153" s="5" t="s">
        <v>48</v>
      </c>
      <c r="O153" s="5" t="s">
        <v>210</v>
      </c>
      <c r="P153" s="5" t="s">
        <v>66</v>
      </c>
      <c r="Q153" s="5" t="s">
        <v>75</v>
      </c>
      <c r="R153" s="5" t="s">
        <v>208</v>
      </c>
      <c r="S153" s="5" t="s">
        <v>71</v>
      </c>
      <c r="T153" s="1">
        <v>6</v>
      </c>
      <c r="U153" s="1">
        <v>26</v>
      </c>
      <c r="V153" s="1">
        <v>37</v>
      </c>
    </row>
    <row r="154" spans="1:22" x14ac:dyDescent="0.3">
      <c r="A154" s="3">
        <v>139</v>
      </c>
      <c r="B154" s="4"/>
      <c r="C154" s="6" t="s">
        <v>35</v>
      </c>
      <c r="D154" s="5"/>
      <c r="E154" s="5" t="s">
        <v>58</v>
      </c>
      <c r="F154" s="5" t="s">
        <v>73</v>
      </c>
      <c r="G154" s="5" t="s">
        <v>209</v>
      </c>
      <c r="H154" s="5" t="s">
        <v>207</v>
      </c>
      <c r="I154" s="5" t="s">
        <v>57</v>
      </c>
      <c r="J154" s="5" t="s">
        <v>67</v>
      </c>
      <c r="K154" s="5" t="s">
        <v>74</v>
      </c>
      <c r="L154" s="5" t="s">
        <v>59</v>
      </c>
      <c r="M154" s="5" t="s">
        <v>53</v>
      </c>
      <c r="N154" s="5" t="s">
        <v>48</v>
      </c>
      <c r="O154" s="5" t="s">
        <v>210</v>
      </c>
      <c r="P154" s="5" t="s">
        <v>61</v>
      </c>
      <c r="Q154" s="5" t="s">
        <v>75</v>
      </c>
      <c r="R154" s="5" t="s">
        <v>62</v>
      </c>
      <c r="S154" s="5" t="s">
        <v>47</v>
      </c>
      <c r="T154" s="1">
        <v>6</v>
      </c>
      <c r="U154" s="1">
        <v>27</v>
      </c>
      <c r="V154" s="1">
        <v>35</v>
      </c>
    </row>
    <row r="155" spans="1:22" ht="28.8" x14ac:dyDescent="0.3">
      <c r="A155" s="3">
        <v>140</v>
      </c>
      <c r="B155" s="4"/>
      <c r="C155" s="6" t="s">
        <v>6</v>
      </c>
      <c r="D155" s="5"/>
      <c r="E155" s="5" t="s">
        <v>58</v>
      </c>
      <c r="F155" s="5" t="s">
        <v>68</v>
      </c>
      <c r="G155" s="5" t="s">
        <v>50</v>
      </c>
      <c r="H155" s="5" t="s">
        <v>207</v>
      </c>
      <c r="I155" s="5" t="s">
        <v>57</v>
      </c>
      <c r="J155" s="5" t="s">
        <v>67</v>
      </c>
      <c r="K155" s="5" t="s">
        <v>74</v>
      </c>
      <c r="L155" s="5" t="s">
        <v>59</v>
      </c>
      <c r="M155" s="5" t="s">
        <v>53</v>
      </c>
      <c r="N155" s="5" t="s">
        <v>48</v>
      </c>
      <c r="O155" s="5" t="s">
        <v>210</v>
      </c>
      <c r="P155" s="5" t="s">
        <v>66</v>
      </c>
      <c r="Q155" s="5" t="s">
        <v>75</v>
      </c>
      <c r="R155" s="5" t="s">
        <v>208</v>
      </c>
      <c r="S155" s="5" t="s">
        <v>47</v>
      </c>
      <c r="T155" s="1">
        <v>6</v>
      </c>
      <c r="U155" s="1">
        <v>28</v>
      </c>
      <c r="V155" s="1">
        <v>27</v>
      </c>
    </row>
    <row r="156" spans="1:22" ht="28.8" x14ac:dyDescent="0.3">
      <c r="A156" s="3">
        <v>141</v>
      </c>
      <c r="B156" s="4"/>
      <c r="C156" s="6" t="s">
        <v>179</v>
      </c>
      <c r="D156" s="5"/>
      <c r="E156" s="5" t="s">
        <v>58</v>
      </c>
      <c r="F156" s="5" t="s">
        <v>73</v>
      </c>
      <c r="G156" s="5" t="s">
        <v>209</v>
      </c>
      <c r="H156" s="5" t="s">
        <v>54</v>
      </c>
      <c r="I156" s="5" t="s">
        <v>51</v>
      </c>
      <c r="J156" s="5" t="s">
        <v>67</v>
      </c>
      <c r="K156" s="5" t="s">
        <v>74</v>
      </c>
      <c r="L156" s="5" t="s">
        <v>60</v>
      </c>
      <c r="M156" s="5" t="s">
        <v>55</v>
      </c>
      <c r="N156" s="5" t="s">
        <v>56</v>
      </c>
      <c r="O156" s="5" t="s">
        <v>65</v>
      </c>
      <c r="P156" s="5" t="s">
        <v>61</v>
      </c>
      <c r="Q156" s="5" t="s">
        <v>52</v>
      </c>
      <c r="R156" s="5" t="s">
        <v>62</v>
      </c>
      <c r="S156" s="5" t="s">
        <v>47</v>
      </c>
      <c r="T156" s="1">
        <v>5</v>
      </c>
      <c r="U156" s="1">
        <v>24</v>
      </c>
      <c r="V156" s="1">
        <v>55</v>
      </c>
    </row>
    <row r="157" spans="1:22" x14ac:dyDescent="0.3">
      <c r="A157" s="3">
        <v>142</v>
      </c>
      <c r="B157" s="4"/>
      <c r="C157" s="6" t="s">
        <v>186</v>
      </c>
      <c r="D157" s="5"/>
      <c r="E157" s="5" t="s">
        <v>58</v>
      </c>
      <c r="F157" s="5" t="s">
        <v>68</v>
      </c>
      <c r="G157" s="5" t="s">
        <v>50</v>
      </c>
      <c r="H157" s="5" t="s">
        <v>207</v>
      </c>
      <c r="I157" s="5" t="s">
        <v>57</v>
      </c>
      <c r="J157" s="5" t="s">
        <v>67</v>
      </c>
      <c r="K157" s="5" t="s">
        <v>64</v>
      </c>
      <c r="L157" s="5" t="s">
        <v>60</v>
      </c>
      <c r="M157" s="5" t="s">
        <v>55</v>
      </c>
      <c r="N157" s="5" t="s">
        <v>56</v>
      </c>
      <c r="O157" s="5" t="s">
        <v>65</v>
      </c>
      <c r="P157" s="5" t="s">
        <v>61</v>
      </c>
      <c r="Q157" s="5" t="s">
        <v>75</v>
      </c>
      <c r="R157" s="5" t="s">
        <v>208</v>
      </c>
      <c r="S157" s="5" t="s">
        <v>71</v>
      </c>
      <c r="T157" s="1">
        <v>5</v>
      </c>
      <c r="U157" s="1">
        <v>26</v>
      </c>
      <c r="V157" s="1">
        <v>54</v>
      </c>
    </row>
    <row r="158" spans="1:22" x14ac:dyDescent="0.3">
      <c r="A158" s="3">
        <v>143</v>
      </c>
      <c r="B158" s="4"/>
      <c r="C158" s="6" t="s">
        <v>190</v>
      </c>
      <c r="D158" s="5"/>
      <c r="E158" s="5" t="s">
        <v>58</v>
      </c>
      <c r="F158" s="5" t="s">
        <v>68</v>
      </c>
      <c r="G158" s="5" t="s">
        <v>209</v>
      </c>
      <c r="H158" s="5" t="s">
        <v>207</v>
      </c>
      <c r="I158" s="5" t="s">
        <v>57</v>
      </c>
      <c r="J158" s="5" t="s">
        <v>67</v>
      </c>
      <c r="K158" s="5" t="s">
        <v>74</v>
      </c>
      <c r="L158" s="5" t="s">
        <v>60</v>
      </c>
      <c r="M158" s="5" t="s">
        <v>53</v>
      </c>
      <c r="N158" s="5" t="s">
        <v>56</v>
      </c>
      <c r="O158" s="5" t="s">
        <v>210</v>
      </c>
      <c r="P158" s="5" t="s">
        <v>66</v>
      </c>
      <c r="Q158" s="5" t="s">
        <v>75</v>
      </c>
      <c r="R158" s="5" t="s">
        <v>62</v>
      </c>
      <c r="S158" s="5" t="s">
        <v>71</v>
      </c>
      <c r="T158" s="1">
        <v>5</v>
      </c>
      <c r="U158" s="1">
        <v>24</v>
      </c>
      <c r="V158" s="1">
        <v>50</v>
      </c>
    </row>
    <row r="159" spans="1:22" x14ac:dyDescent="0.3">
      <c r="A159" s="3">
        <v>144</v>
      </c>
      <c r="B159" s="4"/>
      <c r="C159" s="6" t="s">
        <v>156</v>
      </c>
      <c r="D159" s="5"/>
      <c r="E159" s="5" t="s">
        <v>58</v>
      </c>
      <c r="F159" s="5" t="s">
        <v>68</v>
      </c>
      <c r="G159" s="5" t="s">
        <v>209</v>
      </c>
      <c r="H159" s="5" t="s">
        <v>207</v>
      </c>
      <c r="I159" s="5" t="s">
        <v>57</v>
      </c>
      <c r="J159" s="5" t="s">
        <v>67</v>
      </c>
      <c r="K159" s="5" t="s">
        <v>64</v>
      </c>
      <c r="L159" s="5" t="s">
        <v>60</v>
      </c>
      <c r="M159" s="5" t="s">
        <v>53</v>
      </c>
      <c r="N159" s="5" t="s">
        <v>56</v>
      </c>
      <c r="O159" s="5" t="s">
        <v>210</v>
      </c>
      <c r="P159" s="5" t="s">
        <v>61</v>
      </c>
      <c r="Q159" s="5" t="s">
        <v>75</v>
      </c>
      <c r="R159" s="5" t="s">
        <v>62</v>
      </c>
      <c r="S159" s="5" t="s">
        <v>71</v>
      </c>
      <c r="T159" s="1">
        <v>5</v>
      </c>
      <c r="U159" s="1">
        <v>29</v>
      </c>
      <c r="V159" s="1">
        <v>48</v>
      </c>
    </row>
    <row r="160" spans="1:22" x14ac:dyDescent="0.3">
      <c r="A160" s="3">
        <v>145</v>
      </c>
      <c r="B160" s="4"/>
      <c r="C160" s="6" t="s">
        <v>151</v>
      </c>
      <c r="D160" s="5"/>
      <c r="E160" s="5" t="s">
        <v>58</v>
      </c>
      <c r="F160" s="5" t="s">
        <v>73</v>
      </c>
      <c r="G160" s="5" t="s">
        <v>209</v>
      </c>
      <c r="H160" s="5" t="s">
        <v>54</v>
      </c>
      <c r="I160" s="5" t="s">
        <v>51</v>
      </c>
      <c r="J160" s="5" t="s">
        <v>67</v>
      </c>
      <c r="K160" s="5" t="s">
        <v>74</v>
      </c>
      <c r="L160" s="5" t="s">
        <v>59</v>
      </c>
      <c r="M160" s="5" t="s">
        <v>53</v>
      </c>
      <c r="N160" s="5" t="s">
        <v>56</v>
      </c>
      <c r="O160" s="5" t="s">
        <v>210</v>
      </c>
      <c r="P160" s="5" t="s">
        <v>61</v>
      </c>
      <c r="Q160" s="5" t="s">
        <v>52</v>
      </c>
      <c r="R160" s="5" t="s">
        <v>208</v>
      </c>
      <c r="S160" s="5" t="s">
        <v>47</v>
      </c>
      <c r="T160" s="1">
        <v>5</v>
      </c>
      <c r="U160" s="1">
        <v>27</v>
      </c>
      <c r="V160" s="1">
        <v>46</v>
      </c>
    </row>
    <row r="161" spans="1:22" x14ac:dyDescent="0.3">
      <c r="A161" s="3">
        <v>146</v>
      </c>
      <c r="B161" s="4"/>
      <c r="C161" s="6" t="s">
        <v>12</v>
      </c>
      <c r="D161" s="5"/>
      <c r="E161" s="5" t="s">
        <v>58</v>
      </c>
      <c r="F161" s="5" t="s">
        <v>68</v>
      </c>
      <c r="G161" s="5" t="s">
        <v>50</v>
      </c>
      <c r="H161" s="5" t="s">
        <v>207</v>
      </c>
      <c r="I161" s="5" t="s">
        <v>57</v>
      </c>
      <c r="J161" s="5" t="s">
        <v>63</v>
      </c>
      <c r="K161" s="5" t="s">
        <v>74</v>
      </c>
      <c r="L161" s="5" t="s">
        <v>60</v>
      </c>
      <c r="M161" s="5" t="s">
        <v>55</v>
      </c>
      <c r="N161" s="5" t="s">
        <v>56</v>
      </c>
      <c r="O161" s="5" t="s">
        <v>210</v>
      </c>
      <c r="P161" s="5" t="s">
        <v>66</v>
      </c>
      <c r="Q161" s="5" t="s">
        <v>75</v>
      </c>
      <c r="R161" s="5" t="s">
        <v>62</v>
      </c>
      <c r="S161" s="5" t="s">
        <v>47</v>
      </c>
      <c r="T161" s="1">
        <v>5</v>
      </c>
      <c r="U161" s="1">
        <v>27</v>
      </c>
      <c r="V161" s="1">
        <v>45</v>
      </c>
    </row>
    <row r="162" spans="1:22" x14ac:dyDescent="0.3">
      <c r="A162" s="3">
        <v>147</v>
      </c>
      <c r="B162" s="4"/>
      <c r="C162" s="6" t="s">
        <v>157</v>
      </c>
      <c r="D162" s="5"/>
      <c r="E162" s="5" t="s">
        <v>58</v>
      </c>
      <c r="F162" s="5" t="s">
        <v>68</v>
      </c>
      <c r="G162" s="5" t="s">
        <v>50</v>
      </c>
      <c r="H162" s="5" t="s">
        <v>54</v>
      </c>
      <c r="I162" s="5" t="s">
        <v>51</v>
      </c>
      <c r="J162" s="5" t="s">
        <v>67</v>
      </c>
      <c r="K162" s="5" t="s">
        <v>74</v>
      </c>
      <c r="L162" s="5" t="s">
        <v>59</v>
      </c>
      <c r="M162" s="5" t="s">
        <v>55</v>
      </c>
      <c r="N162" s="5" t="s">
        <v>48</v>
      </c>
      <c r="O162" s="5" t="s">
        <v>210</v>
      </c>
      <c r="P162" s="5" t="s">
        <v>66</v>
      </c>
      <c r="Q162" s="5" t="s">
        <v>75</v>
      </c>
      <c r="R162" s="5" t="s">
        <v>208</v>
      </c>
      <c r="S162" s="5" t="s">
        <v>47</v>
      </c>
      <c r="T162" s="1">
        <v>5</v>
      </c>
      <c r="U162" s="1">
        <v>23</v>
      </c>
      <c r="V162" s="1">
        <v>44</v>
      </c>
    </row>
    <row r="163" spans="1:22" x14ac:dyDescent="0.3">
      <c r="A163" s="3">
        <v>148</v>
      </c>
      <c r="B163" s="4"/>
      <c r="C163" s="6" t="s">
        <v>31</v>
      </c>
      <c r="D163" s="5"/>
      <c r="E163" s="5" t="s">
        <v>58</v>
      </c>
      <c r="F163" s="5" t="s">
        <v>68</v>
      </c>
      <c r="G163" s="5" t="s">
        <v>209</v>
      </c>
      <c r="H163" s="5" t="s">
        <v>207</v>
      </c>
      <c r="I163" s="5" t="s">
        <v>57</v>
      </c>
      <c r="J163" s="5" t="s">
        <v>63</v>
      </c>
      <c r="K163" s="5" t="s">
        <v>74</v>
      </c>
      <c r="L163" s="5" t="s">
        <v>59</v>
      </c>
      <c r="M163" s="5" t="s">
        <v>55</v>
      </c>
      <c r="N163" s="5" t="s">
        <v>48</v>
      </c>
      <c r="O163" s="5" t="s">
        <v>210</v>
      </c>
      <c r="P163" s="5" t="s">
        <v>61</v>
      </c>
      <c r="Q163" s="5" t="s">
        <v>75</v>
      </c>
      <c r="R163" s="5" t="s">
        <v>62</v>
      </c>
      <c r="S163" s="5" t="s">
        <v>47</v>
      </c>
      <c r="T163" s="1">
        <v>5</v>
      </c>
      <c r="U163" s="1">
        <v>25</v>
      </c>
      <c r="V163" s="1">
        <v>42</v>
      </c>
    </row>
    <row r="164" spans="1:22" x14ac:dyDescent="0.3">
      <c r="A164" s="3">
        <v>149</v>
      </c>
      <c r="B164" s="4"/>
      <c r="C164" s="6" t="s">
        <v>33</v>
      </c>
      <c r="D164" s="5"/>
      <c r="E164" s="5" t="s">
        <v>58</v>
      </c>
      <c r="F164" s="5" t="s">
        <v>73</v>
      </c>
      <c r="G164" s="5" t="s">
        <v>209</v>
      </c>
      <c r="H164" s="5" t="s">
        <v>54</v>
      </c>
      <c r="I164" s="5" t="s">
        <v>51</v>
      </c>
      <c r="J164" s="5" t="s">
        <v>67</v>
      </c>
      <c r="K164" s="5" t="s">
        <v>74</v>
      </c>
      <c r="L164" s="5" t="s">
        <v>59</v>
      </c>
      <c r="M164" s="5" t="s">
        <v>55</v>
      </c>
      <c r="N164" s="5" t="s">
        <v>56</v>
      </c>
      <c r="O164" s="5" t="s">
        <v>210</v>
      </c>
      <c r="P164" s="5" t="s">
        <v>66</v>
      </c>
      <c r="Q164" s="5" t="s">
        <v>75</v>
      </c>
      <c r="R164" s="5" t="s">
        <v>208</v>
      </c>
      <c r="S164" s="5" t="s">
        <v>71</v>
      </c>
      <c r="T164" s="1">
        <v>5</v>
      </c>
      <c r="U164" s="1">
        <v>29</v>
      </c>
      <c r="V164" s="1">
        <v>42</v>
      </c>
    </row>
    <row r="165" spans="1:22" x14ac:dyDescent="0.3">
      <c r="A165" s="3">
        <v>150</v>
      </c>
      <c r="B165" s="4"/>
      <c r="C165" s="6" t="s">
        <v>141</v>
      </c>
      <c r="D165" s="5"/>
      <c r="E165" s="5" t="s">
        <v>69</v>
      </c>
      <c r="F165" s="5" t="s">
        <v>68</v>
      </c>
      <c r="G165" s="5" t="s">
        <v>209</v>
      </c>
      <c r="H165" s="5" t="s">
        <v>54</v>
      </c>
      <c r="I165" s="5" t="s">
        <v>51</v>
      </c>
      <c r="J165" s="5" t="s">
        <v>67</v>
      </c>
      <c r="K165" s="5" t="s">
        <v>64</v>
      </c>
      <c r="L165" s="5" t="s">
        <v>59</v>
      </c>
      <c r="M165" s="5" t="s">
        <v>55</v>
      </c>
      <c r="N165" s="5" t="s">
        <v>56</v>
      </c>
      <c r="O165" s="5" t="s">
        <v>65</v>
      </c>
      <c r="P165" s="5" t="s">
        <v>61</v>
      </c>
      <c r="Q165" s="5" t="s">
        <v>75</v>
      </c>
      <c r="R165" s="5" t="s">
        <v>208</v>
      </c>
      <c r="S165" s="5" t="s">
        <v>47</v>
      </c>
      <c r="T165" s="1">
        <v>5</v>
      </c>
      <c r="U165" s="1">
        <v>29</v>
      </c>
      <c r="V165" s="1">
        <v>41</v>
      </c>
    </row>
    <row r="166" spans="1:22" ht="28.8" x14ac:dyDescent="0.3">
      <c r="A166" s="3">
        <v>151</v>
      </c>
      <c r="B166" s="4"/>
      <c r="C166" s="6" t="s">
        <v>133</v>
      </c>
      <c r="D166" s="5"/>
      <c r="E166" s="5" t="s">
        <v>58</v>
      </c>
      <c r="F166" s="5" t="s">
        <v>73</v>
      </c>
      <c r="G166" s="5" t="s">
        <v>209</v>
      </c>
      <c r="H166" s="5" t="s">
        <v>54</v>
      </c>
      <c r="I166" s="5" t="s">
        <v>57</v>
      </c>
      <c r="J166" s="5" t="s">
        <v>67</v>
      </c>
      <c r="K166" s="5" t="s">
        <v>74</v>
      </c>
      <c r="L166" s="5" t="s">
        <v>60</v>
      </c>
      <c r="M166" s="5" t="s">
        <v>53</v>
      </c>
      <c r="N166" s="5" t="s">
        <v>56</v>
      </c>
      <c r="O166" s="5" t="s">
        <v>65</v>
      </c>
      <c r="P166" s="5" t="s">
        <v>61</v>
      </c>
      <c r="Q166" s="5" t="s">
        <v>75</v>
      </c>
      <c r="R166" s="5" t="s">
        <v>62</v>
      </c>
      <c r="S166" s="5" t="s">
        <v>71</v>
      </c>
      <c r="T166" s="1">
        <v>5</v>
      </c>
      <c r="U166" s="1">
        <v>19</v>
      </c>
      <c r="V166" s="1">
        <v>36</v>
      </c>
    </row>
    <row r="167" spans="1:22" ht="28.8" x14ac:dyDescent="0.3">
      <c r="A167" s="3">
        <v>152</v>
      </c>
      <c r="B167" s="4"/>
      <c r="C167" s="6" t="s">
        <v>143</v>
      </c>
      <c r="D167" s="5"/>
      <c r="E167" s="5" t="s">
        <v>58</v>
      </c>
      <c r="F167" s="5" t="s">
        <v>73</v>
      </c>
      <c r="G167" s="5" t="s">
        <v>209</v>
      </c>
      <c r="H167" s="5" t="s">
        <v>207</v>
      </c>
      <c r="I167" s="5" t="s">
        <v>57</v>
      </c>
      <c r="J167" s="5" t="s">
        <v>67</v>
      </c>
      <c r="K167" s="5" t="s">
        <v>74</v>
      </c>
      <c r="L167" s="5" t="s">
        <v>59</v>
      </c>
      <c r="M167" s="5" t="s">
        <v>55</v>
      </c>
      <c r="N167" s="5" t="s">
        <v>56</v>
      </c>
      <c r="O167" s="5" t="s">
        <v>210</v>
      </c>
      <c r="P167" s="5" t="s">
        <v>61</v>
      </c>
      <c r="Q167" s="5" t="s">
        <v>75</v>
      </c>
      <c r="R167" s="5" t="s">
        <v>208</v>
      </c>
      <c r="S167" s="5" t="s">
        <v>71</v>
      </c>
      <c r="T167" s="1">
        <v>4</v>
      </c>
      <c r="U167" s="1">
        <v>27</v>
      </c>
      <c r="V167" s="1">
        <v>50</v>
      </c>
    </row>
    <row r="168" spans="1:22" ht="43.2" x14ac:dyDescent="0.3">
      <c r="A168" s="3">
        <v>153</v>
      </c>
      <c r="B168" s="4"/>
      <c r="C168" s="6" t="s">
        <v>188</v>
      </c>
      <c r="D168" s="5"/>
      <c r="E168" s="5" t="s">
        <v>58</v>
      </c>
      <c r="F168" s="5" t="s">
        <v>73</v>
      </c>
      <c r="G168" s="5" t="s">
        <v>209</v>
      </c>
      <c r="H168" s="5" t="s">
        <v>54</v>
      </c>
      <c r="I168" s="5" t="s">
        <v>57</v>
      </c>
      <c r="J168" s="5" t="s">
        <v>67</v>
      </c>
      <c r="K168" s="5" t="s">
        <v>74</v>
      </c>
      <c r="L168" s="5" t="s">
        <v>60</v>
      </c>
      <c r="M168" s="5" t="s">
        <v>53</v>
      </c>
      <c r="N168" s="5" t="s">
        <v>48</v>
      </c>
      <c r="O168" s="5" t="s">
        <v>210</v>
      </c>
      <c r="P168" s="5" t="s">
        <v>61</v>
      </c>
      <c r="Q168" s="5" t="s">
        <v>75</v>
      </c>
      <c r="R168" s="5" t="s">
        <v>62</v>
      </c>
      <c r="S168" s="5" t="s">
        <v>47</v>
      </c>
      <c r="T168" s="1">
        <v>4</v>
      </c>
      <c r="U168" s="1">
        <v>23</v>
      </c>
      <c r="V168" s="1">
        <v>49</v>
      </c>
    </row>
    <row r="169" spans="1:22" ht="28.8" x14ac:dyDescent="0.3">
      <c r="A169" s="3">
        <v>154</v>
      </c>
      <c r="B169" s="4"/>
      <c r="C169" s="6" t="s">
        <v>108</v>
      </c>
      <c r="D169" s="5"/>
      <c r="E169" s="5" t="s">
        <v>69</v>
      </c>
      <c r="F169" s="5" t="s">
        <v>68</v>
      </c>
      <c r="G169" s="5" t="s">
        <v>209</v>
      </c>
      <c r="H169" s="5" t="s">
        <v>54</v>
      </c>
      <c r="I169" s="5" t="s">
        <v>57</v>
      </c>
      <c r="J169" s="5" t="s">
        <v>63</v>
      </c>
      <c r="K169" s="5" t="s">
        <v>74</v>
      </c>
      <c r="L169" s="5" t="s">
        <v>60</v>
      </c>
      <c r="M169" s="5" t="s">
        <v>55</v>
      </c>
      <c r="N169" s="5" t="s">
        <v>56</v>
      </c>
      <c r="O169" s="5" t="s">
        <v>65</v>
      </c>
      <c r="P169" s="5" t="s">
        <v>61</v>
      </c>
      <c r="Q169" s="5" t="s">
        <v>75</v>
      </c>
      <c r="R169" s="5" t="s">
        <v>208</v>
      </c>
      <c r="S169" s="5" t="s">
        <v>71</v>
      </c>
      <c r="T169" s="1">
        <v>4</v>
      </c>
      <c r="U169" s="1">
        <v>30</v>
      </c>
      <c r="V169" s="1">
        <v>45</v>
      </c>
    </row>
    <row r="170" spans="1:22" x14ac:dyDescent="0.3">
      <c r="A170" s="3">
        <v>155</v>
      </c>
      <c r="B170" s="4"/>
      <c r="C170" s="6" t="s">
        <v>96</v>
      </c>
      <c r="D170" s="5"/>
      <c r="E170" s="5" t="s">
        <v>58</v>
      </c>
      <c r="F170" s="5" t="s">
        <v>68</v>
      </c>
      <c r="G170" s="5" t="s">
        <v>209</v>
      </c>
      <c r="H170" s="5" t="s">
        <v>54</v>
      </c>
      <c r="I170" s="5" t="s">
        <v>51</v>
      </c>
      <c r="J170" s="5" t="s">
        <v>67</v>
      </c>
      <c r="K170" s="5" t="s">
        <v>74</v>
      </c>
      <c r="L170" s="5" t="s">
        <v>59</v>
      </c>
      <c r="M170" s="5" t="s">
        <v>53</v>
      </c>
      <c r="N170" s="5" t="s">
        <v>56</v>
      </c>
      <c r="O170" s="5" t="s">
        <v>65</v>
      </c>
      <c r="P170" s="5" t="s">
        <v>61</v>
      </c>
      <c r="Q170" s="5" t="s">
        <v>75</v>
      </c>
      <c r="R170" s="5" t="s">
        <v>208</v>
      </c>
      <c r="S170" s="5" t="s">
        <v>47</v>
      </c>
      <c r="T170" s="1">
        <v>4</v>
      </c>
      <c r="U170" s="1">
        <v>25</v>
      </c>
      <c r="V170" s="1">
        <v>44</v>
      </c>
    </row>
    <row r="171" spans="1:22" ht="28.8" x14ac:dyDescent="0.3">
      <c r="A171" s="3">
        <v>156</v>
      </c>
      <c r="B171" s="4"/>
      <c r="C171" s="6" t="s">
        <v>182</v>
      </c>
      <c r="D171" s="5"/>
      <c r="E171" s="5" t="s">
        <v>58</v>
      </c>
      <c r="F171" s="5" t="s">
        <v>68</v>
      </c>
      <c r="G171" s="5" t="s">
        <v>209</v>
      </c>
      <c r="H171" s="5" t="s">
        <v>54</v>
      </c>
      <c r="I171" s="5" t="s">
        <v>57</v>
      </c>
      <c r="J171" s="5" t="s">
        <v>67</v>
      </c>
      <c r="K171" s="5" t="s">
        <v>74</v>
      </c>
      <c r="L171" s="5" t="s">
        <v>60</v>
      </c>
      <c r="M171" s="5" t="s">
        <v>53</v>
      </c>
      <c r="N171" s="5" t="s">
        <v>48</v>
      </c>
      <c r="O171" s="5" t="s">
        <v>65</v>
      </c>
      <c r="P171" s="5" t="s">
        <v>61</v>
      </c>
      <c r="Q171" s="5" t="s">
        <v>75</v>
      </c>
      <c r="R171" s="5" t="s">
        <v>208</v>
      </c>
      <c r="S171" s="5" t="s">
        <v>71</v>
      </c>
      <c r="T171" s="1">
        <v>4</v>
      </c>
      <c r="U171" s="1">
        <v>22</v>
      </c>
      <c r="V171" s="1">
        <v>42</v>
      </c>
    </row>
    <row r="172" spans="1:22" x14ac:dyDescent="0.3">
      <c r="A172" s="3">
        <v>157</v>
      </c>
      <c r="B172" s="4"/>
      <c r="C172" s="6" t="s">
        <v>79</v>
      </c>
      <c r="D172" s="5"/>
      <c r="E172" s="5" t="s">
        <v>58</v>
      </c>
      <c r="F172" s="5" t="s">
        <v>68</v>
      </c>
      <c r="G172" s="5" t="s">
        <v>209</v>
      </c>
      <c r="H172" s="5" t="s">
        <v>207</v>
      </c>
      <c r="I172" s="5" t="s">
        <v>57</v>
      </c>
      <c r="J172" s="5" t="s">
        <v>67</v>
      </c>
      <c r="K172" s="5" t="s">
        <v>74</v>
      </c>
      <c r="L172" s="5" t="s">
        <v>59</v>
      </c>
      <c r="M172" s="5" t="s">
        <v>55</v>
      </c>
      <c r="N172" s="5" t="s">
        <v>56</v>
      </c>
      <c r="O172" s="5" t="s">
        <v>65</v>
      </c>
      <c r="P172" s="5" t="s">
        <v>61</v>
      </c>
      <c r="Q172" s="5" t="s">
        <v>75</v>
      </c>
      <c r="R172" s="5" t="s">
        <v>208</v>
      </c>
      <c r="S172" s="5" t="s">
        <v>71</v>
      </c>
      <c r="T172" s="1">
        <v>4</v>
      </c>
      <c r="U172" s="1">
        <v>19</v>
      </c>
      <c r="V172" s="1">
        <v>36</v>
      </c>
    </row>
    <row r="173" spans="1:22" ht="28.8" x14ac:dyDescent="0.3">
      <c r="A173" s="3">
        <v>158</v>
      </c>
      <c r="B173" s="4"/>
      <c r="C173" s="6" t="s">
        <v>8</v>
      </c>
      <c r="D173" s="5"/>
      <c r="E173" s="5" t="s">
        <v>58</v>
      </c>
      <c r="F173" s="5" t="s">
        <v>73</v>
      </c>
      <c r="G173" s="5" t="s">
        <v>209</v>
      </c>
      <c r="H173" s="5" t="s">
        <v>54</v>
      </c>
      <c r="I173" s="5" t="s">
        <v>57</v>
      </c>
      <c r="J173" s="5" t="s">
        <v>67</v>
      </c>
      <c r="K173" s="5" t="s">
        <v>64</v>
      </c>
      <c r="L173" s="5" t="s">
        <v>60</v>
      </c>
      <c r="M173" s="5" t="s">
        <v>55</v>
      </c>
      <c r="N173" s="5" t="s">
        <v>56</v>
      </c>
      <c r="O173" s="5" t="s">
        <v>210</v>
      </c>
      <c r="P173" s="5" t="s">
        <v>66</v>
      </c>
      <c r="Q173" s="5" t="s">
        <v>75</v>
      </c>
      <c r="R173" s="5" t="s">
        <v>208</v>
      </c>
      <c r="S173" s="5" t="s">
        <v>71</v>
      </c>
      <c r="T173" s="1">
        <v>4</v>
      </c>
      <c r="U173" s="1">
        <v>28</v>
      </c>
      <c r="V173" s="1">
        <v>34</v>
      </c>
    </row>
    <row r="174" spans="1:22" ht="28.8" x14ac:dyDescent="0.3">
      <c r="A174" s="3">
        <v>159</v>
      </c>
      <c r="B174" s="4"/>
      <c r="C174" s="6" t="s">
        <v>114</v>
      </c>
      <c r="D174" s="5"/>
      <c r="E174" s="5" t="s">
        <v>58</v>
      </c>
      <c r="F174" s="5" t="s">
        <v>73</v>
      </c>
      <c r="G174" s="5" t="s">
        <v>50</v>
      </c>
      <c r="H174" s="5" t="s">
        <v>54</v>
      </c>
      <c r="I174" s="5" t="s">
        <v>57</v>
      </c>
      <c r="J174" s="5" t="s">
        <v>67</v>
      </c>
      <c r="K174" s="5" t="s">
        <v>74</v>
      </c>
      <c r="L174" s="5" t="s">
        <v>60</v>
      </c>
      <c r="M174" s="5" t="s">
        <v>53</v>
      </c>
      <c r="N174" s="5" t="s">
        <v>56</v>
      </c>
      <c r="O174" s="5" t="s">
        <v>210</v>
      </c>
      <c r="P174" s="5" t="s">
        <v>61</v>
      </c>
      <c r="Q174" s="5" t="s">
        <v>75</v>
      </c>
      <c r="R174" s="5" t="s">
        <v>208</v>
      </c>
      <c r="S174" s="5" t="s">
        <v>47</v>
      </c>
      <c r="T174" s="1">
        <v>3</v>
      </c>
      <c r="U174" s="1">
        <v>30</v>
      </c>
      <c r="V174" s="1">
        <v>49</v>
      </c>
    </row>
    <row r="175" spans="1:22" x14ac:dyDescent="0.3">
      <c r="A175" s="3">
        <v>160</v>
      </c>
      <c r="B175" s="4"/>
      <c r="C175" s="6" t="s">
        <v>105</v>
      </c>
      <c r="D175" s="5"/>
      <c r="E175" s="5" t="s">
        <v>69</v>
      </c>
      <c r="F175" s="5" t="s">
        <v>68</v>
      </c>
      <c r="G175" s="5" t="s">
        <v>50</v>
      </c>
      <c r="H175" s="5" t="s">
        <v>54</v>
      </c>
      <c r="I175" s="5" t="s">
        <v>57</v>
      </c>
      <c r="J175" s="5" t="s">
        <v>67</v>
      </c>
      <c r="K175" s="5" t="s">
        <v>74</v>
      </c>
      <c r="L175" s="5" t="s">
        <v>60</v>
      </c>
      <c r="M175" s="5" t="s">
        <v>55</v>
      </c>
      <c r="N175" s="5" t="s">
        <v>56</v>
      </c>
      <c r="O175" s="5" t="s">
        <v>210</v>
      </c>
      <c r="P175" s="5" t="s">
        <v>61</v>
      </c>
      <c r="Q175" s="5" t="s">
        <v>52</v>
      </c>
      <c r="R175" s="5" t="s">
        <v>208</v>
      </c>
      <c r="S175" s="5" t="s">
        <v>47</v>
      </c>
      <c r="T175" s="1">
        <v>3</v>
      </c>
      <c r="U175" s="1">
        <v>26</v>
      </c>
      <c r="V175" s="1">
        <v>49</v>
      </c>
    </row>
    <row r="176" spans="1:22" ht="28.8" x14ac:dyDescent="0.3">
      <c r="A176" s="3">
        <v>161</v>
      </c>
      <c r="B176" s="4"/>
      <c r="C176" s="6" t="s">
        <v>160</v>
      </c>
      <c r="D176" s="5"/>
      <c r="E176" s="5" t="s">
        <v>69</v>
      </c>
      <c r="F176" s="5" t="s">
        <v>73</v>
      </c>
      <c r="G176" s="5" t="s">
        <v>209</v>
      </c>
      <c r="H176" s="5" t="s">
        <v>54</v>
      </c>
      <c r="I176" s="5" t="s">
        <v>57</v>
      </c>
      <c r="J176" s="5" t="s">
        <v>67</v>
      </c>
      <c r="K176" s="5" t="s">
        <v>74</v>
      </c>
      <c r="L176" s="5" t="s">
        <v>60</v>
      </c>
      <c r="M176" s="5" t="s">
        <v>55</v>
      </c>
      <c r="N176" s="5" t="s">
        <v>56</v>
      </c>
      <c r="O176" s="5" t="s">
        <v>210</v>
      </c>
      <c r="P176" s="5" t="s">
        <v>61</v>
      </c>
      <c r="Q176" s="5" t="s">
        <v>52</v>
      </c>
      <c r="R176" s="5" t="s">
        <v>208</v>
      </c>
      <c r="S176" s="5" t="s">
        <v>47</v>
      </c>
      <c r="T176" s="1">
        <v>3</v>
      </c>
      <c r="U176" s="1">
        <v>20</v>
      </c>
      <c r="V176" s="1">
        <v>44</v>
      </c>
    </row>
    <row r="177" spans="1:22" x14ac:dyDescent="0.3">
      <c r="A177" s="3">
        <v>162</v>
      </c>
      <c r="B177" s="4"/>
      <c r="C177" s="6" t="s">
        <v>7</v>
      </c>
      <c r="D177" s="5"/>
      <c r="E177" s="5" t="s">
        <v>58</v>
      </c>
      <c r="F177" s="5" t="s">
        <v>68</v>
      </c>
      <c r="G177" s="5" t="s">
        <v>209</v>
      </c>
      <c r="H177" s="5" t="s">
        <v>207</v>
      </c>
      <c r="I177" s="5" t="s">
        <v>57</v>
      </c>
      <c r="J177" s="5" t="s">
        <v>67</v>
      </c>
      <c r="K177" s="5" t="s">
        <v>74</v>
      </c>
      <c r="L177" s="5" t="s">
        <v>59</v>
      </c>
      <c r="M177" s="5" t="s">
        <v>55</v>
      </c>
      <c r="N177" s="5" t="s">
        <v>56</v>
      </c>
      <c r="O177" s="5" t="s">
        <v>210</v>
      </c>
      <c r="P177" s="5" t="s">
        <v>61</v>
      </c>
      <c r="Q177" s="5" t="s">
        <v>75</v>
      </c>
      <c r="R177" s="5" t="s">
        <v>62</v>
      </c>
      <c r="S177" s="5" t="s">
        <v>47</v>
      </c>
      <c r="T177" s="1">
        <v>3</v>
      </c>
      <c r="U177" s="1">
        <v>20</v>
      </c>
      <c r="V177" s="1">
        <v>32</v>
      </c>
    </row>
    <row r="178" spans="1:22" x14ac:dyDescent="0.3">
      <c r="A178" s="3">
        <v>163</v>
      </c>
      <c r="B178" s="4"/>
      <c r="C178" s="6" t="s">
        <v>131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">
        <v>0</v>
      </c>
      <c r="U178" s="1">
        <v>16</v>
      </c>
      <c r="V178" s="1"/>
    </row>
  </sheetData>
  <mergeCells count="4">
    <mergeCell ref="A9:A15"/>
    <mergeCell ref="B9:B15"/>
    <mergeCell ref="T9:T15"/>
    <mergeCell ref="U9:U15"/>
  </mergeCells>
  <conditionalFormatting sqref="E4:S4">
    <cfRule type="colorScale" priority="9">
      <colorScale>
        <cfvo type="min"/>
        <cfvo type="max"/>
        <color rgb="FFFF7128"/>
        <color rgb="FFFFEF9C"/>
      </colorScale>
    </cfRule>
  </conditionalFormatting>
  <conditionalFormatting sqref="R7:S7">
    <cfRule type="cellIs" dxfId="119" priority="7" operator="equal">
      <formula>"Y"</formula>
    </cfRule>
    <cfRule type="cellIs" dxfId="118" priority="8" operator="equal">
      <formula>"N"</formula>
    </cfRule>
  </conditionalFormatting>
  <conditionalFormatting sqref="E2:S3">
    <cfRule type="cellIs" dxfId="117" priority="5" operator="equal">
      <formula>"Y"</formula>
    </cfRule>
    <cfRule type="cellIs" dxfId="116" priority="6" operator="equal">
      <formula>"N"</formula>
    </cfRule>
  </conditionalFormatting>
  <conditionalFormatting sqref="U7">
    <cfRule type="cellIs" dxfId="115" priority="3" operator="equal">
      <formula>"Y"</formula>
    </cfRule>
    <cfRule type="cellIs" dxfId="114" priority="4" operator="equal">
      <formula>"N"</formula>
    </cfRule>
  </conditionalFormatting>
  <conditionalFormatting sqref="E7:S7">
    <cfRule type="cellIs" dxfId="113" priority="1" operator="equal">
      <formula>"Y"</formula>
    </cfRule>
    <cfRule type="cellIs" dxfId="112" priority="2" operator="equal">
      <formula>"N"</formula>
    </cfRule>
  </conditionalFormatting>
  <hyperlinks>
    <hyperlink ref="C16" r:id="rId1" display="https://poolhost.com/profootball/playerstats/1676654"/>
    <hyperlink ref="C17" r:id="rId2" display="https://poolhost.com/profootball/playerstats/1702449"/>
    <hyperlink ref="C18" r:id="rId3" display="https://poolhost.com/profootball/playerstats/1667376"/>
    <hyperlink ref="C19" r:id="rId4" display="https://poolhost.com/profootball/playerstats/1734363"/>
    <hyperlink ref="C20" r:id="rId5" display="https://poolhost.com/profootball/playerstats/1721307"/>
    <hyperlink ref="C21" r:id="rId6" display="https://poolhost.com/profootball/playerstats/1709781"/>
    <hyperlink ref="C22" r:id="rId7" display="https://poolhost.com/profootball/playerstats/1684290"/>
    <hyperlink ref="C23" r:id="rId8" display="https://poolhost.com/profootball/playerstats/1667866"/>
    <hyperlink ref="C24" r:id="rId9" display="https://poolhost.com/profootball/playerstats/1723980"/>
    <hyperlink ref="C25" r:id="rId10" display="https://poolhost.com/profootball/playerstats/1668682"/>
    <hyperlink ref="C26" r:id="rId11" display="https://poolhost.com/profootball/playerstats/1674022"/>
    <hyperlink ref="C27" r:id="rId12" display="https://poolhost.com/profootball/playerstats/1649341"/>
    <hyperlink ref="C28" r:id="rId13" display="https://poolhost.com/profootball/playerstats/1726326"/>
    <hyperlink ref="C29" r:id="rId14" display="https://poolhost.com/profootball/playerstats/1722286"/>
    <hyperlink ref="C30" r:id="rId15" display="https://poolhost.com/profootball/playerstats/1671837"/>
    <hyperlink ref="C31" r:id="rId16" display="https://poolhost.com/profootball/playerstats/1657583"/>
    <hyperlink ref="C32" r:id="rId17" display="https://poolhost.com/profootball/playerstats/1669212"/>
    <hyperlink ref="C33" r:id="rId18" display="https://poolhost.com/profootball/playerstats/1667937"/>
    <hyperlink ref="C34" r:id="rId19" display="https://poolhost.com/profootball/playerstats/1735486"/>
    <hyperlink ref="C35" r:id="rId20" display="https://poolhost.com/profootball/playerstats/1700155"/>
    <hyperlink ref="C36" r:id="rId21" display="https://poolhost.com/profootball/playerstats/1708505"/>
    <hyperlink ref="C37" r:id="rId22" display="https://poolhost.com/profootball/playerstats/1659875"/>
    <hyperlink ref="C38" r:id="rId23" display="https://poolhost.com/profootball/playerstats/1729491"/>
    <hyperlink ref="C39" r:id="rId24" display="https://poolhost.com/profootball/playerstats/1666027"/>
    <hyperlink ref="C40" r:id="rId25" display="https://poolhost.com/profootball/playerstats/1699810"/>
    <hyperlink ref="C41" r:id="rId26" display="https://poolhost.com/profootball/playerstats/1681946"/>
    <hyperlink ref="C42" r:id="rId27" display="https://poolhost.com/profootball/playerstats/1730347"/>
    <hyperlink ref="C43" r:id="rId28" display="https://poolhost.com/profootball/playerstats/1654649"/>
    <hyperlink ref="C44" r:id="rId29" display="https://poolhost.com/profootball/playerstats/1677370"/>
    <hyperlink ref="C45" r:id="rId30" display="https://poolhost.com/profootball/playerstats/1721401"/>
    <hyperlink ref="C46" r:id="rId31" display="https://poolhost.com/profootball/playerstats/1670025"/>
    <hyperlink ref="C47" r:id="rId32" display="https://poolhost.com/profootball/playerstats/1705346"/>
    <hyperlink ref="C48" r:id="rId33" display="https://poolhost.com/profootball/playerstats/1679300"/>
    <hyperlink ref="C49" r:id="rId34" display="https://poolhost.com/profootball/playerstats/1700157"/>
    <hyperlink ref="C50" r:id="rId35" display="https://poolhost.com/profootball/playerstats/1691673"/>
    <hyperlink ref="C51" r:id="rId36" display="https://poolhost.com/profootball/playerstats/1681958"/>
    <hyperlink ref="C52" r:id="rId37" display="https://poolhost.com/profootball/playerstats/1682884"/>
    <hyperlink ref="C53" r:id="rId38" display="https://poolhost.com/profootball/playerstats/1669305"/>
    <hyperlink ref="C54" r:id="rId39" display="https://poolhost.com/profootball/playerstats/1708805"/>
    <hyperlink ref="C55" r:id="rId40" display="https://poolhost.com/profootball/playerstats/1668461"/>
    <hyperlink ref="C56" r:id="rId41" display="https://poolhost.com/profootball/playerstats/1705272"/>
    <hyperlink ref="C57" r:id="rId42" display="https://poolhost.com/profootball/playerstats/1665631"/>
    <hyperlink ref="C58" r:id="rId43" display="https://poolhost.com/profootball/playerstats/1655447"/>
    <hyperlink ref="C59" r:id="rId44" display="https://poolhost.com/profootball/playerstats/1724223"/>
    <hyperlink ref="C60" r:id="rId45" display="https://poolhost.com/profootball/playerstats/1679009"/>
    <hyperlink ref="C61" r:id="rId46" display="https://poolhost.com/profootball/playerstats/1654485"/>
    <hyperlink ref="C62" r:id="rId47" display="https://poolhost.com/profootball/playerstats/1727170"/>
    <hyperlink ref="C63" r:id="rId48" display="https://poolhost.com/profootball/playerstats/1656464"/>
    <hyperlink ref="C64" r:id="rId49" display="https://poolhost.com/profootball/playerstats/1670484"/>
    <hyperlink ref="C65" r:id="rId50" display="https://poolhost.com/profootball/playerstats/1709552"/>
    <hyperlink ref="C66" r:id="rId51" display="https://poolhost.com/profootball/playerstats/1657103"/>
    <hyperlink ref="C67" r:id="rId52" display="https://poolhost.com/profootball/playerstats/1680041"/>
    <hyperlink ref="C68" r:id="rId53" display="https://poolhost.com/profootball/playerstats/1666092"/>
    <hyperlink ref="C69" r:id="rId54" display="https://poolhost.com/profootball/playerstats/1657801"/>
    <hyperlink ref="C70" r:id="rId55" display="https://poolhost.com/profootball/playerstats/1660811"/>
    <hyperlink ref="C71" r:id="rId56" display="https://poolhost.com/profootball/playerstats/1655488"/>
    <hyperlink ref="C72" r:id="rId57" display="https://poolhost.com/profootball/playerstats/1659846"/>
    <hyperlink ref="C73" r:id="rId58" display="https://poolhost.com/profootball/playerstats/1686915"/>
    <hyperlink ref="C74" r:id="rId59" display="https://poolhost.com/profootball/playerstats/1683389"/>
    <hyperlink ref="C75" r:id="rId60" display="https://poolhost.com/profootball/playerstats/1732851"/>
    <hyperlink ref="C76" r:id="rId61" display="https://poolhost.com/profootball/playerstats/1697912"/>
    <hyperlink ref="C77" r:id="rId62" display="https://poolhost.com/profootball/playerstats/1711169"/>
    <hyperlink ref="C78" r:id="rId63" display="https://poolhost.com/profootball/playerstats/1685256"/>
    <hyperlink ref="C79" r:id="rId64" display="https://poolhost.com/profootball/playerstats/1681897"/>
    <hyperlink ref="C80" r:id="rId65" display="https://poolhost.com/profootball/playerstats/1695492"/>
    <hyperlink ref="C81" r:id="rId66" display="https://poolhost.com/profootball/playerstats/1702170"/>
    <hyperlink ref="C82" r:id="rId67" display="https://poolhost.com/profootball/playerstats/1673222"/>
    <hyperlink ref="C83" r:id="rId68" display="https://poolhost.com/profootball/playerstats/1673761"/>
    <hyperlink ref="C84" r:id="rId69" display="https://poolhost.com/profootball/playerstats/1666449"/>
    <hyperlink ref="C85" r:id="rId70" display="https://poolhost.com/profootball/playerstats/1701053"/>
    <hyperlink ref="C86" r:id="rId71" display="https://poolhost.com/profootball/playerstats/1657024"/>
    <hyperlink ref="C87" r:id="rId72" display="https://poolhost.com/profootball/playerstats/1701354"/>
    <hyperlink ref="C88" r:id="rId73" display="https://poolhost.com/profootball/playerstats/1683531"/>
    <hyperlink ref="C89" r:id="rId74" display="https://poolhost.com/profootball/playerstats/1654791"/>
    <hyperlink ref="C90" r:id="rId75" display="https://poolhost.com/profootball/playerstats/1708448"/>
    <hyperlink ref="C91" r:id="rId76" display="https://poolhost.com/profootball/playerstats/1722233"/>
    <hyperlink ref="C92" r:id="rId77" display="https://poolhost.com/profootball/playerstats/1725535"/>
    <hyperlink ref="C93" r:id="rId78" display="https://poolhost.com/profootball/playerstats/1703435"/>
    <hyperlink ref="C94" r:id="rId79" display="https://poolhost.com/profootball/playerstats/1672298"/>
    <hyperlink ref="C95" r:id="rId80" display="https://poolhost.com/profootball/playerstats/1705249"/>
    <hyperlink ref="C96" r:id="rId81" display="https://poolhost.com/profootball/playerstats/1674086"/>
    <hyperlink ref="C97" r:id="rId82" display="https://poolhost.com/profootball/playerstats/1666473"/>
    <hyperlink ref="C98" r:id="rId83" display="https://poolhost.com/profootball/playerstats/1670226"/>
    <hyperlink ref="C99" r:id="rId84" display="https://poolhost.com/profootball/playerstats/1684266"/>
    <hyperlink ref="C100" r:id="rId85" display="https://poolhost.com/profootball/playerstats/1663101"/>
    <hyperlink ref="C101" r:id="rId86" display="https://poolhost.com/profootball/playerstats/1686727"/>
    <hyperlink ref="C102" r:id="rId87" display="https://poolhost.com/profootball/playerstats/1732411"/>
    <hyperlink ref="C103" r:id="rId88" display="https://poolhost.com/profootball/playerstats/1657214"/>
    <hyperlink ref="C104" r:id="rId89" display="https://poolhost.com/profootball/playerstats/1682523"/>
    <hyperlink ref="C105" r:id="rId90" display="https://poolhost.com/profootball/playerstats/1705029"/>
    <hyperlink ref="C106" r:id="rId91" display="https://poolhost.com/profootball/playerstats/1732290"/>
    <hyperlink ref="C107" r:id="rId92" display="https://poolhost.com/profootball/playerstats/1685066"/>
    <hyperlink ref="C108" r:id="rId93" display="https://poolhost.com/profootball/playerstats/1712780"/>
    <hyperlink ref="C109" r:id="rId94" display="https://poolhost.com/profootball/playerstats/1654623"/>
    <hyperlink ref="C110" r:id="rId95" display="https://poolhost.com/profootball/playerstats/1732788"/>
    <hyperlink ref="C111" r:id="rId96" display="https://poolhost.com/profootball/playerstats/1654500"/>
    <hyperlink ref="C112" r:id="rId97" display="https://poolhost.com/profootball/playerstats/1678667"/>
    <hyperlink ref="C113" r:id="rId98" display="https://poolhost.com/profootball/playerstats/1715552"/>
    <hyperlink ref="C114" r:id="rId99" display="https://poolhost.com/profootball/playerstats/1731690"/>
    <hyperlink ref="C115" r:id="rId100" display="https://poolhost.com/profootball/playerstats/1677049"/>
    <hyperlink ref="C116" r:id="rId101" display="https://poolhost.com/profootball/playerstats/1678632"/>
    <hyperlink ref="C117" r:id="rId102" display="https://poolhost.com/profootball/playerstats/1729314"/>
    <hyperlink ref="C118" r:id="rId103" display="https://poolhost.com/profootball/playerstats/1728782"/>
    <hyperlink ref="C119" r:id="rId104" display="https://poolhost.com/profootball/playerstats/1727817"/>
    <hyperlink ref="C120" r:id="rId105" display="https://poolhost.com/profootball/playerstats/1729262"/>
    <hyperlink ref="C121" r:id="rId106" display="https://poolhost.com/profootball/playerstats/1695716"/>
    <hyperlink ref="C122" r:id="rId107" display="https://poolhost.com/profootball/playerstats/1732953"/>
    <hyperlink ref="C123" r:id="rId108" display="https://poolhost.com/profootball/playerstats/1732996"/>
    <hyperlink ref="C124" r:id="rId109" display="https://poolhost.com/profootball/playerstats/1662606"/>
    <hyperlink ref="C125" r:id="rId110" display="https://poolhost.com/profootball/playerstats/1665810"/>
    <hyperlink ref="C126" r:id="rId111" display="https://poolhost.com/profootball/playerstats/1669323"/>
    <hyperlink ref="C127" r:id="rId112" display="https://poolhost.com/profootball/playerstats/1694354"/>
    <hyperlink ref="C128" r:id="rId113" display="https://poolhost.com/profootball/playerstats/1730676"/>
    <hyperlink ref="C129" r:id="rId114" display="https://poolhost.com/profootball/playerstats/1741250"/>
    <hyperlink ref="C130" r:id="rId115" display="https://poolhost.com/profootball/playerstats/1699295"/>
    <hyperlink ref="C131" r:id="rId116" display="https://poolhost.com/profootball/playerstats/1687892"/>
    <hyperlink ref="C132" r:id="rId117" display="https://poolhost.com/profootball/playerstats/1661981"/>
    <hyperlink ref="C133" r:id="rId118" display="https://poolhost.com/profootball/playerstats/1696717"/>
    <hyperlink ref="C134" r:id="rId119" display="https://poolhost.com/profootball/playerstats/1668687"/>
    <hyperlink ref="C135" r:id="rId120" display="https://poolhost.com/profootball/playerstats/1684491"/>
    <hyperlink ref="C136" r:id="rId121" display="https://poolhost.com/profootball/playerstats/1729617"/>
    <hyperlink ref="C137" r:id="rId122" display="https://poolhost.com/profootball/playerstats/1673234"/>
    <hyperlink ref="C138" r:id="rId123" display="https://poolhost.com/profootball/playerstats/1665614"/>
    <hyperlink ref="C139" r:id="rId124" display="https://poolhost.com/profootball/playerstats/1679156"/>
    <hyperlink ref="C140" r:id="rId125" display="https://poolhost.com/profootball/playerstats/1726632"/>
    <hyperlink ref="C141" r:id="rId126" display="https://poolhost.com/profootball/playerstats/1708312"/>
    <hyperlink ref="C142" r:id="rId127" display="https://poolhost.com/profootball/playerstats/1694017"/>
    <hyperlink ref="C143" r:id="rId128" display="https://poolhost.com/profootball/playerstats/1658459"/>
    <hyperlink ref="C144" r:id="rId129" display="https://poolhost.com/profootball/playerstats/1666034"/>
    <hyperlink ref="C145" r:id="rId130" display="https://poolhost.com/profootball/playerstats/1722206"/>
    <hyperlink ref="C146" r:id="rId131" display="https://poolhost.com/profootball/playerstats/1668628"/>
    <hyperlink ref="C147" r:id="rId132" display="https://poolhost.com/profootball/playerstats/1704026"/>
    <hyperlink ref="C148" r:id="rId133" display="https://poolhost.com/profootball/playerstats/1654448"/>
    <hyperlink ref="C149" r:id="rId134" display="https://poolhost.com/profootball/playerstats/1665910"/>
    <hyperlink ref="C150" r:id="rId135" display="https://poolhost.com/profootball/playerstats/1661711"/>
    <hyperlink ref="C151" r:id="rId136" display="https://poolhost.com/profootball/playerstats/1671748"/>
    <hyperlink ref="C152" r:id="rId137" display="https://poolhost.com/profootball/playerstats/1663641"/>
    <hyperlink ref="C153" r:id="rId138" display="https://poolhost.com/profootball/playerstats/1733218"/>
    <hyperlink ref="C154" r:id="rId139" display="https://poolhost.com/profootball/playerstats/1732254"/>
    <hyperlink ref="C155" r:id="rId140" display="https://poolhost.com/profootball/playerstats/1665979"/>
    <hyperlink ref="C156" r:id="rId141" display="https://poolhost.com/profootball/playerstats/1672167"/>
    <hyperlink ref="C157" r:id="rId142" display="https://poolhost.com/profootball/playerstats/1728787"/>
    <hyperlink ref="C158" r:id="rId143" display="https://poolhost.com/profootball/playerstats/1679667"/>
    <hyperlink ref="C159" r:id="rId144" display="https://poolhost.com/profootball/playerstats/1673248"/>
    <hyperlink ref="C160" r:id="rId145" display="https://poolhost.com/profootball/playerstats/1654484"/>
    <hyperlink ref="C161" r:id="rId146" display="https://poolhost.com/profootball/playerstats/1705049"/>
    <hyperlink ref="C162" r:id="rId147" display="https://poolhost.com/profootball/playerstats/1654603"/>
    <hyperlink ref="C163" r:id="rId148" display="https://poolhost.com/profootball/playerstats/1703401"/>
    <hyperlink ref="C164" r:id="rId149" display="https://poolhost.com/profootball/playerstats/1676125"/>
    <hyperlink ref="C165" r:id="rId150" display="https://poolhost.com/profootball/playerstats/1649126"/>
    <hyperlink ref="C166" r:id="rId151" display="https://poolhost.com/profootball/playerstats/1731755"/>
    <hyperlink ref="C167" r:id="rId152" display="https://poolhost.com/profootball/playerstats/1704294"/>
    <hyperlink ref="C168" r:id="rId153" display="https://poolhost.com/profootball/playerstats/1678377"/>
    <hyperlink ref="C169" r:id="rId154" display="https://poolhost.com/profootball/playerstats/1730270"/>
    <hyperlink ref="C170" r:id="rId155" display="https://poolhost.com/profootball/playerstats/1731780"/>
    <hyperlink ref="C171" r:id="rId156" display="https://poolhost.com/profootball/playerstats/1733415"/>
    <hyperlink ref="C172" r:id="rId157" display="https://poolhost.com/profootball/playerstats/1699660"/>
    <hyperlink ref="C173" r:id="rId158" display="https://poolhost.com/profootball/playerstats/1662306"/>
    <hyperlink ref="C174" r:id="rId159" display="https://poolhost.com/profootball/playerstats/1659558"/>
    <hyperlink ref="C175" r:id="rId160" display="https://poolhost.com/profootball/playerstats/1654634"/>
    <hyperlink ref="C176" r:id="rId161" display="https://poolhost.com/profootball/playerstats/1657241"/>
    <hyperlink ref="C177" r:id="rId162" display="https://poolhost.com/profootball/playerstats/1707988"/>
    <hyperlink ref="C178" r:id="rId163" display="https://poolhost.com/profootball/playerstats/173417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8"/>
  <sheetViews>
    <sheetView topLeftCell="D1" zoomScaleNormal="100" workbookViewId="0">
      <selection activeCell="V1" sqref="V1"/>
    </sheetView>
  </sheetViews>
  <sheetFormatPr defaultRowHeight="14.4" x14ac:dyDescent="0.3"/>
  <sheetData>
    <row r="1" spans="1:26" ht="15" thickBot="1" x14ac:dyDescent="0.35">
      <c r="A1" s="2" t="s">
        <v>0</v>
      </c>
      <c r="D1">
        <v>2</v>
      </c>
      <c r="E1">
        <f>D1+1</f>
        <v>3</v>
      </c>
      <c r="F1">
        <f t="shared" ref="F1:Q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v>16</v>
      </c>
      <c r="S1">
        <v>17</v>
      </c>
      <c r="U1" s="16">
        <v>0</v>
      </c>
      <c r="V1" s="11">
        <f t="shared" ref="V1:V14" si="1">COUNTIF(R$16:R$199,U1)</f>
        <v>1</v>
      </c>
      <c r="W1" s="20">
        <f>V1/SUM(V$1:V$14)</f>
        <v>6.1349693251533744E-3</v>
      </c>
      <c r="Y1" t="s">
        <v>227</v>
      </c>
    </row>
    <row r="2" spans="1:26" ht="15" thickBot="1" x14ac:dyDescent="0.35">
      <c r="A2" s="2" t="s">
        <v>1</v>
      </c>
      <c r="C2" t="s">
        <v>204</v>
      </c>
      <c r="E2" s="24" t="str">
        <f t="shared" ref="E2:Q3" si="2">IF(VLOOKUP($C2,$C$16:$AA$192,E$1,FALSE)=E$8,"Y","N")</f>
        <v>Y</v>
      </c>
      <c r="F2" s="25" t="str">
        <f t="shared" si="2"/>
        <v>N</v>
      </c>
      <c r="G2" s="25" t="str">
        <f t="shared" si="2"/>
        <v>Y</v>
      </c>
      <c r="H2" s="25" t="str">
        <f t="shared" si="2"/>
        <v>Y</v>
      </c>
      <c r="I2" s="25" t="str">
        <f t="shared" si="2"/>
        <v>Y</v>
      </c>
      <c r="J2" s="25" t="str">
        <f t="shared" si="2"/>
        <v>Y</v>
      </c>
      <c r="K2" s="25" t="str">
        <f t="shared" si="2"/>
        <v>Y</v>
      </c>
      <c r="L2" s="25" t="str">
        <f t="shared" si="2"/>
        <v>Y</v>
      </c>
      <c r="M2" s="25" t="str">
        <f t="shared" si="2"/>
        <v>Y</v>
      </c>
      <c r="N2" s="25" t="str">
        <f t="shared" si="2"/>
        <v>Y</v>
      </c>
      <c r="O2" s="25" t="str">
        <f t="shared" si="2"/>
        <v>N</v>
      </c>
      <c r="P2" s="25" t="str">
        <f t="shared" si="2"/>
        <v>Y</v>
      </c>
      <c r="Q2" s="25" t="str">
        <f t="shared" si="2"/>
        <v>N</v>
      </c>
      <c r="R2" s="19">
        <f>VLOOKUP($C2,$C$16:$AA$192,R$1,FALSE)</f>
        <v>10</v>
      </c>
      <c r="S2" s="19">
        <f>VLOOKUP($C2,$C$16:$AA$192,S$1,FALSE)</f>
        <v>40</v>
      </c>
      <c r="U2" s="23">
        <v>1</v>
      </c>
      <c r="V2" s="12">
        <f t="shared" si="1"/>
        <v>0</v>
      </c>
      <c r="W2" s="21">
        <f t="shared" ref="W2:W14" si="3">V2/SUM(V$1:V$14)</f>
        <v>0</v>
      </c>
      <c r="Y2">
        <v>0</v>
      </c>
      <c r="Z2">
        <f>COUNTIF(T$16:T$179,Y2)</f>
        <v>0</v>
      </c>
    </row>
    <row r="3" spans="1:26" ht="15" thickBot="1" x14ac:dyDescent="0.35">
      <c r="A3" s="2" t="s">
        <v>2</v>
      </c>
      <c r="C3" t="s">
        <v>162</v>
      </c>
      <c r="E3" s="13" t="str">
        <f t="shared" si="2"/>
        <v>N</v>
      </c>
      <c r="F3" s="14" t="str">
        <f t="shared" si="2"/>
        <v>N</v>
      </c>
      <c r="G3" s="14" t="str">
        <f t="shared" si="2"/>
        <v>Y</v>
      </c>
      <c r="H3" s="14" t="str">
        <f t="shared" si="2"/>
        <v>N</v>
      </c>
      <c r="I3" s="14" t="str">
        <f t="shared" si="2"/>
        <v>Y</v>
      </c>
      <c r="J3" s="14" t="str">
        <f t="shared" si="2"/>
        <v>N</v>
      </c>
      <c r="K3" s="14" t="str">
        <f t="shared" si="2"/>
        <v>Y</v>
      </c>
      <c r="L3" s="14" t="str">
        <f t="shared" si="2"/>
        <v>N</v>
      </c>
      <c r="M3" s="14" t="str">
        <f t="shared" si="2"/>
        <v>Y</v>
      </c>
      <c r="N3" s="14" t="str">
        <f t="shared" si="2"/>
        <v>Y</v>
      </c>
      <c r="O3" s="14" t="str">
        <f t="shared" si="2"/>
        <v>N</v>
      </c>
      <c r="P3" s="14" t="str">
        <f t="shared" si="2"/>
        <v>Y</v>
      </c>
      <c r="Q3" s="14" t="str">
        <f t="shared" si="2"/>
        <v>N</v>
      </c>
      <c r="R3" s="18">
        <f>VLOOKUP($C3,$C$16:$AA$192,R$1,FALSE)</f>
        <v>6</v>
      </c>
      <c r="S3" s="18">
        <f>VLOOKUP($C3,$C$16:$AA$192,S$1,FALSE)</f>
        <v>39</v>
      </c>
      <c r="U3" s="23">
        <v>2</v>
      </c>
      <c r="V3" s="12">
        <f t="shared" si="1"/>
        <v>1</v>
      </c>
      <c r="W3" s="21">
        <f t="shared" si="3"/>
        <v>6.1349693251533744E-3</v>
      </c>
      <c r="Y3">
        <v>1</v>
      </c>
      <c r="Z3">
        <f t="shared" ref="Z3:Z66" si="4">COUNTIF(T$16:T$179,Y3)</f>
        <v>0</v>
      </c>
    </row>
    <row r="4" spans="1:26" x14ac:dyDescent="0.3">
      <c r="A4" s="2" t="s">
        <v>3</v>
      </c>
      <c r="C4" t="s">
        <v>205</v>
      </c>
      <c r="E4" s="9">
        <f>E5/SUM(E5:E6)</f>
        <v>0.72839506172839508</v>
      </c>
      <c r="F4" s="9">
        <f t="shared" ref="F4:Q4" si="5">F5/SUM(F5:F6)</f>
        <v>0.62962962962962965</v>
      </c>
      <c r="G4" s="9">
        <f t="shared" si="5"/>
        <v>0.33950617283950618</v>
      </c>
      <c r="H4" s="9">
        <f t="shared" si="5"/>
        <v>0.39506172839506171</v>
      </c>
      <c r="I4" s="9">
        <f t="shared" si="5"/>
        <v>0.5864197530864198</v>
      </c>
      <c r="J4" s="9">
        <f t="shared" si="5"/>
        <v>0.67901234567901236</v>
      </c>
      <c r="K4" s="9">
        <f t="shared" si="5"/>
        <v>0.74691358024691357</v>
      </c>
      <c r="L4" s="9">
        <f t="shared" si="5"/>
        <v>0.67901234567901236</v>
      </c>
      <c r="M4" s="9">
        <f t="shared" si="5"/>
        <v>0.48148148148148145</v>
      </c>
      <c r="N4" s="9">
        <f t="shared" si="5"/>
        <v>0.43827160493827161</v>
      </c>
      <c r="O4" s="9">
        <f t="shared" si="5"/>
        <v>0.77777777777777779</v>
      </c>
      <c r="P4" s="9">
        <f t="shared" si="5"/>
        <v>0.52469135802469136</v>
      </c>
      <c r="Q4" s="9">
        <f t="shared" si="5"/>
        <v>0.55555555555555558</v>
      </c>
      <c r="R4" s="10" t="s">
        <v>217</v>
      </c>
      <c r="S4" s="10" t="s">
        <v>218</v>
      </c>
      <c r="U4" s="23">
        <v>3</v>
      </c>
      <c r="V4" s="12">
        <f t="shared" si="1"/>
        <v>2</v>
      </c>
      <c r="W4" s="21">
        <f t="shared" si="3"/>
        <v>1.2269938650306749E-2</v>
      </c>
      <c r="Y4">
        <v>2</v>
      </c>
      <c r="Z4">
        <f t="shared" si="4"/>
        <v>0</v>
      </c>
    </row>
    <row r="5" spans="1:26" x14ac:dyDescent="0.3">
      <c r="A5" s="2" t="s">
        <v>0</v>
      </c>
      <c r="C5" t="s">
        <v>202</v>
      </c>
      <c r="D5">
        <f t="shared" ref="D5:Q5" si="6">COUNTIF(D$16:D$197,D10)</f>
        <v>0</v>
      </c>
      <c r="E5" s="10">
        <f t="shared" si="6"/>
        <v>118</v>
      </c>
      <c r="F5" s="10">
        <f t="shared" si="6"/>
        <v>102</v>
      </c>
      <c r="G5" s="10">
        <f t="shared" si="6"/>
        <v>55</v>
      </c>
      <c r="H5" s="10">
        <f t="shared" si="6"/>
        <v>64</v>
      </c>
      <c r="I5" s="10">
        <f t="shared" si="6"/>
        <v>95</v>
      </c>
      <c r="J5" s="10">
        <f t="shared" si="6"/>
        <v>110</v>
      </c>
      <c r="K5" s="10">
        <f t="shared" si="6"/>
        <v>121</v>
      </c>
      <c r="L5" s="10">
        <f t="shared" si="6"/>
        <v>110</v>
      </c>
      <c r="M5" s="10">
        <f t="shared" si="6"/>
        <v>78</v>
      </c>
      <c r="N5" s="10">
        <f t="shared" si="6"/>
        <v>71</v>
      </c>
      <c r="O5" s="10">
        <f t="shared" si="6"/>
        <v>126</v>
      </c>
      <c r="P5" s="10">
        <f t="shared" si="6"/>
        <v>85</v>
      </c>
      <c r="Q5" s="10">
        <f t="shared" si="6"/>
        <v>90</v>
      </c>
      <c r="U5" s="23">
        <v>4</v>
      </c>
      <c r="V5" s="12">
        <f t="shared" si="1"/>
        <v>6</v>
      </c>
      <c r="W5" s="21">
        <f t="shared" si="3"/>
        <v>3.6809815950920248E-2</v>
      </c>
      <c r="Y5">
        <v>3</v>
      </c>
      <c r="Z5">
        <f t="shared" si="4"/>
        <v>0</v>
      </c>
    </row>
    <row r="6" spans="1:26" ht="15" thickBot="1" x14ac:dyDescent="0.35">
      <c r="A6" s="2" t="s">
        <v>4</v>
      </c>
      <c r="C6" t="s">
        <v>203</v>
      </c>
      <c r="D6">
        <f t="shared" ref="D6:Q6" si="7">COUNTIF(D$16:D$197,D12)</f>
        <v>0</v>
      </c>
      <c r="E6" s="10">
        <f t="shared" si="7"/>
        <v>44</v>
      </c>
      <c r="F6" s="10">
        <f t="shared" si="7"/>
        <v>60</v>
      </c>
      <c r="G6" s="10">
        <f t="shared" si="7"/>
        <v>107</v>
      </c>
      <c r="H6" s="10">
        <f t="shared" si="7"/>
        <v>98</v>
      </c>
      <c r="I6" s="10">
        <f t="shared" si="7"/>
        <v>67</v>
      </c>
      <c r="J6" s="10">
        <f t="shared" si="7"/>
        <v>52</v>
      </c>
      <c r="K6" s="10">
        <f t="shared" si="7"/>
        <v>41</v>
      </c>
      <c r="L6" s="10">
        <f t="shared" si="7"/>
        <v>52</v>
      </c>
      <c r="M6" s="10">
        <f t="shared" si="7"/>
        <v>84</v>
      </c>
      <c r="N6" s="10">
        <f t="shared" si="7"/>
        <v>91</v>
      </c>
      <c r="O6" s="10">
        <f t="shared" si="7"/>
        <v>36</v>
      </c>
      <c r="P6" s="10">
        <f t="shared" si="7"/>
        <v>77</v>
      </c>
      <c r="Q6" s="10">
        <f t="shared" si="7"/>
        <v>72</v>
      </c>
      <c r="U6" s="23">
        <v>5</v>
      </c>
      <c r="V6" s="12">
        <f t="shared" si="1"/>
        <v>20</v>
      </c>
      <c r="W6" s="21">
        <f t="shared" si="3"/>
        <v>0.12269938650306748</v>
      </c>
      <c r="Y6">
        <f>Y5+1</f>
        <v>4</v>
      </c>
      <c r="Z6">
        <f t="shared" si="4"/>
        <v>0</v>
      </c>
    </row>
    <row r="7" spans="1:26" ht="15" thickBot="1" x14ac:dyDescent="0.35">
      <c r="A7" s="2"/>
      <c r="C7" t="s">
        <v>213</v>
      </c>
      <c r="E7" s="28" t="str">
        <f>IF(AND(E10=E8,E4&gt;0.5),"Y",IF(AND(E10=E8,E4&lt;0.5),"N",IF(E4&gt;0.5,"Y","N")))</f>
        <v>Y</v>
      </c>
      <c r="F7" s="11" t="str">
        <f>IF(AND(F10=F8,F4&gt;0.5),"Y",IF(AND(F10=F8,F4&lt;0.5),"N",IF(F4&gt;0.5,"Y","N")))</f>
        <v>Y</v>
      </c>
      <c r="G7" s="11" t="str">
        <f t="shared" ref="G7:Q7" si="8">IF(AND(G10=G8,G4&gt;0.5),"Y",IF(AND(G10=G8,G4&lt;0.5),"N",IF(G4&lt;0.5,"Y","N")))</f>
        <v>Y</v>
      </c>
      <c r="H7" s="11" t="str">
        <f t="shared" si="8"/>
        <v>N</v>
      </c>
      <c r="I7" s="11" t="str">
        <f t="shared" si="8"/>
        <v>Y</v>
      </c>
      <c r="J7" s="11" t="str">
        <f t="shared" si="8"/>
        <v>N</v>
      </c>
      <c r="K7" s="11" t="str">
        <f t="shared" si="8"/>
        <v>Y</v>
      </c>
      <c r="L7" s="11" t="str">
        <f t="shared" si="8"/>
        <v>Y</v>
      </c>
      <c r="M7" s="11" t="str">
        <f t="shared" si="8"/>
        <v>Y</v>
      </c>
      <c r="N7" s="11" t="str">
        <f t="shared" si="8"/>
        <v>Y</v>
      </c>
      <c r="O7" s="11" t="str">
        <f t="shared" si="8"/>
        <v>N</v>
      </c>
      <c r="P7" s="11" t="str">
        <f t="shared" si="8"/>
        <v>N</v>
      </c>
      <c r="Q7" s="29" t="str">
        <f t="shared" si="8"/>
        <v>Y</v>
      </c>
      <c r="R7" s="37" t="s">
        <v>220</v>
      </c>
      <c r="S7" s="38">
        <f>COUNTIF(C7:Q7,"Y")</f>
        <v>9</v>
      </c>
      <c r="U7" s="23">
        <v>6</v>
      </c>
      <c r="V7" s="12">
        <f t="shared" si="1"/>
        <v>24</v>
      </c>
      <c r="W7" s="21">
        <f t="shared" si="3"/>
        <v>0.14723926380368099</v>
      </c>
      <c r="Y7">
        <f t="shared" ref="Y7:Y70" si="9">Y6+1</f>
        <v>5</v>
      </c>
      <c r="Z7">
        <f t="shared" si="4"/>
        <v>0</v>
      </c>
    </row>
    <row r="8" spans="1:26" ht="15" thickBot="1" x14ac:dyDescent="0.35">
      <c r="A8" s="2"/>
      <c r="C8" t="s">
        <v>212</v>
      </c>
      <c r="E8" s="30" t="s">
        <v>207</v>
      </c>
      <c r="F8" s="31" t="s">
        <v>50</v>
      </c>
      <c r="G8" s="31" t="s">
        <v>52</v>
      </c>
      <c r="H8" s="31" t="s">
        <v>57</v>
      </c>
      <c r="I8" s="31" t="s">
        <v>51</v>
      </c>
      <c r="J8" s="31" t="s">
        <v>208</v>
      </c>
      <c r="K8" s="31" t="s">
        <v>53</v>
      </c>
      <c r="L8" s="31" t="s">
        <v>64</v>
      </c>
      <c r="M8" s="31" t="s">
        <v>55</v>
      </c>
      <c r="N8" s="31" t="s">
        <v>54</v>
      </c>
      <c r="O8" s="31" t="s">
        <v>72</v>
      </c>
      <c r="P8" s="31" t="s">
        <v>70</v>
      </c>
      <c r="Q8" s="32" t="s">
        <v>210</v>
      </c>
      <c r="U8" s="34">
        <v>7</v>
      </c>
      <c r="V8" s="35">
        <f t="shared" si="1"/>
        <v>48</v>
      </c>
      <c r="W8" s="36">
        <f t="shared" si="3"/>
        <v>0.29447852760736198</v>
      </c>
      <c r="Y8">
        <f t="shared" si="9"/>
        <v>6</v>
      </c>
      <c r="Z8">
        <f t="shared" si="4"/>
        <v>0</v>
      </c>
    </row>
    <row r="9" spans="1:26" x14ac:dyDescent="0.3">
      <c r="A9" s="47" t="s">
        <v>46</v>
      </c>
      <c r="B9" s="47"/>
      <c r="C9" s="2" t="s">
        <v>0</v>
      </c>
      <c r="D9" s="7">
        <v>36</v>
      </c>
      <c r="E9" s="7">
        <v>23</v>
      </c>
      <c r="F9" s="7">
        <v>36</v>
      </c>
      <c r="G9" s="7">
        <v>38</v>
      </c>
      <c r="H9" s="7">
        <v>23</v>
      </c>
      <c r="I9" s="7">
        <v>37</v>
      </c>
      <c r="J9" s="7">
        <v>10</v>
      </c>
      <c r="K9" s="7">
        <v>34</v>
      </c>
      <c r="L9" s="7">
        <v>34</v>
      </c>
      <c r="M9" s="7">
        <v>23</v>
      </c>
      <c r="N9" s="7">
        <v>19</v>
      </c>
      <c r="O9" s="7">
        <v>20</v>
      </c>
      <c r="P9" s="7">
        <v>17</v>
      </c>
      <c r="Q9" s="7">
        <v>26</v>
      </c>
      <c r="R9" s="47" t="s">
        <v>76</v>
      </c>
      <c r="S9" s="47" t="s">
        <v>77</v>
      </c>
      <c r="T9" s="8" t="s">
        <v>211</v>
      </c>
      <c r="U9" s="23">
        <v>8</v>
      </c>
      <c r="V9" s="12">
        <f t="shared" si="1"/>
        <v>24</v>
      </c>
      <c r="W9" s="21">
        <f t="shared" si="3"/>
        <v>0.14723926380368099</v>
      </c>
      <c r="Y9">
        <f t="shared" si="9"/>
        <v>7</v>
      </c>
      <c r="Z9">
        <f t="shared" si="4"/>
        <v>0</v>
      </c>
    </row>
    <row r="10" spans="1:26" x14ac:dyDescent="0.3">
      <c r="A10" s="47"/>
      <c r="B10" s="47"/>
      <c r="C10" s="2" t="s">
        <v>1</v>
      </c>
      <c r="D10" s="7" t="s">
        <v>69</v>
      </c>
      <c r="E10" s="7" t="s">
        <v>207</v>
      </c>
      <c r="F10" s="7" t="s">
        <v>50</v>
      </c>
      <c r="G10" s="7" t="s">
        <v>73</v>
      </c>
      <c r="H10" s="7" t="s">
        <v>57</v>
      </c>
      <c r="I10" s="7" t="s">
        <v>51</v>
      </c>
      <c r="J10" s="7" t="s">
        <v>56</v>
      </c>
      <c r="K10" s="7" t="s">
        <v>53</v>
      </c>
      <c r="L10" s="7" t="s">
        <v>64</v>
      </c>
      <c r="M10" s="7" t="s">
        <v>48</v>
      </c>
      <c r="N10" s="7" t="s">
        <v>209</v>
      </c>
      <c r="O10" s="7" t="s">
        <v>47</v>
      </c>
      <c r="P10" s="7" t="s">
        <v>67</v>
      </c>
      <c r="Q10" s="7" t="s">
        <v>210</v>
      </c>
      <c r="R10" s="47"/>
      <c r="S10" s="47"/>
      <c r="T10" s="8" t="s">
        <v>77</v>
      </c>
      <c r="U10" s="23">
        <v>9</v>
      </c>
      <c r="V10" s="12">
        <f t="shared" si="1"/>
        <v>29</v>
      </c>
      <c r="W10" s="21">
        <f t="shared" si="3"/>
        <v>0.17791411042944785</v>
      </c>
      <c r="Y10">
        <f t="shared" si="9"/>
        <v>8</v>
      </c>
      <c r="Z10">
        <f t="shared" si="4"/>
        <v>0</v>
      </c>
    </row>
    <row r="11" spans="1:26" x14ac:dyDescent="0.3">
      <c r="A11" s="47"/>
      <c r="B11" s="47"/>
      <c r="C11" s="2" t="s">
        <v>2</v>
      </c>
      <c r="D11" s="7">
        <v>-1.5</v>
      </c>
      <c r="E11" s="7">
        <v>-2.5</v>
      </c>
      <c r="F11" s="7">
        <v>-4</v>
      </c>
      <c r="G11" s="7">
        <v>2.5</v>
      </c>
      <c r="H11" s="7">
        <v>-1</v>
      </c>
      <c r="I11" s="7">
        <v>-2.5</v>
      </c>
      <c r="J11" s="7">
        <v>-1</v>
      </c>
      <c r="K11" s="7">
        <v>-3.5</v>
      </c>
      <c r="L11" s="7">
        <v>-2.5</v>
      </c>
      <c r="M11" s="7">
        <v>-7.5</v>
      </c>
      <c r="N11" s="7">
        <v>3.5</v>
      </c>
      <c r="O11" s="7">
        <v>-6</v>
      </c>
      <c r="P11" s="7">
        <v>-2.5</v>
      </c>
      <c r="Q11" s="7">
        <v>-5.5</v>
      </c>
      <c r="R11" s="47"/>
      <c r="S11" s="47"/>
      <c r="T11" s="8">
        <v>-39</v>
      </c>
      <c r="U11" s="23">
        <v>10</v>
      </c>
      <c r="V11" s="12">
        <f t="shared" si="1"/>
        <v>6</v>
      </c>
      <c r="W11" s="21">
        <f t="shared" si="3"/>
        <v>3.6809815950920248E-2</v>
      </c>
      <c r="Y11">
        <f t="shared" si="9"/>
        <v>9</v>
      </c>
      <c r="Z11">
        <f t="shared" si="4"/>
        <v>0</v>
      </c>
    </row>
    <row r="12" spans="1:26" x14ac:dyDescent="0.3">
      <c r="A12" s="47"/>
      <c r="B12" s="47"/>
      <c r="C12" s="2" t="s">
        <v>3</v>
      </c>
      <c r="D12" s="7" t="s">
        <v>59</v>
      </c>
      <c r="E12" s="7" t="s">
        <v>74</v>
      </c>
      <c r="F12" s="7" t="s">
        <v>68</v>
      </c>
      <c r="G12" s="7" t="s">
        <v>52</v>
      </c>
      <c r="H12" s="7" t="s">
        <v>75</v>
      </c>
      <c r="I12" s="7" t="s">
        <v>63</v>
      </c>
      <c r="J12" s="7" t="s">
        <v>208</v>
      </c>
      <c r="K12" s="7" t="s">
        <v>61</v>
      </c>
      <c r="L12" s="7" t="s">
        <v>66</v>
      </c>
      <c r="M12" s="7" t="s">
        <v>55</v>
      </c>
      <c r="N12" s="7" t="s">
        <v>54</v>
      </c>
      <c r="O12" s="7" t="s">
        <v>72</v>
      </c>
      <c r="P12" s="7" t="s">
        <v>70</v>
      </c>
      <c r="Q12" s="7" t="s">
        <v>58</v>
      </c>
      <c r="R12" s="47"/>
      <c r="S12" s="47"/>
      <c r="T12" s="8"/>
      <c r="U12" s="23">
        <v>11</v>
      </c>
      <c r="V12" s="12">
        <f t="shared" si="1"/>
        <v>2</v>
      </c>
      <c r="W12" s="21">
        <f t="shared" si="3"/>
        <v>1.2269938650306749E-2</v>
      </c>
      <c r="Y12">
        <f t="shared" si="9"/>
        <v>10</v>
      </c>
      <c r="Z12">
        <f t="shared" si="4"/>
        <v>0</v>
      </c>
    </row>
    <row r="13" spans="1:26" x14ac:dyDescent="0.3">
      <c r="A13" s="47"/>
      <c r="B13" s="47"/>
      <c r="C13" s="2" t="s">
        <v>0</v>
      </c>
      <c r="D13" s="7">
        <v>30</v>
      </c>
      <c r="E13" s="7">
        <v>17</v>
      </c>
      <c r="F13" s="7">
        <v>10</v>
      </c>
      <c r="G13" s="7">
        <v>41</v>
      </c>
      <c r="H13" s="7">
        <v>20</v>
      </c>
      <c r="I13" s="7">
        <v>34</v>
      </c>
      <c r="J13" s="7">
        <v>15</v>
      </c>
      <c r="K13" s="7">
        <v>13</v>
      </c>
      <c r="L13" s="7">
        <v>18</v>
      </c>
      <c r="M13" s="7">
        <v>24</v>
      </c>
      <c r="N13" s="7">
        <v>24</v>
      </c>
      <c r="O13" s="7">
        <v>29</v>
      </c>
      <c r="P13" s="7">
        <v>20</v>
      </c>
      <c r="Q13" s="7">
        <v>13</v>
      </c>
      <c r="R13" s="47"/>
      <c r="S13" s="47"/>
      <c r="T13" s="8"/>
      <c r="U13" s="23">
        <v>12</v>
      </c>
      <c r="V13" s="12">
        <f t="shared" si="1"/>
        <v>0</v>
      </c>
      <c r="W13" s="21">
        <f t="shared" si="3"/>
        <v>0</v>
      </c>
      <c r="Y13">
        <f t="shared" si="9"/>
        <v>11</v>
      </c>
      <c r="Z13">
        <f t="shared" si="4"/>
        <v>0</v>
      </c>
    </row>
    <row r="14" spans="1:26" ht="15" thickBot="1" x14ac:dyDescent="0.35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47"/>
      <c r="S14" s="47"/>
      <c r="T14" s="8"/>
      <c r="U14" s="17">
        <v>13</v>
      </c>
      <c r="V14" s="14">
        <f t="shared" si="1"/>
        <v>0</v>
      </c>
      <c r="W14" s="22">
        <f t="shared" si="3"/>
        <v>0</v>
      </c>
      <c r="Y14">
        <f t="shared" si="9"/>
        <v>12</v>
      </c>
      <c r="Z14">
        <f t="shared" si="4"/>
        <v>0</v>
      </c>
    </row>
    <row r="15" spans="1:26" ht="28.8" x14ac:dyDescent="0.3">
      <c r="A15" s="47"/>
      <c r="B15" s="47"/>
      <c r="C15" s="2" t="s">
        <v>5</v>
      </c>
      <c r="D15" s="7" t="s">
        <v>206</v>
      </c>
      <c r="E15" s="7"/>
      <c r="F15" s="7"/>
      <c r="G15" s="7" t="s">
        <v>206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47"/>
      <c r="S15" s="47"/>
      <c r="T15" s="8"/>
      <c r="Y15">
        <f t="shared" si="9"/>
        <v>13</v>
      </c>
      <c r="Z15">
        <f t="shared" si="4"/>
        <v>0</v>
      </c>
    </row>
    <row r="16" spans="1:26" x14ac:dyDescent="0.3">
      <c r="A16" s="3">
        <v>1</v>
      </c>
      <c r="B16" s="4"/>
      <c r="C16" s="6" t="s">
        <v>43</v>
      </c>
      <c r="D16" s="5"/>
      <c r="E16" s="5" t="s">
        <v>207</v>
      </c>
      <c r="F16" s="5" t="s">
        <v>50</v>
      </c>
      <c r="G16" s="5" t="s">
        <v>52</v>
      </c>
      <c r="H16" s="5" t="s">
        <v>57</v>
      </c>
      <c r="I16" s="5" t="s">
        <v>51</v>
      </c>
      <c r="J16" s="5" t="s">
        <v>208</v>
      </c>
      <c r="K16" s="5" t="s">
        <v>53</v>
      </c>
      <c r="L16" s="5" t="s">
        <v>64</v>
      </c>
      <c r="M16" s="5" t="s">
        <v>55</v>
      </c>
      <c r="N16" s="5" t="s">
        <v>54</v>
      </c>
      <c r="O16" s="5" t="s">
        <v>47</v>
      </c>
      <c r="P16" s="5" t="s">
        <v>70</v>
      </c>
      <c r="Q16" s="5" t="s">
        <v>58</v>
      </c>
      <c r="R16" s="1">
        <v>11</v>
      </c>
      <c r="S16" s="1">
        <v>33</v>
      </c>
      <c r="T16" s="1">
        <v>38</v>
      </c>
      <c r="Y16">
        <f t="shared" si="9"/>
        <v>14</v>
      </c>
      <c r="Z16">
        <f t="shared" si="4"/>
        <v>0</v>
      </c>
    </row>
    <row r="17" spans="1:26" ht="28.8" x14ac:dyDescent="0.3">
      <c r="A17" s="3">
        <v>2</v>
      </c>
      <c r="B17" s="4"/>
      <c r="C17" s="6" t="s">
        <v>148</v>
      </c>
      <c r="D17" s="5"/>
      <c r="E17" s="5" t="s">
        <v>207</v>
      </c>
      <c r="F17" s="5" t="s">
        <v>50</v>
      </c>
      <c r="G17" s="5" t="s">
        <v>52</v>
      </c>
      <c r="H17" s="5" t="s">
        <v>75</v>
      </c>
      <c r="I17" s="5" t="s">
        <v>51</v>
      </c>
      <c r="J17" s="5" t="s">
        <v>208</v>
      </c>
      <c r="K17" s="5" t="s">
        <v>53</v>
      </c>
      <c r="L17" s="5" t="s">
        <v>64</v>
      </c>
      <c r="M17" s="5" t="s">
        <v>55</v>
      </c>
      <c r="N17" s="5" t="s">
        <v>54</v>
      </c>
      <c r="O17" s="5" t="s">
        <v>47</v>
      </c>
      <c r="P17" s="5" t="s">
        <v>70</v>
      </c>
      <c r="Q17" s="5" t="s">
        <v>210</v>
      </c>
      <c r="R17" s="1">
        <v>11</v>
      </c>
      <c r="S17" s="1">
        <v>39</v>
      </c>
      <c r="T17" s="1">
        <v>43</v>
      </c>
      <c r="Y17">
        <f t="shared" si="9"/>
        <v>15</v>
      </c>
      <c r="Z17">
        <f t="shared" si="4"/>
        <v>0</v>
      </c>
    </row>
    <row r="18" spans="1:26" x14ac:dyDescent="0.3">
      <c r="A18" s="3">
        <v>3</v>
      </c>
      <c r="B18" s="4"/>
      <c r="C18" s="6" t="s">
        <v>44</v>
      </c>
      <c r="D18" s="5"/>
      <c r="E18" s="5" t="s">
        <v>207</v>
      </c>
      <c r="F18" s="5" t="s">
        <v>50</v>
      </c>
      <c r="G18" s="5" t="s">
        <v>52</v>
      </c>
      <c r="H18" s="5" t="s">
        <v>57</v>
      </c>
      <c r="I18" s="5" t="s">
        <v>51</v>
      </c>
      <c r="J18" s="5" t="s">
        <v>56</v>
      </c>
      <c r="K18" s="5" t="s">
        <v>53</v>
      </c>
      <c r="L18" s="5" t="s">
        <v>66</v>
      </c>
      <c r="M18" s="5" t="s">
        <v>55</v>
      </c>
      <c r="N18" s="5" t="s">
        <v>54</v>
      </c>
      <c r="O18" s="5" t="s">
        <v>47</v>
      </c>
      <c r="P18" s="5" t="s">
        <v>70</v>
      </c>
      <c r="Q18" s="5" t="s">
        <v>210</v>
      </c>
      <c r="R18" s="1">
        <v>10</v>
      </c>
      <c r="S18" s="1">
        <v>44</v>
      </c>
      <c r="T18" s="1">
        <v>42</v>
      </c>
      <c r="Y18">
        <f t="shared" si="9"/>
        <v>16</v>
      </c>
      <c r="Z18">
        <f t="shared" si="4"/>
        <v>0</v>
      </c>
    </row>
    <row r="19" spans="1:26" x14ac:dyDescent="0.3">
      <c r="A19" s="3">
        <v>4</v>
      </c>
      <c r="B19" s="4"/>
      <c r="C19" s="6" t="s">
        <v>39</v>
      </c>
      <c r="D19" s="5"/>
      <c r="E19" s="5" t="s">
        <v>207</v>
      </c>
      <c r="F19" s="5" t="s">
        <v>50</v>
      </c>
      <c r="G19" s="5" t="s">
        <v>73</v>
      </c>
      <c r="H19" s="5" t="s">
        <v>75</v>
      </c>
      <c r="I19" s="5" t="s">
        <v>63</v>
      </c>
      <c r="J19" s="5" t="s">
        <v>208</v>
      </c>
      <c r="K19" s="5" t="s">
        <v>53</v>
      </c>
      <c r="L19" s="5" t="s">
        <v>64</v>
      </c>
      <c r="M19" s="5" t="s">
        <v>55</v>
      </c>
      <c r="N19" s="5" t="s">
        <v>54</v>
      </c>
      <c r="O19" s="5" t="s">
        <v>72</v>
      </c>
      <c r="P19" s="5" t="s">
        <v>70</v>
      </c>
      <c r="Q19" s="5" t="s">
        <v>210</v>
      </c>
      <c r="R19" s="1">
        <v>10</v>
      </c>
      <c r="S19" s="1">
        <v>39</v>
      </c>
      <c r="T19" s="1">
        <v>43</v>
      </c>
      <c r="Y19">
        <f t="shared" si="9"/>
        <v>17</v>
      </c>
      <c r="Z19">
        <f t="shared" si="4"/>
        <v>0</v>
      </c>
    </row>
    <row r="20" spans="1:26" ht="28.8" x14ac:dyDescent="0.3">
      <c r="A20" s="3">
        <v>5</v>
      </c>
      <c r="B20" s="4"/>
      <c r="C20" s="6" t="s">
        <v>177</v>
      </c>
      <c r="D20" s="5"/>
      <c r="E20" s="5" t="s">
        <v>207</v>
      </c>
      <c r="F20" s="5" t="s">
        <v>50</v>
      </c>
      <c r="G20" s="5" t="s">
        <v>52</v>
      </c>
      <c r="H20" s="5" t="s">
        <v>57</v>
      </c>
      <c r="I20" s="5" t="s">
        <v>63</v>
      </c>
      <c r="J20" s="5" t="s">
        <v>208</v>
      </c>
      <c r="K20" s="5" t="s">
        <v>53</v>
      </c>
      <c r="L20" s="5" t="s">
        <v>64</v>
      </c>
      <c r="M20" s="5" t="s">
        <v>48</v>
      </c>
      <c r="N20" s="5" t="s">
        <v>54</v>
      </c>
      <c r="O20" s="5" t="s">
        <v>47</v>
      </c>
      <c r="P20" s="5" t="s">
        <v>70</v>
      </c>
      <c r="Q20" s="5" t="s">
        <v>210</v>
      </c>
      <c r="R20" s="1">
        <v>10</v>
      </c>
      <c r="S20" s="1">
        <v>39</v>
      </c>
      <c r="T20" s="1">
        <v>45</v>
      </c>
      <c r="Y20">
        <f t="shared" si="9"/>
        <v>18</v>
      </c>
      <c r="Z20">
        <f t="shared" si="4"/>
        <v>0</v>
      </c>
    </row>
    <row r="21" spans="1:26" ht="28.8" x14ac:dyDescent="0.3">
      <c r="A21" s="3">
        <v>6</v>
      </c>
      <c r="B21" s="4"/>
      <c r="C21" s="6" t="s">
        <v>137</v>
      </c>
      <c r="D21" s="5"/>
      <c r="E21" s="5" t="s">
        <v>207</v>
      </c>
      <c r="F21" s="5" t="s">
        <v>68</v>
      </c>
      <c r="G21" s="5" t="s">
        <v>73</v>
      </c>
      <c r="H21" s="5" t="s">
        <v>75</v>
      </c>
      <c r="I21" s="5" t="s">
        <v>51</v>
      </c>
      <c r="J21" s="5" t="s">
        <v>208</v>
      </c>
      <c r="K21" s="5" t="s">
        <v>53</v>
      </c>
      <c r="L21" s="5" t="s">
        <v>64</v>
      </c>
      <c r="M21" s="5" t="s">
        <v>55</v>
      </c>
      <c r="N21" s="5" t="s">
        <v>54</v>
      </c>
      <c r="O21" s="5" t="s">
        <v>72</v>
      </c>
      <c r="P21" s="5" t="s">
        <v>70</v>
      </c>
      <c r="Q21" s="5" t="s">
        <v>210</v>
      </c>
      <c r="R21" s="1">
        <v>10</v>
      </c>
      <c r="S21" s="1">
        <v>37</v>
      </c>
      <c r="T21" s="1">
        <v>45</v>
      </c>
      <c r="Y21">
        <f t="shared" si="9"/>
        <v>19</v>
      </c>
      <c r="Z21">
        <f t="shared" si="4"/>
        <v>0</v>
      </c>
    </row>
    <row r="22" spans="1:26" x14ac:dyDescent="0.3">
      <c r="A22" s="3">
        <v>7</v>
      </c>
      <c r="B22" s="4"/>
      <c r="C22" s="6" t="s">
        <v>152</v>
      </c>
      <c r="D22" s="5"/>
      <c r="E22" s="5" t="s">
        <v>74</v>
      </c>
      <c r="F22" s="5" t="s">
        <v>50</v>
      </c>
      <c r="G22" s="5" t="s">
        <v>52</v>
      </c>
      <c r="H22" s="5" t="s">
        <v>75</v>
      </c>
      <c r="I22" s="5" t="s">
        <v>51</v>
      </c>
      <c r="J22" s="5" t="s">
        <v>208</v>
      </c>
      <c r="K22" s="5" t="s">
        <v>53</v>
      </c>
      <c r="L22" s="5" t="s">
        <v>64</v>
      </c>
      <c r="M22" s="5" t="s">
        <v>55</v>
      </c>
      <c r="N22" s="5" t="s">
        <v>54</v>
      </c>
      <c r="O22" s="5" t="s">
        <v>72</v>
      </c>
      <c r="P22" s="5" t="s">
        <v>70</v>
      </c>
      <c r="Q22" s="5" t="s">
        <v>58</v>
      </c>
      <c r="R22" s="1">
        <v>10</v>
      </c>
      <c r="S22" s="1">
        <v>41</v>
      </c>
      <c r="T22" s="1">
        <v>46</v>
      </c>
      <c r="Y22">
        <f t="shared" si="9"/>
        <v>20</v>
      </c>
      <c r="Z22">
        <f t="shared" si="4"/>
        <v>1</v>
      </c>
    </row>
    <row r="23" spans="1:26" ht="28.8" x14ac:dyDescent="0.3">
      <c r="A23" s="3">
        <v>8</v>
      </c>
      <c r="B23" s="4"/>
      <c r="C23" s="6" t="s">
        <v>117</v>
      </c>
      <c r="D23" s="5"/>
      <c r="E23" s="5" t="s">
        <v>207</v>
      </c>
      <c r="F23" s="5" t="s">
        <v>68</v>
      </c>
      <c r="G23" s="5" t="s">
        <v>52</v>
      </c>
      <c r="H23" s="5" t="s">
        <v>57</v>
      </c>
      <c r="I23" s="5" t="s">
        <v>51</v>
      </c>
      <c r="J23" s="5" t="s">
        <v>208</v>
      </c>
      <c r="K23" s="5" t="s">
        <v>53</v>
      </c>
      <c r="L23" s="5" t="s">
        <v>64</v>
      </c>
      <c r="M23" s="5" t="s">
        <v>55</v>
      </c>
      <c r="N23" s="5" t="s">
        <v>54</v>
      </c>
      <c r="O23" s="5" t="s">
        <v>47</v>
      </c>
      <c r="P23" s="5" t="s">
        <v>70</v>
      </c>
      <c r="Q23" s="5" t="s">
        <v>58</v>
      </c>
      <c r="R23" s="1">
        <v>10</v>
      </c>
      <c r="S23" s="1">
        <v>40</v>
      </c>
      <c r="T23" s="1">
        <v>53</v>
      </c>
      <c r="Y23">
        <f t="shared" si="9"/>
        <v>21</v>
      </c>
      <c r="Z23">
        <f t="shared" si="4"/>
        <v>0</v>
      </c>
    </row>
    <row r="24" spans="1:26" ht="28.8" x14ac:dyDescent="0.3">
      <c r="A24" s="3">
        <v>9</v>
      </c>
      <c r="B24" s="4"/>
      <c r="C24" s="6" t="s">
        <v>135</v>
      </c>
      <c r="D24" s="5"/>
      <c r="E24" s="5" t="s">
        <v>207</v>
      </c>
      <c r="F24" s="5" t="s">
        <v>50</v>
      </c>
      <c r="G24" s="5" t="s">
        <v>73</v>
      </c>
      <c r="H24" s="5" t="s">
        <v>75</v>
      </c>
      <c r="I24" s="5" t="s">
        <v>51</v>
      </c>
      <c r="J24" s="5" t="s">
        <v>208</v>
      </c>
      <c r="K24" s="5" t="s">
        <v>53</v>
      </c>
      <c r="L24" s="5" t="s">
        <v>64</v>
      </c>
      <c r="M24" s="5" t="s">
        <v>48</v>
      </c>
      <c r="N24" s="5" t="s">
        <v>209</v>
      </c>
      <c r="O24" s="5" t="s">
        <v>72</v>
      </c>
      <c r="P24" s="5" t="s">
        <v>70</v>
      </c>
      <c r="Q24" s="5" t="s">
        <v>210</v>
      </c>
      <c r="R24" s="1">
        <v>9</v>
      </c>
      <c r="S24" s="1">
        <v>34</v>
      </c>
      <c r="T24" s="1">
        <v>38</v>
      </c>
      <c r="Y24">
        <f t="shared" si="9"/>
        <v>22</v>
      </c>
      <c r="Z24">
        <f t="shared" si="4"/>
        <v>0</v>
      </c>
    </row>
    <row r="25" spans="1:26" x14ac:dyDescent="0.3">
      <c r="A25" s="3">
        <v>10</v>
      </c>
      <c r="B25" s="4"/>
      <c r="C25" s="6" t="s">
        <v>19</v>
      </c>
      <c r="D25" s="5"/>
      <c r="E25" s="5" t="s">
        <v>207</v>
      </c>
      <c r="F25" s="5" t="s">
        <v>50</v>
      </c>
      <c r="G25" s="5" t="s">
        <v>52</v>
      </c>
      <c r="H25" s="5" t="s">
        <v>75</v>
      </c>
      <c r="I25" s="5" t="s">
        <v>51</v>
      </c>
      <c r="J25" s="5" t="s">
        <v>208</v>
      </c>
      <c r="K25" s="5" t="s">
        <v>53</v>
      </c>
      <c r="L25" s="5" t="s">
        <v>64</v>
      </c>
      <c r="M25" s="5" t="s">
        <v>48</v>
      </c>
      <c r="N25" s="5" t="s">
        <v>54</v>
      </c>
      <c r="O25" s="5" t="s">
        <v>47</v>
      </c>
      <c r="P25" s="5" t="s">
        <v>67</v>
      </c>
      <c r="Q25" s="5" t="s">
        <v>210</v>
      </c>
      <c r="R25" s="1">
        <v>9</v>
      </c>
      <c r="S25" s="1">
        <v>39</v>
      </c>
      <c r="T25" s="1">
        <v>38</v>
      </c>
      <c r="Y25">
        <f t="shared" si="9"/>
        <v>23</v>
      </c>
      <c r="Z25">
        <f t="shared" si="4"/>
        <v>0</v>
      </c>
    </row>
    <row r="26" spans="1:26" x14ac:dyDescent="0.3">
      <c r="A26" s="3">
        <v>11</v>
      </c>
      <c r="B26" s="4"/>
      <c r="C26" s="6" t="s">
        <v>11</v>
      </c>
      <c r="D26" s="5"/>
      <c r="E26" s="5" t="s">
        <v>207</v>
      </c>
      <c r="F26" s="5" t="s">
        <v>50</v>
      </c>
      <c r="G26" s="5" t="s">
        <v>52</v>
      </c>
      <c r="H26" s="5" t="s">
        <v>57</v>
      </c>
      <c r="I26" s="5" t="s">
        <v>63</v>
      </c>
      <c r="J26" s="5" t="s">
        <v>56</v>
      </c>
      <c r="K26" s="5" t="s">
        <v>53</v>
      </c>
      <c r="L26" s="5" t="s">
        <v>64</v>
      </c>
      <c r="M26" s="5" t="s">
        <v>55</v>
      </c>
      <c r="N26" s="5" t="s">
        <v>54</v>
      </c>
      <c r="O26" s="5" t="s">
        <v>47</v>
      </c>
      <c r="P26" s="5" t="s">
        <v>67</v>
      </c>
      <c r="Q26" s="5" t="s">
        <v>210</v>
      </c>
      <c r="R26" s="1">
        <v>9</v>
      </c>
      <c r="S26" s="1">
        <v>37</v>
      </c>
      <c r="T26" s="1">
        <v>41</v>
      </c>
      <c r="Y26">
        <f t="shared" si="9"/>
        <v>24</v>
      </c>
      <c r="Z26">
        <f t="shared" si="4"/>
        <v>0</v>
      </c>
    </row>
    <row r="27" spans="1:26" ht="28.8" x14ac:dyDescent="0.3">
      <c r="A27" s="3">
        <v>12</v>
      </c>
      <c r="B27" s="4"/>
      <c r="C27" s="6" t="s">
        <v>27</v>
      </c>
      <c r="D27" s="5"/>
      <c r="E27" s="5" t="s">
        <v>207</v>
      </c>
      <c r="F27" s="5" t="s">
        <v>50</v>
      </c>
      <c r="G27" s="5" t="s">
        <v>52</v>
      </c>
      <c r="H27" s="5" t="s">
        <v>75</v>
      </c>
      <c r="I27" s="5" t="s">
        <v>63</v>
      </c>
      <c r="J27" s="5" t="s">
        <v>56</v>
      </c>
      <c r="K27" s="5" t="s">
        <v>53</v>
      </c>
      <c r="L27" s="5" t="s">
        <v>64</v>
      </c>
      <c r="M27" s="5" t="s">
        <v>55</v>
      </c>
      <c r="N27" s="5" t="s">
        <v>54</v>
      </c>
      <c r="O27" s="5" t="s">
        <v>47</v>
      </c>
      <c r="P27" s="5" t="s">
        <v>70</v>
      </c>
      <c r="Q27" s="5" t="s">
        <v>210</v>
      </c>
      <c r="R27" s="1">
        <v>9</v>
      </c>
      <c r="S27" s="1">
        <v>39</v>
      </c>
      <c r="T27" s="1">
        <v>42</v>
      </c>
      <c r="Y27">
        <f t="shared" si="9"/>
        <v>25</v>
      </c>
      <c r="Z27">
        <f t="shared" si="4"/>
        <v>0</v>
      </c>
    </row>
    <row r="28" spans="1:26" x14ac:dyDescent="0.3">
      <c r="A28" s="3">
        <v>13</v>
      </c>
      <c r="B28" s="4"/>
      <c r="C28" s="6" t="s">
        <v>93</v>
      </c>
      <c r="D28" s="5"/>
      <c r="E28" s="5" t="s">
        <v>207</v>
      </c>
      <c r="F28" s="5" t="s">
        <v>50</v>
      </c>
      <c r="G28" s="5" t="s">
        <v>52</v>
      </c>
      <c r="H28" s="5" t="s">
        <v>57</v>
      </c>
      <c r="I28" s="5" t="s">
        <v>51</v>
      </c>
      <c r="J28" s="5" t="s">
        <v>56</v>
      </c>
      <c r="K28" s="5" t="s">
        <v>53</v>
      </c>
      <c r="L28" s="5" t="s">
        <v>64</v>
      </c>
      <c r="M28" s="5" t="s">
        <v>48</v>
      </c>
      <c r="N28" s="5" t="s">
        <v>54</v>
      </c>
      <c r="O28" s="5" t="s">
        <v>47</v>
      </c>
      <c r="P28" s="5" t="s">
        <v>67</v>
      </c>
      <c r="Q28" s="5" t="s">
        <v>210</v>
      </c>
      <c r="R28" s="1">
        <v>9</v>
      </c>
      <c r="S28" s="1">
        <v>39</v>
      </c>
      <c r="T28" s="1">
        <v>42</v>
      </c>
      <c r="Y28">
        <f t="shared" si="9"/>
        <v>26</v>
      </c>
      <c r="Z28">
        <f t="shared" si="4"/>
        <v>0</v>
      </c>
    </row>
    <row r="29" spans="1:26" x14ac:dyDescent="0.3">
      <c r="A29" s="3">
        <v>14</v>
      </c>
      <c r="B29" s="4"/>
      <c r="C29" s="6" t="s">
        <v>136</v>
      </c>
      <c r="D29" s="5"/>
      <c r="E29" s="5" t="s">
        <v>207</v>
      </c>
      <c r="F29" s="5" t="s">
        <v>68</v>
      </c>
      <c r="G29" s="5" t="s">
        <v>52</v>
      </c>
      <c r="H29" s="5" t="s">
        <v>57</v>
      </c>
      <c r="I29" s="5" t="s">
        <v>51</v>
      </c>
      <c r="J29" s="5" t="s">
        <v>56</v>
      </c>
      <c r="K29" s="5" t="s">
        <v>53</v>
      </c>
      <c r="L29" s="5" t="s">
        <v>64</v>
      </c>
      <c r="M29" s="5" t="s">
        <v>55</v>
      </c>
      <c r="N29" s="5" t="s">
        <v>54</v>
      </c>
      <c r="O29" s="5" t="s">
        <v>47</v>
      </c>
      <c r="P29" s="5" t="s">
        <v>70</v>
      </c>
      <c r="Q29" s="5" t="s">
        <v>58</v>
      </c>
      <c r="R29" s="1">
        <v>9</v>
      </c>
      <c r="S29" s="1">
        <v>34</v>
      </c>
      <c r="T29" s="1">
        <v>42</v>
      </c>
      <c r="Y29">
        <f t="shared" si="9"/>
        <v>27</v>
      </c>
      <c r="Z29">
        <f t="shared" si="4"/>
        <v>1</v>
      </c>
    </row>
    <row r="30" spans="1:26" x14ac:dyDescent="0.3">
      <c r="A30" s="3">
        <v>15</v>
      </c>
      <c r="B30" s="4"/>
      <c r="C30" s="6" t="s">
        <v>121</v>
      </c>
      <c r="D30" s="5"/>
      <c r="E30" s="5" t="s">
        <v>207</v>
      </c>
      <c r="F30" s="5" t="s">
        <v>50</v>
      </c>
      <c r="G30" s="5" t="s">
        <v>52</v>
      </c>
      <c r="H30" s="5" t="s">
        <v>57</v>
      </c>
      <c r="I30" s="5" t="s">
        <v>63</v>
      </c>
      <c r="J30" s="5" t="s">
        <v>56</v>
      </c>
      <c r="K30" s="5" t="s">
        <v>53</v>
      </c>
      <c r="L30" s="5" t="s">
        <v>64</v>
      </c>
      <c r="M30" s="5" t="s">
        <v>48</v>
      </c>
      <c r="N30" s="5" t="s">
        <v>54</v>
      </c>
      <c r="O30" s="5" t="s">
        <v>47</v>
      </c>
      <c r="P30" s="5" t="s">
        <v>70</v>
      </c>
      <c r="Q30" s="5" t="s">
        <v>210</v>
      </c>
      <c r="R30" s="1">
        <v>9</v>
      </c>
      <c r="S30" s="1">
        <v>42</v>
      </c>
      <c r="T30" s="1">
        <v>36</v>
      </c>
      <c r="Y30">
        <f t="shared" si="9"/>
        <v>28</v>
      </c>
      <c r="Z30">
        <f t="shared" si="4"/>
        <v>0</v>
      </c>
    </row>
    <row r="31" spans="1:26" x14ac:dyDescent="0.3">
      <c r="A31" s="3">
        <v>16</v>
      </c>
      <c r="B31" s="4"/>
      <c r="C31" s="6" t="s">
        <v>38</v>
      </c>
      <c r="D31" s="5"/>
      <c r="E31" s="5" t="s">
        <v>74</v>
      </c>
      <c r="F31" s="5" t="s">
        <v>50</v>
      </c>
      <c r="G31" s="5" t="s">
        <v>52</v>
      </c>
      <c r="H31" s="5" t="s">
        <v>75</v>
      </c>
      <c r="I31" s="5" t="s">
        <v>51</v>
      </c>
      <c r="J31" s="5" t="s">
        <v>208</v>
      </c>
      <c r="K31" s="5" t="s">
        <v>53</v>
      </c>
      <c r="L31" s="5" t="s">
        <v>66</v>
      </c>
      <c r="M31" s="5" t="s">
        <v>55</v>
      </c>
      <c r="N31" s="5" t="s">
        <v>54</v>
      </c>
      <c r="O31" s="5" t="s">
        <v>47</v>
      </c>
      <c r="P31" s="5" t="s">
        <v>70</v>
      </c>
      <c r="Q31" s="5" t="s">
        <v>210</v>
      </c>
      <c r="R31" s="1">
        <v>9</v>
      </c>
      <c r="S31" s="1">
        <v>36</v>
      </c>
      <c r="T31" s="1">
        <v>43</v>
      </c>
      <c r="Y31">
        <f t="shared" si="9"/>
        <v>29</v>
      </c>
      <c r="Z31">
        <f t="shared" si="4"/>
        <v>0</v>
      </c>
    </row>
    <row r="32" spans="1:26" ht="28.8" x14ac:dyDescent="0.3">
      <c r="A32" s="3">
        <v>17</v>
      </c>
      <c r="B32" s="4"/>
      <c r="C32" s="6" t="s">
        <v>139</v>
      </c>
      <c r="D32" s="5"/>
      <c r="E32" s="5" t="s">
        <v>207</v>
      </c>
      <c r="F32" s="5" t="s">
        <v>50</v>
      </c>
      <c r="G32" s="5" t="s">
        <v>52</v>
      </c>
      <c r="H32" s="5" t="s">
        <v>75</v>
      </c>
      <c r="I32" s="5" t="s">
        <v>51</v>
      </c>
      <c r="J32" s="5" t="s">
        <v>56</v>
      </c>
      <c r="K32" s="5" t="s">
        <v>53</v>
      </c>
      <c r="L32" s="5" t="s">
        <v>64</v>
      </c>
      <c r="M32" s="5" t="s">
        <v>55</v>
      </c>
      <c r="N32" s="5" t="s">
        <v>54</v>
      </c>
      <c r="O32" s="5" t="s">
        <v>47</v>
      </c>
      <c r="P32" s="5" t="s">
        <v>67</v>
      </c>
      <c r="Q32" s="5" t="s">
        <v>210</v>
      </c>
      <c r="R32" s="1">
        <v>9</v>
      </c>
      <c r="S32" s="1">
        <v>41</v>
      </c>
      <c r="T32" s="1">
        <v>43</v>
      </c>
      <c r="Y32">
        <f t="shared" si="9"/>
        <v>30</v>
      </c>
      <c r="Z32">
        <f t="shared" si="4"/>
        <v>1</v>
      </c>
    </row>
    <row r="33" spans="1:26" x14ac:dyDescent="0.3">
      <c r="A33" s="3">
        <v>18</v>
      </c>
      <c r="B33" s="4"/>
      <c r="C33" s="6" t="s">
        <v>100</v>
      </c>
      <c r="D33" s="5"/>
      <c r="E33" s="5" t="s">
        <v>207</v>
      </c>
      <c r="F33" s="5" t="s">
        <v>68</v>
      </c>
      <c r="G33" s="5" t="s">
        <v>73</v>
      </c>
      <c r="H33" s="5" t="s">
        <v>75</v>
      </c>
      <c r="I33" s="5" t="s">
        <v>51</v>
      </c>
      <c r="J33" s="5" t="s">
        <v>56</v>
      </c>
      <c r="K33" s="5" t="s">
        <v>53</v>
      </c>
      <c r="L33" s="5" t="s">
        <v>64</v>
      </c>
      <c r="M33" s="5" t="s">
        <v>55</v>
      </c>
      <c r="N33" s="5" t="s">
        <v>54</v>
      </c>
      <c r="O33" s="5" t="s">
        <v>72</v>
      </c>
      <c r="P33" s="5" t="s">
        <v>70</v>
      </c>
      <c r="Q33" s="5" t="s">
        <v>210</v>
      </c>
      <c r="R33" s="1">
        <v>9</v>
      </c>
      <c r="S33" s="1">
        <v>37</v>
      </c>
      <c r="T33" s="1">
        <v>43</v>
      </c>
      <c r="Y33">
        <f t="shared" si="9"/>
        <v>31</v>
      </c>
      <c r="Z33">
        <f t="shared" si="4"/>
        <v>0</v>
      </c>
    </row>
    <row r="34" spans="1:26" x14ac:dyDescent="0.3">
      <c r="A34" s="3">
        <v>19</v>
      </c>
      <c r="B34" s="4"/>
      <c r="C34" s="6" t="s">
        <v>16</v>
      </c>
      <c r="D34" s="5"/>
      <c r="E34" s="5" t="s">
        <v>207</v>
      </c>
      <c r="F34" s="5" t="s">
        <v>50</v>
      </c>
      <c r="G34" s="5" t="s">
        <v>52</v>
      </c>
      <c r="H34" s="5" t="s">
        <v>75</v>
      </c>
      <c r="I34" s="5" t="s">
        <v>51</v>
      </c>
      <c r="J34" s="5" t="s">
        <v>208</v>
      </c>
      <c r="K34" s="5" t="s">
        <v>53</v>
      </c>
      <c r="L34" s="5" t="s">
        <v>64</v>
      </c>
      <c r="M34" s="5" t="s">
        <v>55</v>
      </c>
      <c r="N34" s="5" t="s">
        <v>209</v>
      </c>
      <c r="O34" s="5" t="s">
        <v>72</v>
      </c>
      <c r="P34" s="5" t="s">
        <v>67</v>
      </c>
      <c r="Q34" s="5" t="s">
        <v>58</v>
      </c>
      <c r="R34" s="1">
        <v>9</v>
      </c>
      <c r="S34" s="1">
        <v>40</v>
      </c>
      <c r="T34" s="1">
        <v>44</v>
      </c>
      <c r="Y34">
        <f t="shared" si="9"/>
        <v>32</v>
      </c>
      <c r="Z34">
        <f t="shared" si="4"/>
        <v>1</v>
      </c>
    </row>
    <row r="35" spans="1:26" ht="28.8" x14ac:dyDescent="0.3">
      <c r="A35" s="3">
        <v>20</v>
      </c>
      <c r="B35" s="4"/>
      <c r="C35" s="6" t="s">
        <v>147</v>
      </c>
      <c r="D35" s="5"/>
      <c r="E35" s="5" t="s">
        <v>207</v>
      </c>
      <c r="F35" s="5" t="s">
        <v>50</v>
      </c>
      <c r="G35" s="5" t="s">
        <v>52</v>
      </c>
      <c r="H35" s="5" t="s">
        <v>57</v>
      </c>
      <c r="I35" s="5" t="s">
        <v>51</v>
      </c>
      <c r="J35" s="5" t="s">
        <v>56</v>
      </c>
      <c r="K35" s="5" t="s">
        <v>53</v>
      </c>
      <c r="L35" s="5" t="s">
        <v>64</v>
      </c>
      <c r="M35" s="5" t="s">
        <v>55</v>
      </c>
      <c r="N35" s="5" t="s">
        <v>209</v>
      </c>
      <c r="O35" s="5" t="s">
        <v>47</v>
      </c>
      <c r="P35" s="5" t="s">
        <v>67</v>
      </c>
      <c r="Q35" s="5" t="s">
        <v>210</v>
      </c>
      <c r="R35" s="1">
        <v>9</v>
      </c>
      <c r="S35" s="1">
        <v>44</v>
      </c>
      <c r="T35" s="1">
        <v>44</v>
      </c>
      <c r="Y35">
        <f t="shared" si="9"/>
        <v>33</v>
      </c>
      <c r="Z35">
        <f t="shared" si="4"/>
        <v>0</v>
      </c>
    </row>
    <row r="36" spans="1:26" ht="28.8" x14ac:dyDescent="0.3">
      <c r="A36" s="3">
        <v>21</v>
      </c>
      <c r="B36" s="4"/>
      <c r="C36" s="6" t="s">
        <v>8</v>
      </c>
      <c r="D36" s="5"/>
      <c r="E36" s="5" t="s">
        <v>207</v>
      </c>
      <c r="F36" s="5" t="s">
        <v>50</v>
      </c>
      <c r="G36" s="5" t="s">
        <v>52</v>
      </c>
      <c r="H36" s="5" t="s">
        <v>75</v>
      </c>
      <c r="I36" s="5" t="s">
        <v>51</v>
      </c>
      <c r="J36" s="5" t="s">
        <v>208</v>
      </c>
      <c r="K36" s="5" t="s">
        <v>53</v>
      </c>
      <c r="L36" s="5" t="s">
        <v>64</v>
      </c>
      <c r="M36" s="5" t="s">
        <v>55</v>
      </c>
      <c r="N36" s="5" t="s">
        <v>54</v>
      </c>
      <c r="O36" s="5" t="s">
        <v>47</v>
      </c>
      <c r="P36" s="5" t="s">
        <v>67</v>
      </c>
      <c r="Q36" s="5" t="s">
        <v>58</v>
      </c>
      <c r="R36" s="1">
        <v>9</v>
      </c>
      <c r="S36" s="1">
        <v>37</v>
      </c>
      <c r="T36" s="1">
        <v>34</v>
      </c>
      <c r="Y36">
        <f t="shared" si="9"/>
        <v>34</v>
      </c>
      <c r="Z36">
        <f t="shared" si="4"/>
        <v>1</v>
      </c>
    </row>
    <row r="37" spans="1:26" ht="28.8" x14ac:dyDescent="0.3">
      <c r="A37" s="3">
        <v>22</v>
      </c>
      <c r="B37" s="4"/>
      <c r="C37" s="6" t="s">
        <v>112</v>
      </c>
      <c r="D37" s="5"/>
      <c r="E37" s="5" t="s">
        <v>207</v>
      </c>
      <c r="F37" s="5" t="s">
        <v>50</v>
      </c>
      <c r="G37" s="5" t="s">
        <v>52</v>
      </c>
      <c r="H37" s="5" t="s">
        <v>57</v>
      </c>
      <c r="I37" s="5" t="s">
        <v>51</v>
      </c>
      <c r="J37" s="5" t="s">
        <v>56</v>
      </c>
      <c r="K37" s="5" t="s">
        <v>53</v>
      </c>
      <c r="L37" s="5" t="s">
        <v>64</v>
      </c>
      <c r="M37" s="5" t="s">
        <v>48</v>
      </c>
      <c r="N37" s="5" t="s">
        <v>54</v>
      </c>
      <c r="O37" s="5" t="s">
        <v>47</v>
      </c>
      <c r="P37" s="5" t="s">
        <v>67</v>
      </c>
      <c r="Q37" s="5" t="s">
        <v>210</v>
      </c>
      <c r="R37" s="1">
        <v>9</v>
      </c>
      <c r="S37" s="1">
        <v>38</v>
      </c>
      <c r="T37" s="1">
        <v>44</v>
      </c>
      <c r="Y37">
        <f t="shared" si="9"/>
        <v>35</v>
      </c>
      <c r="Z37">
        <f t="shared" si="4"/>
        <v>1</v>
      </c>
    </row>
    <row r="38" spans="1:26" x14ac:dyDescent="0.3">
      <c r="A38" s="3">
        <v>23</v>
      </c>
      <c r="B38" s="4"/>
      <c r="C38" s="6" t="s">
        <v>149</v>
      </c>
      <c r="D38" s="5"/>
      <c r="E38" s="5" t="s">
        <v>207</v>
      </c>
      <c r="F38" s="5" t="s">
        <v>50</v>
      </c>
      <c r="G38" s="5" t="s">
        <v>52</v>
      </c>
      <c r="H38" s="5" t="s">
        <v>57</v>
      </c>
      <c r="I38" s="5" t="s">
        <v>51</v>
      </c>
      <c r="J38" s="5" t="s">
        <v>208</v>
      </c>
      <c r="K38" s="5" t="s">
        <v>53</v>
      </c>
      <c r="L38" s="5" t="s">
        <v>64</v>
      </c>
      <c r="M38" s="5" t="s">
        <v>55</v>
      </c>
      <c r="N38" s="5" t="s">
        <v>209</v>
      </c>
      <c r="O38" s="5" t="s">
        <v>47</v>
      </c>
      <c r="P38" s="5" t="s">
        <v>67</v>
      </c>
      <c r="Q38" s="5" t="s">
        <v>58</v>
      </c>
      <c r="R38" s="1">
        <v>9</v>
      </c>
      <c r="S38" s="1">
        <v>36</v>
      </c>
      <c r="T38" s="1">
        <v>44</v>
      </c>
      <c r="Y38">
        <f t="shared" si="9"/>
        <v>36</v>
      </c>
      <c r="Z38">
        <f t="shared" si="4"/>
        <v>4</v>
      </c>
    </row>
    <row r="39" spans="1:26" x14ac:dyDescent="0.3">
      <c r="A39" s="3">
        <v>24</v>
      </c>
      <c r="B39" s="4"/>
      <c r="C39" s="6" t="s">
        <v>79</v>
      </c>
      <c r="D39" s="5"/>
      <c r="E39" s="5" t="s">
        <v>207</v>
      </c>
      <c r="F39" s="5" t="s">
        <v>50</v>
      </c>
      <c r="G39" s="5" t="s">
        <v>52</v>
      </c>
      <c r="H39" s="5" t="s">
        <v>75</v>
      </c>
      <c r="I39" s="5" t="s">
        <v>51</v>
      </c>
      <c r="J39" s="5" t="s">
        <v>56</v>
      </c>
      <c r="K39" s="5" t="s">
        <v>53</v>
      </c>
      <c r="L39" s="5" t="s">
        <v>66</v>
      </c>
      <c r="M39" s="5" t="s">
        <v>55</v>
      </c>
      <c r="N39" s="5" t="s">
        <v>54</v>
      </c>
      <c r="O39" s="5" t="s">
        <v>47</v>
      </c>
      <c r="P39" s="5" t="s">
        <v>70</v>
      </c>
      <c r="Q39" s="5" t="s">
        <v>210</v>
      </c>
      <c r="R39" s="1">
        <v>9</v>
      </c>
      <c r="S39" s="1">
        <v>28</v>
      </c>
      <c r="T39" s="1">
        <v>45</v>
      </c>
      <c r="Y39">
        <f t="shared" si="9"/>
        <v>37</v>
      </c>
      <c r="Z39">
        <f t="shared" si="4"/>
        <v>3</v>
      </c>
    </row>
    <row r="40" spans="1:26" x14ac:dyDescent="0.3">
      <c r="A40" s="3">
        <v>25</v>
      </c>
      <c r="B40" s="4"/>
      <c r="C40" s="6" t="s">
        <v>37</v>
      </c>
      <c r="D40" s="5"/>
      <c r="E40" s="5" t="s">
        <v>207</v>
      </c>
      <c r="F40" s="5" t="s">
        <v>50</v>
      </c>
      <c r="G40" s="5" t="s">
        <v>52</v>
      </c>
      <c r="H40" s="5" t="s">
        <v>57</v>
      </c>
      <c r="I40" s="5" t="s">
        <v>63</v>
      </c>
      <c r="J40" s="5" t="s">
        <v>56</v>
      </c>
      <c r="K40" s="5" t="s">
        <v>53</v>
      </c>
      <c r="L40" s="5" t="s">
        <v>64</v>
      </c>
      <c r="M40" s="5" t="s">
        <v>48</v>
      </c>
      <c r="N40" s="5" t="s">
        <v>54</v>
      </c>
      <c r="O40" s="5" t="s">
        <v>47</v>
      </c>
      <c r="P40" s="5" t="s">
        <v>70</v>
      </c>
      <c r="Q40" s="5" t="s">
        <v>210</v>
      </c>
      <c r="R40" s="1">
        <v>9</v>
      </c>
      <c r="S40" s="1">
        <v>42</v>
      </c>
      <c r="T40" s="1">
        <v>45</v>
      </c>
      <c r="Y40">
        <f t="shared" si="9"/>
        <v>38</v>
      </c>
      <c r="Z40">
        <f t="shared" si="4"/>
        <v>4</v>
      </c>
    </row>
    <row r="41" spans="1:26" x14ac:dyDescent="0.3">
      <c r="A41" s="3">
        <v>26</v>
      </c>
      <c r="B41" s="4"/>
      <c r="C41" s="6" t="s">
        <v>181</v>
      </c>
      <c r="D41" s="5"/>
      <c r="E41" s="5" t="s">
        <v>207</v>
      </c>
      <c r="F41" s="5" t="s">
        <v>50</v>
      </c>
      <c r="G41" s="5" t="s">
        <v>52</v>
      </c>
      <c r="H41" s="5" t="s">
        <v>57</v>
      </c>
      <c r="I41" s="5" t="s">
        <v>63</v>
      </c>
      <c r="J41" s="5" t="s">
        <v>56</v>
      </c>
      <c r="K41" s="5" t="s">
        <v>53</v>
      </c>
      <c r="L41" s="5" t="s">
        <v>64</v>
      </c>
      <c r="M41" s="5" t="s">
        <v>48</v>
      </c>
      <c r="N41" s="5" t="s">
        <v>54</v>
      </c>
      <c r="O41" s="5" t="s">
        <v>47</v>
      </c>
      <c r="P41" s="5" t="s">
        <v>70</v>
      </c>
      <c r="Q41" s="5" t="s">
        <v>210</v>
      </c>
      <c r="R41" s="1">
        <v>9</v>
      </c>
      <c r="S41" s="1">
        <v>34</v>
      </c>
      <c r="T41" s="1">
        <v>45</v>
      </c>
      <c r="Y41">
        <f t="shared" si="9"/>
        <v>39</v>
      </c>
      <c r="Z41">
        <f t="shared" si="4"/>
        <v>3</v>
      </c>
    </row>
    <row r="42" spans="1:26" x14ac:dyDescent="0.3">
      <c r="A42" s="3">
        <v>27</v>
      </c>
      <c r="B42" s="4"/>
      <c r="C42" s="6" t="s">
        <v>91</v>
      </c>
      <c r="D42" s="5"/>
      <c r="E42" s="5" t="s">
        <v>207</v>
      </c>
      <c r="F42" s="5" t="s">
        <v>50</v>
      </c>
      <c r="G42" s="5" t="s">
        <v>73</v>
      </c>
      <c r="H42" s="5" t="s">
        <v>57</v>
      </c>
      <c r="I42" s="5" t="s">
        <v>51</v>
      </c>
      <c r="J42" s="5" t="s">
        <v>56</v>
      </c>
      <c r="K42" s="5" t="s">
        <v>53</v>
      </c>
      <c r="L42" s="5" t="s">
        <v>64</v>
      </c>
      <c r="M42" s="5" t="s">
        <v>55</v>
      </c>
      <c r="N42" s="5" t="s">
        <v>209</v>
      </c>
      <c r="O42" s="5" t="s">
        <v>72</v>
      </c>
      <c r="P42" s="5" t="s">
        <v>67</v>
      </c>
      <c r="Q42" s="5" t="s">
        <v>210</v>
      </c>
      <c r="R42" s="1">
        <v>9</v>
      </c>
      <c r="S42" s="1">
        <v>44</v>
      </c>
      <c r="T42" s="1">
        <v>45</v>
      </c>
      <c r="Y42">
        <f t="shared" si="9"/>
        <v>40</v>
      </c>
      <c r="Z42">
        <f t="shared" si="4"/>
        <v>1</v>
      </c>
    </row>
    <row r="43" spans="1:26" x14ac:dyDescent="0.3">
      <c r="A43" s="3">
        <v>28</v>
      </c>
      <c r="B43" s="4"/>
      <c r="C43" s="6" t="s">
        <v>157</v>
      </c>
      <c r="D43" s="5"/>
      <c r="E43" s="5" t="s">
        <v>74</v>
      </c>
      <c r="F43" s="5" t="s">
        <v>50</v>
      </c>
      <c r="G43" s="5" t="s">
        <v>73</v>
      </c>
      <c r="H43" s="5" t="s">
        <v>57</v>
      </c>
      <c r="I43" s="5" t="s">
        <v>51</v>
      </c>
      <c r="J43" s="5" t="s">
        <v>208</v>
      </c>
      <c r="K43" s="5" t="s">
        <v>61</v>
      </c>
      <c r="L43" s="5" t="s">
        <v>64</v>
      </c>
      <c r="M43" s="5" t="s">
        <v>55</v>
      </c>
      <c r="N43" s="5" t="s">
        <v>54</v>
      </c>
      <c r="O43" s="5" t="s">
        <v>72</v>
      </c>
      <c r="P43" s="5" t="s">
        <v>67</v>
      </c>
      <c r="Q43" s="5" t="s">
        <v>210</v>
      </c>
      <c r="R43" s="1">
        <v>9</v>
      </c>
      <c r="S43" s="1">
        <v>32</v>
      </c>
      <c r="T43" s="1">
        <v>45</v>
      </c>
      <c r="Y43">
        <f t="shared" si="9"/>
        <v>41</v>
      </c>
      <c r="Z43">
        <f t="shared" si="4"/>
        <v>6</v>
      </c>
    </row>
    <row r="44" spans="1:26" x14ac:dyDescent="0.3">
      <c r="A44" s="3">
        <v>29</v>
      </c>
      <c r="B44" s="4"/>
      <c r="C44" s="6" t="s">
        <v>23</v>
      </c>
      <c r="D44" s="5"/>
      <c r="E44" s="5" t="s">
        <v>207</v>
      </c>
      <c r="F44" s="5" t="s">
        <v>50</v>
      </c>
      <c r="G44" s="5" t="s">
        <v>52</v>
      </c>
      <c r="H44" s="5" t="s">
        <v>75</v>
      </c>
      <c r="I44" s="5" t="s">
        <v>63</v>
      </c>
      <c r="J44" s="5" t="s">
        <v>208</v>
      </c>
      <c r="K44" s="5" t="s">
        <v>53</v>
      </c>
      <c r="L44" s="5" t="s">
        <v>64</v>
      </c>
      <c r="M44" s="5" t="s">
        <v>48</v>
      </c>
      <c r="N44" s="5" t="s">
        <v>54</v>
      </c>
      <c r="O44" s="5" t="s">
        <v>72</v>
      </c>
      <c r="P44" s="5" t="s">
        <v>67</v>
      </c>
      <c r="Q44" s="5" t="s">
        <v>210</v>
      </c>
      <c r="R44" s="1">
        <v>9</v>
      </c>
      <c r="S44" s="1">
        <v>39</v>
      </c>
      <c r="T44" s="1">
        <v>47</v>
      </c>
      <c r="Y44">
        <f t="shared" si="9"/>
        <v>42</v>
      </c>
      <c r="Z44">
        <f t="shared" si="4"/>
        <v>11</v>
      </c>
    </row>
    <row r="45" spans="1:26" ht="28.8" x14ac:dyDescent="0.3">
      <c r="A45" s="3">
        <v>30</v>
      </c>
      <c r="B45" s="4"/>
      <c r="C45" s="6" t="s">
        <v>81</v>
      </c>
      <c r="D45" s="5"/>
      <c r="E45" s="5" t="s">
        <v>207</v>
      </c>
      <c r="F45" s="5" t="s">
        <v>50</v>
      </c>
      <c r="G45" s="5" t="s">
        <v>52</v>
      </c>
      <c r="H45" s="5" t="s">
        <v>57</v>
      </c>
      <c r="I45" s="5" t="s">
        <v>63</v>
      </c>
      <c r="J45" s="5" t="s">
        <v>56</v>
      </c>
      <c r="K45" s="5" t="s">
        <v>53</v>
      </c>
      <c r="L45" s="5" t="s">
        <v>64</v>
      </c>
      <c r="M45" s="5" t="s">
        <v>48</v>
      </c>
      <c r="N45" s="5" t="s">
        <v>209</v>
      </c>
      <c r="O45" s="5" t="s">
        <v>72</v>
      </c>
      <c r="P45" s="5" t="s">
        <v>70</v>
      </c>
      <c r="Q45" s="5" t="s">
        <v>210</v>
      </c>
      <c r="R45" s="1">
        <v>9</v>
      </c>
      <c r="S45" s="1">
        <v>41</v>
      </c>
      <c r="T45" s="1">
        <v>47</v>
      </c>
      <c r="Y45">
        <f t="shared" si="9"/>
        <v>43</v>
      </c>
      <c r="Z45">
        <f t="shared" si="4"/>
        <v>12</v>
      </c>
    </row>
    <row r="46" spans="1:26" ht="28.8" x14ac:dyDescent="0.3">
      <c r="A46" s="3">
        <v>31</v>
      </c>
      <c r="B46" s="4"/>
      <c r="C46" s="6" t="s">
        <v>9</v>
      </c>
      <c r="D46" s="5"/>
      <c r="E46" s="5" t="s">
        <v>207</v>
      </c>
      <c r="F46" s="5" t="s">
        <v>50</v>
      </c>
      <c r="G46" s="5" t="s">
        <v>52</v>
      </c>
      <c r="H46" s="5" t="s">
        <v>57</v>
      </c>
      <c r="I46" s="5" t="s">
        <v>51</v>
      </c>
      <c r="J46" s="5" t="s">
        <v>56</v>
      </c>
      <c r="K46" s="5" t="s">
        <v>53</v>
      </c>
      <c r="L46" s="5" t="s">
        <v>64</v>
      </c>
      <c r="M46" s="5" t="s">
        <v>48</v>
      </c>
      <c r="N46" s="5" t="s">
        <v>54</v>
      </c>
      <c r="O46" s="5" t="s">
        <v>47</v>
      </c>
      <c r="P46" s="5" t="s">
        <v>67</v>
      </c>
      <c r="Q46" s="5" t="s">
        <v>210</v>
      </c>
      <c r="R46" s="1">
        <v>9</v>
      </c>
      <c r="S46" s="1">
        <v>36</v>
      </c>
      <c r="T46" s="1">
        <v>47</v>
      </c>
      <c r="Y46">
        <f t="shared" si="9"/>
        <v>44</v>
      </c>
      <c r="Z46">
        <f t="shared" si="4"/>
        <v>13</v>
      </c>
    </row>
    <row r="47" spans="1:26" x14ac:dyDescent="0.3">
      <c r="A47" s="3">
        <v>32</v>
      </c>
      <c r="B47" s="4"/>
      <c r="C47" s="6" t="s">
        <v>42</v>
      </c>
      <c r="D47" s="5"/>
      <c r="E47" s="5" t="s">
        <v>207</v>
      </c>
      <c r="F47" s="5" t="s">
        <v>50</v>
      </c>
      <c r="G47" s="5" t="s">
        <v>52</v>
      </c>
      <c r="H47" s="5" t="s">
        <v>75</v>
      </c>
      <c r="I47" s="5" t="s">
        <v>51</v>
      </c>
      <c r="J47" s="5" t="s">
        <v>56</v>
      </c>
      <c r="K47" s="5" t="s">
        <v>53</v>
      </c>
      <c r="L47" s="5" t="s">
        <v>64</v>
      </c>
      <c r="M47" s="5" t="s">
        <v>48</v>
      </c>
      <c r="N47" s="5" t="s">
        <v>54</v>
      </c>
      <c r="O47" s="5" t="s">
        <v>47</v>
      </c>
      <c r="P47" s="5" t="s">
        <v>70</v>
      </c>
      <c r="Q47" s="5" t="s">
        <v>210</v>
      </c>
      <c r="R47" s="1">
        <v>9</v>
      </c>
      <c r="S47" s="1">
        <v>34</v>
      </c>
      <c r="T47" s="1">
        <v>48</v>
      </c>
      <c r="Y47">
        <f t="shared" si="9"/>
        <v>45</v>
      </c>
      <c r="Z47">
        <f t="shared" si="4"/>
        <v>18</v>
      </c>
    </row>
    <row r="48" spans="1:26" x14ac:dyDescent="0.3">
      <c r="A48" s="3">
        <v>33</v>
      </c>
      <c r="B48" s="4"/>
      <c r="C48" s="6" t="s">
        <v>109</v>
      </c>
      <c r="D48" s="5"/>
      <c r="E48" s="5" t="s">
        <v>74</v>
      </c>
      <c r="F48" s="5" t="s">
        <v>50</v>
      </c>
      <c r="G48" s="5" t="s">
        <v>52</v>
      </c>
      <c r="H48" s="5" t="s">
        <v>57</v>
      </c>
      <c r="I48" s="5" t="s">
        <v>51</v>
      </c>
      <c r="J48" s="5" t="s">
        <v>56</v>
      </c>
      <c r="K48" s="5" t="s">
        <v>61</v>
      </c>
      <c r="L48" s="5" t="s">
        <v>64</v>
      </c>
      <c r="M48" s="5" t="s">
        <v>55</v>
      </c>
      <c r="N48" s="5" t="s">
        <v>209</v>
      </c>
      <c r="O48" s="5" t="s">
        <v>72</v>
      </c>
      <c r="P48" s="5" t="s">
        <v>70</v>
      </c>
      <c r="Q48" s="5" t="s">
        <v>210</v>
      </c>
      <c r="R48" s="1">
        <v>9</v>
      </c>
      <c r="S48" s="1">
        <v>39</v>
      </c>
      <c r="T48" s="1">
        <v>48</v>
      </c>
      <c r="Y48">
        <f t="shared" si="9"/>
        <v>46</v>
      </c>
      <c r="Z48">
        <f t="shared" si="4"/>
        <v>11</v>
      </c>
    </row>
    <row r="49" spans="1:26" x14ac:dyDescent="0.3">
      <c r="A49" s="3">
        <v>34</v>
      </c>
      <c r="B49" s="4"/>
      <c r="C49" s="6" t="s">
        <v>119</v>
      </c>
      <c r="D49" s="5"/>
      <c r="E49" s="5" t="s">
        <v>207</v>
      </c>
      <c r="F49" s="5" t="s">
        <v>50</v>
      </c>
      <c r="G49" s="5" t="s">
        <v>52</v>
      </c>
      <c r="H49" s="5" t="s">
        <v>75</v>
      </c>
      <c r="I49" s="5" t="s">
        <v>51</v>
      </c>
      <c r="J49" s="5" t="s">
        <v>56</v>
      </c>
      <c r="K49" s="5" t="s">
        <v>53</v>
      </c>
      <c r="L49" s="5" t="s">
        <v>66</v>
      </c>
      <c r="M49" s="5" t="s">
        <v>55</v>
      </c>
      <c r="N49" s="5" t="s">
        <v>54</v>
      </c>
      <c r="O49" s="5" t="s">
        <v>47</v>
      </c>
      <c r="P49" s="5" t="s">
        <v>70</v>
      </c>
      <c r="Q49" s="5" t="s">
        <v>210</v>
      </c>
      <c r="R49" s="1">
        <v>9</v>
      </c>
      <c r="S49" s="1">
        <v>37</v>
      </c>
      <c r="T49" s="1">
        <v>48</v>
      </c>
      <c r="Y49">
        <f t="shared" si="9"/>
        <v>47</v>
      </c>
      <c r="Z49">
        <f t="shared" si="4"/>
        <v>12</v>
      </c>
    </row>
    <row r="50" spans="1:26" x14ac:dyDescent="0.3">
      <c r="A50" s="3">
        <v>35</v>
      </c>
      <c r="B50" s="4"/>
      <c r="C50" s="6" t="s">
        <v>95</v>
      </c>
      <c r="D50" s="5"/>
      <c r="E50" s="5" t="s">
        <v>207</v>
      </c>
      <c r="F50" s="5" t="s">
        <v>50</v>
      </c>
      <c r="G50" s="5" t="s">
        <v>52</v>
      </c>
      <c r="H50" s="5" t="s">
        <v>57</v>
      </c>
      <c r="I50" s="5" t="s">
        <v>51</v>
      </c>
      <c r="J50" s="5" t="s">
        <v>56</v>
      </c>
      <c r="K50" s="5" t="s">
        <v>53</v>
      </c>
      <c r="L50" s="5" t="s">
        <v>64</v>
      </c>
      <c r="M50" s="5" t="s">
        <v>48</v>
      </c>
      <c r="N50" s="5" t="s">
        <v>54</v>
      </c>
      <c r="O50" s="5" t="s">
        <v>47</v>
      </c>
      <c r="P50" s="5" t="s">
        <v>67</v>
      </c>
      <c r="Q50" s="5" t="s">
        <v>210</v>
      </c>
      <c r="R50" s="1">
        <v>9</v>
      </c>
      <c r="S50" s="1">
        <v>35</v>
      </c>
      <c r="T50" s="1">
        <v>48</v>
      </c>
      <c r="Y50">
        <f t="shared" si="9"/>
        <v>48</v>
      </c>
      <c r="Z50">
        <f t="shared" si="4"/>
        <v>18</v>
      </c>
    </row>
    <row r="51" spans="1:26" ht="28.8" x14ac:dyDescent="0.3">
      <c r="A51" s="3">
        <v>36</v>
      </c>
      <c r="B51" s="4"/>
      <c r="C51" s="6" t="s">
        <v>22</v>
      </c>
      <c r="D51" s="5"/>
      <c r="E51" s="5" t="s">
        <v>74</v>
      </c>
      <c r="F51" s="5" t="s">
        <v>50</v>
      </c>
      <c r="G51" s="5" t="s">
        <v>52</v>
      </c>
      <c r="H51" s="5" t="s">
        <v>57</v>
      </c>
      <c r="I51" s="5" t="s">
        <v>51</v>
      </c>
      <c r="J51" s="5" t="s">
        <v>208</v>
      </c>
      <c r="K51" s="5" t="s">
        <v>53</v>
      </c>
      <c r="L51" s="5" t="s">
        <v>64</v>
      </c>
      <c r="M51" s="5" t="s">
        <v>55</v>
      </c>
      <c r="N51" s="5" t="s">
        <v>209</v>
      </c>
      <c r="O51" s="5" t="s">
        <v>47</v>
      </c>
      <c r="P51" s="5" t="s">
        <v>67</v>
      </c>
      <c r="Q51" s="5" t="s">
        <v>210</v>
      </c>
      <c r="R51" s="1">
        <v>9</v>
      </c>
      <c r="S51" s="1">
        <v>37</v>
      </c>
      <c r="T51" s="1">
        <v>51</v>
      </c>
      <c r="Y51">
        <f t="shared" si="9"/>
        <v>49</v>
      </c>
      <c r="Z51">
        <f t="shared" si="4"/>
        <v>2</v>
      </c>
    </row>
    <row r="52" spans="1:26" x14ac:dyDescent="0.3">
      <c r="A52" s="3">
        <v>37</v>
      </c>
      <c r="B52" s="4"/>
      <c r="C52" s="6" t="s">
        <v>83</v>
      </c>
      <c r="D52" s="5"/>
      <c r="E52" s="5" t="s">
        <v>207</v>
      </c>
      <c r="F52" s="5" t="s">
        <v>50</v>
      </c>
      <c r="G52" s="5" t="s">
        <v>52</v>
      </c>
      <c r="H52" s="5" t="s">
        <v>57</v>
      </c>
      <c r="I52" s="5" t="s">
        <v>63</v>
      </c>
      <c r="J52" s="5" t="s">
        <v>56</v>
      </c>
      <c r="K52" s="5" t="s">
        <v>53</v>
      </c>
      <c r="L52" s="5" t="s">
        <v>64</v>
      </c>
      <c r="M52" s="5" t="s">
        <v>55</v>
      </c>
      <c r="N52" s="5" t="s">
        <v>209</v>
      </c>
      <c r="O52" s="5" t="s">
        <v>47</v>
      </c>
      <c r="P52" s="5" t="s">
        <v>70</v>
      </c>
      <c r="Q52" s="5" t="s">
        <v>210</v>
      </c>
      <c r="R52" s="1">
        <v>9</v>
      </c>
      <c r="S52" s="1">
        <v>40</v>
      </c>
      <c r="T52" s="1">
        <v>51</v>
      </c>
      <c r="Y52">
        <f t="shared" si="9"/>
        <v>50</v>
      </c>
      <c r="Z52">
        <f t="shared" si="4"/>
        <v>5</v>
      </c>
    </row>
    <row r="53" spans="1:26" ht="28.8" x14ac:dyDescent="0.3">
      <c r="A53" s="3">
        <v>38</v>
      </c>
      <c r="B53" s="4"/>
      <c r="C53" s="6" t="s">
        <v>133</v>
      </c>
      <c r="D53" s="5"/>
      <c r="E53" s="5" t="s">
        <v>207</v>
      </c>
      <c r="F53" s="5" t="s">
        <v>50</v>
      </c>
      <c r="G53" s="5" t="s">
        <v>73</v>
      </c>
      <c r="H53" s="5" t="s">
        <v>75</v>
      </c>
      <c r="I53" s="5" t="s">
        <v>51</v>
      </c>
      <c r="J53" s="5" t="s">
        <v>56</v>
      </c>
      <c r="K53" s="5" t="s">
        <v>53</v>
      </c>
      <c r="L53" s="5" t="s">
        <v>64</v>
      </c>
      <c r="M53" s="5" t="s">
        <v>48</v>
      </c>
      <c r="N53" s="5" t="s">
        <v>54</v>
      </c>
      <c r="O53" s="5" t="s">
        <v>72</v>
      </c>
      <c r="P53" s="5" t="s">
        <v>67</v>
      </c>
      <c r="Q53" s="5" t="s">
        <v>210</v>
      </c>
      <c r="R53" s="1">
        <v>8</v>
      </c>
      <c r="S53" s="1">
        <v>27</v>
      </c>
      <c r="T53" s="1">
        <v>36</v>
      </c>
      <c r="Y53">
        <f t="shared" si="9"/>
        <v>51</v>
      </c>
      <c r="Z53">
        <f t="shared" si="4"/>
        <v>8</v>
      </c>
    </row>
    <row r="54" spans="1:26" ht="28.8" x14ac:dyDescent="0.3">
      <c r="A54" s="3">
        <v>39</v>
      </c>
      <c r="B54" s="4"/>
      <c r="C54" s="6" t="s">
        <v>20</v>
      </c>
      <c r="D54" s="5"/>
      <c r="E54" s="5" t="s">
        <v>74</v>
      </c>
      <c r="F54" s="5" t="s">
        <v>50</v>
      </c>
      <c r="G54" s="5" t="s">
        <v>52</v>
      </c>
      <c r="H54" s="5" t="s">
        <v>75</v>
      </c>
      <c r="I54" s="5" t="s">
        <v>51</v>
      </c>
      <c r="J54" s="5" t="s">
        <v>56</v>
      </c>
      <c r="K54" s="5" t="s">
        <v>53</v>
      </c>
      <c r="L54" s="5" t="s">
        <v>64</v>
      </c>
      <c r="M54" s="5" t="s">
        <v>48</v>
      </c>
      <c r="N54" s="5" t="s">
        <v>54</v>
      </c>
      <c r="O54" s="5" t="s">
        <v>72</v>
      </c>
      <c r="P54" s="5" t="s">
        <v>70</v>
      </c>
      <c r="Q54" s="5" t="s">
        <v>58</v>
      </c>
      <c r="R54" s="1">
        <v>8</v>
      </c>
      <c r="S54" s="1">
        <v>34</v>
      </c>
      <c r="T54" s="1">
        <v>43</v>
      </c>
      <c r="Y54">
        <f t="shared" si="9"/>
        <v>52</v>
      </c>
      <c r="Z54">
        <f t="shared" si="4"/>
        <v>11</v>
      </c>
    </row>
    <row r="55" spans="1:26" x14ac:dyDescent="0.3">
      <c r="A55" s="3">
        <v>40</v>
      </c>
      <c r="B55" s="4"/>
      <c r="C55" s="6" t="s">
        <v>151</v>
      </c>
      <c r="D55" s="5"/>
      <c r="E55" s="5" t="s">
        <v>74</v>
      </c>
      <c r="F55" s="5" t="s">
        <v>50</v>
      </c>
      <c r="G55" s="5" t="s">
        <v>52</v>
      </c>
      <c r="H55" s="5" t="s">
        <v>57</v>
      </c>
      <c r="I55" s="5" t="s">
        <v>51</v>
      </c>
      <c r="J55" s="5" t="s">
        <v>208</v>
      </c>
      <c r="K55" s="5" t="s">
        <v>61</v>
      </c>
      <c r="L55" s="5" t="s">
        <v>64</v>
      </c>
      <c r="M55" s="5" t="s">
        <v>55</v>
      </c>
      <c r="N55" s="5" t="s">
        <v>209</v>
      </c>
      <c r="O55" s="5" t="s">
        <v>47</v>
      </c>
      <c r="P55" s="5" t="s">
        <v>67</v>
      </c>
      <c r="Q55" s="5" t="s">
        <v>210</v>
      </c>
      <c r="R55" s="1">
        <v>8</v>
      </c>
      <c r="S55" s="1">
        <v>35</v>
      </c>
      <c r="T55" s="1">
        <v>43</v>
      </c>
      <c r="Y55">
        <f t="shared" si="9"/>
        <v>53</v>
      </c>
      <c r="Z55">
        <f t="shared" si="4"/>
        <v>2</v>
      </c>
    </row>
    <row r="56" spans="1:26" ht="28.8" x14ac:dyDescent="0.3">
      <c r="A56" s="3">
        <v>41</v>
      </c>
      <c r="B56" s="4"/>
      <c r="C56" s="6" t="s">
        <v>196</v>
      </c>
      <c r="D56" s="5"/>
      <c r="E56" s="5" t="s">
        <v>207</v>
      </c>
      <c r="F56" s="5" t="s">
        <v>68</v>
      </c>
      <c r="G56" s="5" t="s">
        <v>52</v>
      </c>
      <c r="H56" s="5" t="s">
        <v>75</v>
      </c>
      <c r="I56" s="5" t="s">
        <v>51</v>
      </c>
      <c r="J56" s="5" t="s">
        <v>208</v>
      </c>
      <c r="K56" s="5" t="s">
        <v>53</v>
      </c>
      <c r="L56" s="5" t="s">
        <v>66</v>
      </c>
      <c r="M56" s="5" t="s">
        <v>55</v>
      </c>
      <c r="N56" s="5" t="s">
        <v>209</v>
      </c>
      <c r="O56" s="5" t="s">
        <v>72</v>
      </c>
      <c r="P56" s="5" t="s">
        <v>70</v>
      </c>
      <c r="Q56" s="5" t="s">
        <v>58</v>
      </c>
      <c r="R56" s="1">
        <v>8</v>
      </c>
      <c r="S56" s="1">
        <v>36</v>
      </c>
      <c r="T56" s="1">
        <v>35</v>
      </c>
      <c r="Y56">
        <f t="shared" si="9"/>
        <v>54</v>
      </c>
      <c r="Z56">
        <f t="shared" si="4"/>
        <v>6</v>
      </c>
    </row>
    <row r="57" spans="1:26" x14ac:dyDescent="0.3">
      <c r="A57" s="3">
        <v>42</v>
      </c>
      <c r="B57" s="4"/>
      <c r="C57" s="6" t="s">
        <v>166</v>
      </c>
      <c r="D57" s="5"/>
      <c r="E57" s="5" t="s">
        <v>74</v>
      </c>
      <c r="F57" s="5" t="s">
        <v>50</v>
      </c>
      <c r="G57" s="5" t="s">
        <v>73</v>
      </c>
      <c r="H57" s="5" t="s">
        <v>57</v>
      </c>
      <c r="I57" s="5" t="s">
        <v>51</v>
      </c>
      <c r="J57" s="5" t="s">
        <v>56</v>
      </c>
      <c r="K57" s="5" t="s">
        <v>61</v>
      </c>
      <c r="L57" s="5" t="s">
        <v>64</v>
      </c>
      <c r="M57" s="5" t="s">
        <v>55</v>
      </c>
      <c r="N57" s="5" t="s">
        <v>54</v>
      </c>
      <c r="O57" s="5" t="s">
        <v>72</v>
      </c>
      <c r="P57" s="5" t="s">
        <v>67</v>
      </c>
      <c r="Q57" s="5" t="s">
        <v>210</v>
      </c>
      <c r="R57" s="1">
        <v>8</v>
      </c>
      <c r="S57" s="1">
        <v>33</v>
      </c>
      <c r="T57" s="1">
        <v>44</v>
      </c>
      <c r="Y57">
        <f t="shared" si="9"/>
        <v>55</v>
      </c>
      <c r="Z57">
        <f t="shared" si="4"/>
        <v>1</v>
      </c>
    </row>
    <row r="58" spans="1:26" x14ac:dyDescent="0.3">
      <c r="A58" s="3">
        <v>43</v>
      </c>
      <c r="B58" s="4"/>
      <c r="C58" s="6" t="s">
        <v>199</v>
      </c>
      <c r="D58" s="5"/>
      <c r="E58" s="5" t="s">
        <v>207</v>
      </c>
      <c r="F58" s="5" t="s">
        <v>68</v>
      </c>
      <c r="G58" s="5" t="s">
        <v>52</v>
      </c>
      <c r="H58" s="5" t="s">
        <v>75</v>
      </c>
      <c r="I58" s="5" t="s">
        <v>51</v>
      </c>
      <c r="J58" s="5" t="s">
        <v>56</v>
      </c>
      <c r="K58" s="5" t="s">
        <v>53</v>
      </c>
      <c r="L58" s="5" t="s">
        <v>64</v>
      </c>
      <c r="M58" s="5" t="s">
        <v>55</v>
      </c>
      <c r="N58" s="5" t="s">
        <v>209</v>
      </c>
      <c r="O58" s="5" t="s">
        <v>72</v>
      </c>
      <c r="P58" s="5" t="s">
        <v>70</v>
      </c>
      <c r="Q58" s="5" t="s">
        <v>58</v>
      </c>
      <c r="R58" s="1">
        <v>8</v>
      </c>
      <c r="S58" s="1">
        <v>34</v>
      </c>
      <c r="T58" s="1">
        <v>44</v>
      </c>
      <c r="Y58">
        <f t="shared" si="9"/>
        <v>56</v>
      </c>
      <c r="Z58">
        <f t="shared" si="4"/>
        <v>3</v>
      </c>
    </row>
    <row r="59" spans="1:26" ht="28.8" x14ac:dyDescent="0.3">
      <c r="A59" s="3">
        <v>44</v>
      </c>
      <c r="B59" s="4"/>
      <c r="C59" s="6" t="s">
        <v>193</v>
      </c>
      <c r="D59" s="5"/>
      <c r="E59" s="5" t="s">
        <v>207</v>
      </c>
      <c r="F59" s="5" t="s">
        <v>68</v>
      </c>
      <c r="G59" s="5" t="s">
        <v>52</v>
      </c>
      <c r="H59" s="5" t="s">
        <v>75</v>
      </c>
      <c r="I59" s="5" t="s">
        <v>51</v>
      </c>
      <c r="J59" s="5" t="s">
        <v>56</v>
      </c>
      <c r="K59" s="5" t="s">
        <v>53</v>
      </c>
      <c r="L59" s="5" t="s">
        <v>64</v>
      </c>
      <c r="M59" s="5" t="s">
        <v>55</v>
      </c>
      <c r="N59" s="5" t="s">
        <v>54</v>
      </c>
      <c r="O59" s="5" t="s">
        <v>47</v>
      </c>
      <c r="P59" s="5" t="s">
        <v>70</v>
      </c>
      <c r="Q59" s="5" t="s">
        <v>58</v>
      </c>
      <c r="R59" s="1">
        <v>8</v>
      </c>
      <c r="S59" s="1">
        <v>32</v>
      </c>
      <c r="T59" s="1">
        <v>45</v>
      </c>
      <c r="Y59">
        <f t="shared" si="9"/>
        <v>57</v>
      </c>
      <c r="Z59">
        <f t="shared" si="4"/>
        <v>0</v>
      </c>
    </row>
    <row r="60" spans="1:26" ht="28.8" x14ac:dyDescent="0.3">
      <c r="A60" s="3">
        <v>45</v>
      </c>
      <c r="B60" s="4"/>
      <c r="C60" s="6" t="s">
        <v>30</v>
      </c>
      <c r="D60" s="5"/>
      <c r="E60" s="5" t="s">
        <v>207</v>
      </c>
      <c r="F60" s="5" t="s">
        <v>50</v>
      </c>
      <c r="G60" s="5" t="s">
        <v>52</v>
      </c>
      <c r="H60" s="5" t="s">
        <v>57</v>
      </c>
      <c r="I60" s="5" t="s">
        <v>63</v>
      </c>
      <c r="J60" s="5" t="s">
        <v>208</v>
      </c>
      <c r="K60" s="5" t="s">
        <v>53</v>
      </c>
      <c r="L60" s="5" t="s">
        <v>64</v>
      </c>
      <c r="M60" s="5" t="s">
        <v>48</v>
      </c>
      <c r="N60" s="5" t="s">
        <v>209</v>
      </c>
      <c r="O60" s="5" t="s">
        <v>47</v>
      </c>
      <c r="P60" s="5" t="s">
        <v>70</v>
      </c>
      <c r="Q60" s="5" t="s">
        <v>58</v>
      </c>
      <c r="R60" s="1">
        <v>8</v>
      </c>
      <c r="S60" s="1">
        <v>36</v>
      </c>
      <c r="T60" s="1">
        <v>45</v>
      </c>
      <c r="Y60">
        <f t="shared" si="9"/>
        <v>58</v>
      </c>
      <c r="Z60">
        <f t="shared" si="4"/>
        <v>0</v>
      </c>
    </row>
    <row r="61" spans="1:26" x14ac:dyDescent="0.3">
      <c r="A61" s="3">
        <v>46</v>
      </c>
      <c r="B61" s="4"/>
      <c r="C61" s="6" t="s">
        <v>40</v>
      </c>
      <c r="D61" s="5"/>
      <c r="E61" s="5" t="s">
        <v>207</v>
      </c>
      <c r="F61" s="5" t="s">
        <v>68</v>
      </c>
      <c r="G61" s="5" t="s">
        <v>52</v>
      </c>
      <c r="H61" s="5" t="s">
        <v>75</v>
      </c>
      <c r="I61" s="5" t="s">
        <v>63</v>
      </c>
      <c r="J61" s="5" t="s">
        <v>208</v>
      </c>
      <c r="K61" s="5" t="s">
        <v>53</v>
      </c>
      <c r="L61" s="5" t="s">
        <v>64</v>
      </c>
      <c r="M61" s="5" t="s">
        <v>55</v>
      </c>
      <c r="N61" s="5" t="s">
        <v>54</v>
      </c>
      <c r="O61" s="5" t="s">
        <v>47</v>
      </c>
      <c r="P61" s="5" t="s">
        <v>70</v>
      </c>
      <c r="Q61" s="5" t="s">
        <v>58</v>
      </c>
      <c r="R61" s="1">
        <v>8</v>
      </c>
      <c r="S61" s="1">
        <v>38</v>
      </c>
      <c r="T61" s="1">
        <v>47</v>
      </c>
      <c r="Y61">
        <f t="shared" si="9"/>
        <v>59</v>
      </c>
      <c r="Z61">
        <f t="shared" si="4"/>
        <v>2</v>
      </c>
    </row>
    <row r="62" spans="1:26" x14ac:dyDescent="0.3">
      <c r="A62" s="3">
        <v>47</v>
      </c>
      <c r="B62" s="4"/>
      <c r="C62" s="6" t="s">
        <v>131</v>
      </c>
      <c r="D62" s="5"/>
      <c r="E62" s="5" t="s">
        <v>207</v>
      </c>
      <c r="F62" s="5" t="s">
        <v>68</v>
      </c>
      <c r="G62" s="5" t="s">
        <v>52</v>
      </c>
      <c r="H62" s="5" t="s">
        <v>57</v>
      </c>
      <c r="I62" s="5" t="s">
        <v>51</v>
      </c>
      <c r="J62" s="5" t="s">
        <v>56</v>
      </c>
      <c r="K62" s="5" t="s">
        <v>53</v>
      </c>
      <c r="L62" s="5" t="s">
        <v>66</v>
      </c>
      <c r="M62" s="5" t="s">
        <v>55</v>
      </c>
      <c r="N62" s="5" t="s">
        <v>54</v>
      </c>
      <c r="O62" s="5" t="s">
        <v>47</v>
      </c>
      <c r="P62" s="5" t="s">
        <v>67</v>
      </c>
      <c r="Q62" s="5" t="s">
        <v>210</v>
      </c>
      <c r="R62" s="1">
        <v>8</v>
      </c>
      <c r="S62" s="1">
        <v>24</v>
      </c>
      <c r="T62" s="1">
        <v>47</v>
      </c>
      <c r="Y62">
        <f t="shared" si="9"/>
        <v>60</v>
      </c>
      <c r="Z62">
        <f t="shared" si="4"/>
        <v>0</v>
      </c>
    </row>
    <row r="63" spans="1:26" ht="28.8" x14ac:dyDescent="0.3">
      <c r="A63" s="3">
        <v>48</v>
      </c>
      <c r="B63" s="4"/>
      <c r="C63" s="6" t="s">
        <v>10</v>
      </c>
      <c r="D63" s="5"/>
      <c r="E63" s="5" t="s">
        <v>207</v>
      </c>
      <c r="F63" s="5" t="s">
        <v>68</v>
      </c>
      <c r="G63" s="5" t="s">
        <v>52</v>
      </c>
      <c r="H63" s="5" t="s">
        <v>75</v>
      </c>
      <c r="I63" s="5" t="s">
        <v>63</v>
      </c>
      <c r="J63" s="5" t="s">
        <v>208</v>
      </c>
      <c r="K63" s="5" t="s">
        <v>53</v>
      </c>
      <c r="L63" s="5" t="s">
        <v>66</v>
      </c>
      <c r="M63" s="5" t="s">
        <v>55</v>
      </c>
      <c r="N63" s="5" t="s">
        <v>209</v>
      </c>
      <c r="O63" s="5" t="s">
        <v>72</v>
      </c>
      <c r="P63" s="5" t="s">
        <v>70</v>
      </c>
      <c r="Q63" s="5" t="s">
        <v>210</v>
      </c>
      <c r="R63" s="1">
        <v>8</v>
      </c>
      <c r="S63" s="1">
        <v>34</v>
      </c>
      <c r="T63" s="1">
        <v>48</v>
      </c>
      <c r="Y63">
        <f t="shared" si="9"/>
        <v>61</v>
      </c>
      <c r="Z63">
        <f t="shared" si="4"/>
        <v>0</v>
      </c>
    </row>
    <row r="64" spans="1:26" ht="28.8" x14ac:dyDescent="0.3">
      <c r="A64" s="3">
        <v>49</v>
      </c>
      <c r="B64" s="4"/>
      <c r="C64" s="6" t="s">
        <v>107</v>
      </c>
      <c r="D64" s="5"/>
      <c r="E64" s="5" t="s">
        <v>207</v>
      </c>
      <c r="F64" s="5" t="s">
        <v>50</v>
      </c>
      <c r="G64" s="5" t="s">
        <v>52</v>
      </c>
      <c r="H64" s="5" t="s">
        <v>75</v>
      </c>
      <c r="I64" s="5" t="s">
        <v>51</v>
      </c>
      <c r="J64" s="5" t="s">
        <v>56</v>
      </c>
      <c r="K64" s="5" t="s">
        <v>53</v>
      </c>
      <c r="L64" s="5" t="s">
        <v>64</v>
      </c>
      <c r="M64" s="5" t="s">
        <v>48</v>
      </c>
      <c r="N64" s="5" t="s">
        <v>54</v>
      </c>
      <c r="O64" s="5" t="s">
        <v>47</v>
      </c>
      <c r="P64" s="5" t="s">
        <v>70</v>
      </c>
      <c r="Q64" s="5" t="s">
        <v>58</v>
      </c>
      <c r="R64" s="1">
        <v>8</v>
      </c>
      <c r="S64" s="1">
        <v>35</v>
      </c>
      <c r="T64" s="1">
        <v>48</v>
      </c>
      <c r="Y64">
        <f t="shared" si="9"/>
        <v>62</v>
      </c>
      <c r="Z64">
        <f t="shared" si="4"/>
        <v>0</v>
      </c>
    </row>
    <row r="65" spans="1:26" x14ac:dyDescent="0.3">
      <c r="A65" s="3">
        <v>50</v>
      </c>
      <c r="B65" s="4"/>
      <c r="C65" s="6" t="s">
        <v>183</v>
      </c>
      <c r="D65" s="5"/>
      <c r="E65" s="5" t="s">
        <v>74</v>
      </c>
      <c r="F65" s="5" t="s">
        <v>50</v>
      </c>
      <c r="G65" s="5" t="s">
        <v>73</v>
      </c>
      <c r="H65" s="5" t="s">
        <v>75</v>
      </c>
      <c r="I65" s="5" t="s">
        <v>51</v>
      </c>
      <c r="J65" s="5" t="s">
        <v>56</v>
      </c>
      <c r="K65" s="5" t="s">
        <v>53</v>
      </c>
      <c r="L65" s="5" t="s">
        <v>64</v>
      </c>
      <c r="M65" s="5" t="s">
        <v>55</v>
      </c>
      <c r="N65" s="5" t="s">
        <v>209</v>
      </c>
      <c r="O65" s="5" t="s">
        <v>72</v>
      </c>
      <c r="P65" s="5" t="s">
        <v>70</v>
      </c>
      <c r="Q65" s="5" t="s">
        <v>210</v>
      </c>
      <c r="R65" s="1">
        <v>8</v>
      </c>
      <c r="S65" s="1">
        <v>43</v>
      </c>
      <c r="T65" s="1">
        <v>48</v>
      </c>
      <c r="Y65">
        <f t="shared" si="9"/>
        <v>63</v>
      </c>
      <c r="Z65">
        <f t="shared" si="4"/>
        <v>0</v>
      </c>
    </row>
    <row r="66" spans="1:26" ht="28.8" x14ac:dyDescent="0.3">
      <c r="A66" s="3">
        <v>51</v>
      </c>
      <c r="B66" s="4"/>
      <c r="C66" s="6" t="s">
        <v>140</v>
      </c>
      <c r="D66" s="5"/>
      <c r="E66" s="5" t="s">
        <v>207</v>
      </c>
      <c r="F66" s="5" t="s">
        <v>50</v>
      </c>
      <c r="G66" s="5" t="s">
        <v>52</v>
      </c>
      <c r="H66" s="5" t="s">
        <v>75</v>
      </c>
      <c r="I66" s="5" t="s">
        <v>51</v>
      </c>
      <c r="J66" s="5" t="s">
        <v>56</v>
      </c>
      <c r="K66" s="5" t="s">
        <v>61</v>
      </c>
      <c r="L66" s="5" t="s">
        <v>64</v>
      </c>
      <c r="M66" s="5" t="s">
        <v>55</v>
      </c>
      <c r="N66" s="5" t="s">
        <v>54</v>
      </c>
      <c r="O66" s="5" t="s">
        <v>47</v>
      </c>
      <c r="P66" s="5" t="s">
        <v>70</v>
      </c>
      <c r="Q66" s="5" t="s">
        <v>58</v>
      </c>
      <c r="R66" s="1">
        <v>8</v>
      </c>
      <c r="S66" s="1">
        <v>39</v>
      </c>
      <c r="T66" s="1">
        <v>48</v>
      </c>
      <c r="Y66">
        <f t="shared" si="9"/>
        <v>64</v>
      </c>
      <c r="Z66">
        <f t="shared" si="4"/>
        <v>0</v>
      </c>
    </row>
    <row r="67" spans="1:26" ht="28.8" x14ac:dyDescent="0.3">
      <c r="A67" s="3">
        <v>52</v>
      </c>
      <c r="B67" s="4"/>
      <c r="C67" s="6" t="s">
        <v>29</v>
      </c>
      <c r="D67" s="5"/>
      <c r="E67" s="5" t="s">
        <v>207</v>
      </c>
      <c r="F67" s="5" t="s">
        <v>50</v>
      </c>
      <c r="G67" s="5" t="s">
        <v>52</v>
      </c>
      <c r="H67" s="5" t="s">
        <v>75</v>
      </c>
      <c r="I67" s="5" t="s">
        <v>51</v>
      </c>
      <c r="J67" s="5" t="s">
        <v>56</v>
      </c>
      <c r="K67" s="5" t="s">
        <v>53</v>
      </c>
      <c r="L67" s="5" t="s">
        <v>64</v>
      </c>
      <c r="M67" s="5" t="s">
        <v>55</v>
      </c>
      <c r="N67" s="5" t="s">
        <v>54</v>
      </c>
      <c r="O67" s="5" t="s">
        <v>47</v>
      </c>
      <c r="P67" s="5" t="s">
        <v>67</v>
      </c>
      <c r="Q67" s="5" t="s">
        <v>58</v>
      </c>
      <c r="R67" s="1">
        <v>8</v>
      </c>
      <c r="S67" s="1">
        <v>31</v>
      </c>
      <c r="T67" s="1">
        <v>48</v>
      </c>
      <c r="Y67">
        <f t="shared" si="9"/>
        <v>65</v>
      </c>
      <c r="Z67">
        <f t="shared" ref="Z67:Z120" si="10">COUNTIF(T$16:T$179,Y67)</f>
        <v>0</v>
      </c>
    </row>
    <row r="68" spans="1:26" ht="28.8" x14ac:dyDescent="0.3">
      <c r="A68" s="3">
        <v>53</v>
      </c>
      <c r="B68" s="4"/>
      <c r="C68" s="6" t="s">
        <v>158</v>
      </c>
      <c r="D68" s="5"/>
      <c r="E68" s="5" t="s">
        <v>207</v>
      </c>
      <c r="F68" s="5" t="s">
        <v>50</v>
      </c>
      <c r="G68" s="5" t="s">
        <v>73</v>
      </c>
      <c r="H68" s="5" t="s">
        <v>75</v>
      </c>
      <c r="I68" s="5" t="s">
        <v>51</v>
      </c>
      <c r="J68" s="5" t="s">
        <v>208</v>
      </c>
      <c r="K68" s="5" t="s">
        <v>61</v>
      </c>
      <c r="L68" s="5" t="s">
        <v>66</v>
      </c>
      <c r="M68" s="5" t="s">
        <v>55</v>
      </c>
      <c r="N68" s="5" t="s">
        <v>54</v>
      </c>
      <c r="O68" s="5" t="s">
        <v>47</v>
      </c>
      <c r="P68" s="5" t="s">
        <v>70</v>
      </c>
      <c r="Q68" s="5" t="s">
        <v>210</v>
      </c>
      <c r="R68" s="1">
        <v>8</v>
      </c>
      <c r="S68" s="1">
        <v>35</v>
      </c>
      <c r="T68" s="1">
        <v>48</v>
      </c>
      <c r="Y68">
        <f t="shared" si="9"/>
        <v>66</v>
      </c>
      <c r="Z68">
        <f t="shared" si="10"/>
        <v>0</v>
      </c>
    </row>
    <row r="69" spans="1:26" ht="28.8" x14ac:dyDescent="0.3">
      <c r="A69" s="3">
        <v>54</v>
      </c>
      <c r="B69" s="4"/>
      <c r="C69" s="6" t="s">
        <v>143</v>
      </c>
      <c r="D69" s="5"/>
      <c r="E69" s="5" t="s">
        <v>207</v>
      </c>
      <c r="F69" s="5" t="s">
        <v>68</v>
      </c>
      <c r="G69" s="5" t="s">
        <v>52</v>
      </c>
      <c r="H69" s="5" t="s">
        <v>57</v>
      </c>
      <c r="I69" s="5" t="s">
        <v>63</v>
      </c>
      <c r="J69" s="5" t="s">
        <v>208</v>
      </c>
      <c r="K69" s="5" t="s">
        <v>53</v>
      </c>
      <c r="L69" s="5" t="s">
        <v>66</v>
      </c>
      <c r="M69" s="5" t="s">
        <v>55</v>
      </c>
      <c r="N69" s="5" t="s">
        <v>54</v>
      </c>
      <c r="O69" s="5" t="s">
        <v>47</v>
      </c>
      <c r="P69" s="5" t="s">
        <v>70</v>
      </c>
      <c r="Q69" s="5" t="s">
        <v>58</v>
      </c>
      <c r="R69" s="1">
        <v>8</v>
      </c>
      <c r="S69" s="1">
        <v>35</v>
      </c>
      <c r="T69" s="1">
        <v>50</v>
      </c>
      <c r="Y69">
        <f t="shared" si="9"/>
        <v>67</v>
      </c>
      <c r="Z69">
        <f t="shared" si="10"/>
        <v>0</v>
      </c>
    </row>
    <row r="70" spans="1:26" ht="28.8" x14ac:dyDescent="0.3">
      <c r="A70" s="3">
        <v>55</v>
      </c>
      <c r="B70" s="4"/>
      <c r="C70" s="6" t="s">
        <v>32</v>
      </c>
      <c r="D70" s="5"/>
      <c r="E70" s="5" t="s">
        <v>207</v>
      </c>
      <c r="F70" s="5" t="s">
        <v>50</v>
      </c>
      <c r="G70" s="5" t="s">
        <v>52</v>
      </c>
      <c r="H70" s="5" t="s">
        <v>57</v>
      </c>
      <c r="I70" s="5" t="s">
        <v>63</v>
      </c>
      <c r="J70" s="5" t="s">
        <v>56</v>
      </c>
      <c r="K70" s="5" t="s">
        <v>53</v>
      </c>
      <c r="L70" s="5" t="s">
        <v>64</v>
      </c>
      <c r="M70" s="5" t="s">
        <v>48</v>
      </c>
      <c r="N70" s="5" t="s">
        <v>209</v>
      </c>
      <c r="O70" s="5" t="s">
        <v>47</v>
      </c>
      <c r="P70" s="5" t="s">
        <v>70</v>
      </c>
      <c r="Q70" s="5" t="s">
        <v>210</v>
      </c>
      <c r="R70" s="1">
        <v>8</v>
      </c>
      <c r="S70" s="1">
        <v>32</v>
      </c>
      <c r="T70" s="1">
        <v>51</v>
      </c>
      <c r="Y70">
        <f t="shared" si="9"/>
        <v>68</v>
      </c>
      <c r="Z70">
        <f t="shared" si="10"/>
        <v>0</v>
      </c>
    </row>
    <row r="71" spans="1:26" x14ac:dyDescent="0.3">
      <c r="A71" s="3">
        <v>56</v>
      </c>
      <c r="B71" s="4"/>
      <c r="C71" s="6" t="s">
        <v>45</v>
      </c>
      <c r="D71" s="5"/>
      <c r="E71" s="5" t="s">
        <v>207</v>
      </c>
      <c r="F71" s="5" t="s">
        <v>68</v>
      </c>
      <c r="G71" s="5" t="s">
        <v>52</v>
      </c>
      <c r="H71" s="5" t="s">
        <v>57</v>
      </c>
      <c r="I71" s="5" t="s">
        <v>51</v>
      </c>
      <c r="J71" s="5" t="s">
        <v>208</v>
      </c>
      <c r="K71" s="5" t="s">
        <v>53</v>
      </c>
      <c r="L71" s="5" t="s">
        <v>64</v>
      </c>
      <c r="M71" s="5" t="s">
        <v>48</v>
      </c>
      <c r="N71" s="5" t="s">
        <v>209</v>
      </c>
      <c r="O71" s="5" t="s">
        <v>47</v>
      </c>
      <c r="P71" s="5" t="s">
        <v>67</v>
      </c>
      <c r="Q71" s="5" t="s">
        <v>210</v>
      </c>
      <c r="R71" s="1">
        <v>8</v>
      </c>
      <c r="S71" s="1">
        <v>31</v>
      </c>
      <c r="T71" s="1">
        <v>52</v>
      </c>
      <c r="Y71">
        <f t="shared" ref="Y71:Y120" si="11">Y70+1</f>
        <v>69</v>
      </c>
      <c r="Z71">
        <f t="shared" si="10"/>
        <v>0</v>
      </c>
    </row>
    <row r="72" spans="1:26" x14ac:dyDescent="0.3">
      <c r="A72" s="3">
        <v>57</v>
      </c>
      <c r="B72" s="4"/>
      <c r="C72" s="6" t="s">
        <v>161</v>
      </c>
      <c r="D72" s="5"/>
      <c r="E72" s="5" t="s">
        <v>207</v>
      </c>
      <c r="F72" s="5" t="s">
        <v>50</v>
      </c>
      <c r="G72" s="5" t="s">
        <v>52</v>
      </c>
      <c r="H72" s="5" t="s">
        <v>75</v>
      </c>
      <c r="I72" s="5" t="s">
        <v>63</v>
      </c>
      <c r="J72" s="5" t="s">
        <v>208</v>
      </c>
      <c r="K72" s="5" t="s">
        <v>53</v>
      </c>
      <c r="L72" s="5" t="s">
        <v>66</v>
      </c>
      <c r="M72" s="5" t="s">
        <v>55</v>
      </c>
      <c r="N72" s="5" t="s">
        <v>54</v>
      </c>
      <c r="O72" s="5" t="s">
        <v>47</v>
      </c>
      <c r="P72" s="5" t="s">
        <v>70</v>
      </c>
      <c r="Q72" s="5" t="s">
        <v>58</v>
      </c>
      <c r="R72" s="1">
        <v>8</v>
      </c>
      <c r="S72" s="1">
        <v>35</v>
      </c>
      <c r="T72" s="1">
        <v>52</v>
      </c>
      <c r="Y72">
        <f t="shared" si="11"/>
        <v>70</v>
      </c>
      <c r="Z72">
        <f t="shared" si="10"/>
        <v>0</v>
      </c>
    </row>
    <row r="73" spans="1:26" x14ac:dyDescent="0.3">
      <c r="A73" s="3">
        <v>58</v>
      </c>
      <c r="B73" s="4"/>
      <c r="C73" s="6" t="s">
        <v>190</v>
      </c>
      <c r="D73" s="5"/>
      <c r="E73" s="5" t="s">
        <v>207</v>
      </c>
      <c r="F73" s="5" t="s">
        <v>68</v>
      </c>
      <c r="G73" s="5" t="s">
        <v>52</v>
      </c>
      <c r="H73" s="5" t="s">
        <v>75</v>
      </c>
      <c r="I73" s="5" t="s">
        <v>51</v>
      </c>
      <c r="J73" s="5" t="s">
        <v>56</v>
      </c>
      <c r="K73" s="5" t="s">
        <v>53</v>
      </c>
      <c r="L73" s="5" t="s">
        <v>64</v>
      </c>
      <c r="M73" s="5" t="s">
        <v>55</v>
      </c>
      <c r="N73" s="5" t="s">
        <v>54</v>
      </c>
      <c r="O73" s="5" t="s">
        <v>47</v>
      </c>
      <c r="P73" s="5" t="s">
        <v>67</v>
      </c>
      <c r="Q73" s="5" t="s">
        <v>210</v>
      </c>
      <c r="R73" s="1">
        <v>8</v>
      </c>
      <c r="S73" s="1">
        <v>32</v>
      </c>
      <c r="T73" s="1">
        <v>52</v>
      </c>
      <c r="Y73">
        <f t="shared" si="11"/>
        <v>71</v>
      </c>
      <c r="Z73">
        <f t="shared" si="10"/>
        <v>0</v>
      </c>
    </row>
    <row r="74" spans="1:26" ht="28.8" x14ac:dyDescent="0.3">
      <c r="A74" s="3">
        <v>59</v>
      </c>
      <c r="B74" s="4"/>
      <c r="C74" s="6" t="s">
        <v>200</v>
      </c>
      <c r="D74" s="5"/>
      <c r="E74" s="5" t="s">
        <v>207</v>
      </c>
      <c r="F74" s="5" t="s">
        <v>50</v>
      </c>
      <c r="G74" s="5" t="s">
        <v>52</v>
      </c>
      <c r="H74" s="5" t="s">
        <v>75</v>
      </c>
      <c r="I74" s="5" t="s">
        <v>63</v>
      </c>
      <c r="J74" s="5" t="s">
        <v>56</v>
      </c>
      <c r="K74" s="5" t="s">
        <v>53</v>
      </c>
      <c r="L74" s="5" t="s">
        <v>64</v>
      </c>
      <c r="M74" s="5" t="s">
        <v>48</v>
      </c>
      <c r="N74" s="5" t="s">
        <v>54</v>
      </c>
      <c r="O74" s="5" t="s">
        <v>47</v>
      </c>
      <c r="P74" s="5" t="s">
        <v>70</v>
      </c>
      <c r="Q74" s="5" t="s">
        <v>210</v>
      </c>
      <c r="R74" s="1">
        <v>8</v>
      </c>
      <c r="S74" s="1">
        <v>31</v>
      </c>
      <c r="T74" s="1">
        <v>52</v>
      </c>
      <c r="Y74">
        <f t="shared" si="11"/>
        <v>72</v>
      </c>
      <c r="Z74">
        <f t="shared" si="10"/>
        <v>0</v>
      </c>
    </row>
    <row r="75" spans="1:26" x14ac:dyDescent="0.3">
      <c r="A75" s="3">
        <v>60</v>
      </c>
      <c r="B75" s="4"/>
      <c r="C75" s="6" t="s">
        <v>144</v>
      </c>
      <c r="D75" s="5"/>
      <c r="E75" s="5" t="s">
        <v>207</v>
      </c>
      <c r="F75" s="5" t="s">
        <v>50</v>
      </c>
      <c r="G75" s="5" t="s">
        <v>73</v>
      </c>
      <c r="H75" s="5" t="s">
        <v>75</v>
      </c>
      <c r="I75" s="5" t="s">
        <v>51</v>
      </c>
      <c r="J75" s="5" t="s">
        <v>56</v>
      </c>
      <c r="K75" s="5" t="s">
        <v>53</v>
      </c>
      <c r="L75" s="5" t="s">
        <v>64</v>
      </c>
      <c r="M75" s="5" t="s">
        <v>55</v>
      </c>
      <c r="N75" s="5" t="s">
        <v>209</v>
      </c>
      <c r="O75" s="5" t="s">
        <v>47</v>
      </c>
      <c r="P75" s="5" t="s">
        <v>70</v>
      </c>
      <c r="Q75" s="5" t="s">
        <v>210</v>
      </c>
      <c r="R75" s="1">
        <v>8</v>
      </c>
      <c r="S75" s="1">
        <v>39</v>
      </c>
      <c r="T75" s="1">
        <v>54</v>
      </c>
      <c r="Y75">
        <f t="shared" si="11"/>
        <v>73</v>
      </c>
      <c r="Z75">
        <f t="shared" si="10"/>
        <v>0</v>
      </c>
    </row>
    <row r="76" spans="1:26" ht="28.8" x14ac:dyDescent="0.3">
      <c r="A76" s="3">
        <v>61</v>
      </c>
      <c r="B76" s="4"/>
      <c r="C76" s="6" t="s">
        <v>179</v>
      </c>
      <c r="D76" s="5"/>
      <c r="E76" s="5" t="s">
        <v>74</v>
      </c>
      <c r="F76" s="5" t="s">
        <v>50</v>
      </c>
      <c r="G76" s="5" t="s">
        <v>52</v>
      </c>
      <c r="H76" s="5" t="s">
        <v>57</v>
      </c>
      <c r="I76" s="5" t="s">
        <v>51</v>
      </c>
      <c r="J76" s="5" t="s">
        <v>56</v>
      </c>
      <c r="K76" s="5" t="s">
        <v>53</v>
      </c>
      <c r="L76" s="5" t="s">
        <v>66</v>
      </c>
      <c r="M76" s="5" t="s">
        <v>55</v>
      </c>
      <c r="N76" s="5" t="s">
        <v>209</v>
      </c>
      <c r="O76" s="5" t="s">
        <v>72</v>
      </c>
      <c r="P76" s="5" t="s">
        <v>70</v>
      </c>
      <c r="Q76" s="5" t="s">
        <v>58</v>
      </c>
      <c r="R76" s="1">
        <v>8</v>
      </c>
      <c r="S76" s="1">
        <v>32</v>
      </c>
      <c r="T76" s="1">
        <v>54</v>
      </c>
      <c r="Y76">
        <f t="shared" si="11"/>
        <v>74</v>
      </c>
      <c r="Z76">
        <f t="shared" si="10"/>
        <v>0</v>
      </c>
    </row>
    <row r="77" spans="1:26" x14ac:dyDescent="0.3">
      <c r="A77" s="3">
        <v>62</v>
      </c>
      <c r="B77" s="4"/>
      <c r="C77" s="6" t="s">
        <v>18</v>
      </c>
      <c r="D77" s="5"/>
      <c r="E77" s="5" t="s">
        <v>74</v>
      </c>
      <c r="F77" s="5" t="s">
        <v>50</v>
      </c>
      <c r="G77" s="5" t="s">
        <v>73</v>
      </c>
      <c r="H77" s="5" t="s">
        <v>57</v>
      </c>
      <c r="I77" s="5" t="s">
        <v>51</v>
      </c>
      <c r="J77" s="5" t="s">
        <v>208</v>
      </c>
      <c r="K77" s="5" t="s">
        <v>53</v>
      </c>
      <c r="L77" s="5" t="s">
        <v>66</v>
      </c>
      <c r="M77" s="5" t="s">
        <v>48</v>
      </c>
      <c r="N77" s="5" t="s">
        <v>209</v>
      </c>
      <c r="O77" s="5" t="s">
        <v>47</v>
      </c>
      <c r="P77" s="5" t="s">
        <v>70</v>
      </c>
      <c r="Q77" s="5" t="s">
        <v>210</v>
      </c>
      <c r="R77" s="1">
        <v>7</v>
      </c>
      <c r="S77" s="1">
        <v>30</v>
      </c>
      <c r="T77" s="1">
        <v>39</v>
      </c>
      <c r="Y77">
        <f t="shared" si="11"/>
        <v>75</v>
      </c>
      <c r="Z77">
        <f t="shared" si="10"/>
        <v>0</v>
      </c>
    </row>
    <row r="78" spans="1:26" x14ac:dyDescent="0.3">
      <c r="A78" s="3">
        <v>63</v>
      </c>
      <c r="B78" s="4"/>
      <c r="C78" s="6" t="s">
        <v>145</v>
      </c>
      <c r="D78" s="5"/>
      <c r="E78" s="5" t="s">
        <v>207</v>
      </c>
      <c r="F78" s="5" t="s">
        <v>68</v>
      </c>
      <c r="G78" s="5" t="s">
        <v>52</v>
      </c>
      <c r="H78" s="5" t="s">
        <v>75</v>
      </c>
      <c r="I78" s="5" t="s">
        <v>63</v>
      </c>
      <c r="J78" s="5" t="s">
        <v>208</v>
      </c>
      <c r="K78" s="5" t="s">
        <v>53</v>
      </c>
      <c r="L78" s="5" t="s">
        <v>64</v>
      </c>
      <c r="M78" s="5" t="s">
        <v>55</v>
      </c>
      <c r="N78" s="5" t="s">
        <v>54</v>
      </c>
      <c r="O78" s="5" t="s">
        <v>47</v>
      </c>
      <c r="P78" s="5" t="s">
        <v>67</v>
      </c>
      <c r="Q78" s="5" t="s">
        <v>58</v>
      </c>
      <c r="R78" s="1">
        <v>7</v>
      </c>
      <c r="S78" s="1">
        <v>38</v>
      </c>
      <c r="T78" s="1">
        <v>39</v>
      </c>
      <c r="Y78">
        <f t="shared" si="11"/>
        <v>76</v>
      </c>
      <c r="Z78">
        <f t="shared" si="10"/>
        <v>0</v>
      </c>
    </row>
    <row r="79" spans="1:26" ht="28.8" x14ac:dyDescent="0.3">
      <c r="A79" s="3">
        <v>64</v>
      </c>
      <c r="B79" s="4"/>
      <c r="C79" s="6" t="s">
        <v>25</v>
      </c>
      <c r="D79" s="5"/>
      <c r="E79" s="5" t="s">
        <v>207</v>
      </c>
      <c r="F79" s="5" t="s">
        <v>50</v>
      </c>
      <c r="G79" s="5" t="s">
        <v>52</v>
      </c>
      <c r="H79" s="5" t="s">
        <v>75</v>
      </c>
      <c r="I79" s="5" t="s">
        <v>51</v>
      </c>
      <c r="J79" s="5" t="s">
        <v>56</v>
      </c>
      <c r="K79" s="5" t="s">
        <v>53</v>
      </c>
      <c r="L79" s="5" t="s">
        <v>64</v>
      </c>
      <c r="M79" s="5" t="s">
        <v>55</v>
      </c>
      <c r="N79" s="5" t="s">
        <v>209</v>
      </c>
      <c r="O79" s="5" t="s">
        <v>47</v>
      </c>
      <c r="P79" s="5" t="s">
        <v>67</v>
      </c>
      <c r="Q79" s="5" t="s">
        <v>58</v>
      </c>
      <c r="R79" s="1">
        <v>7</v>
      </c>
      <c r="S79" s="1">
        <v>37</v>
      </c>
      <c r="T79" s="1">
        <v>39</v>
      </c>
      <c r="Y79">
        <f t="shared" si="11"/>
        <v>77</v>
      </c>
      <c r="Z79">
        <f t="shared" si="10"/>
        <v>0</v>
      </c>
    </row>
    <row r="80" spans="1:26" x14ac:dyDescent="0.3">
      <c r="A80" s="3">
        <v>65</v>
      </c>
      <c r="B80" s="4"/>
      <c r="C80" s="6" t="s">
        <v>12</v>
      </c>
      <c r="D80" s="5"/>
      <c r="E80" s="5" t="s">
        <v>207</v>
      </c>
      <c r="F80" s="5" t="s">
        <v>50</v>
      </c>
      <c r="G80" s="5" t="s">
        <v>73</v>
      </c>
      <c r="H80" s="5" t="s">
        <v>75</v>
      </c>
      <c r="I80" s="5" t="s">
        <v>51</v>
      </c>
      <c r="J80" s="5" t="s">
        <v>56</v>
      </c>
      <c r="K80" s="5" t="s">
        <v>53</v>
      </c>
      <c r="L80" s="5" t="s">
        <v>64</v>
      </c>
      <c r="M80" s="5" t="s">
        <v>55</v>
      </c>
      <c r="N80" s="5" t="s">
        <v>209</v>
      </c>
      <c r="O80" s="5" t="s">
        <v>47</v>
      </c>
      <c r="P80" s="5" t="s">
        <v>67</v>
      </c>
      <c r="Q80" s="5" t="s">
        <v>210</v>
      </c>
      <c r="R80" s="1">
        <v>7</v>
      </c>
      <c r="S80" s="1">
        <v>34</v>
      </c>
      <c r="T80" s="1">
        <v>40</v>
      </c>
      <c r="Y80">
        <f t="shared" si="11"/>
        <v>78</v>
      </c>
      <c r="Z80">
        <f t="shared" si="10"/>
        <v>0</v>
      </c>
    </row>
    <row r="81" spans="1:26" ht="28.8" x14ac:dyDescent="0.3">
      <c r="A81" s="3">
        <v>66</v>
      </c>
      <c r="B81" s="4"/>
      <c r="C81" s="6" t="s">
        <v>104</v>
      </c>
      <c r="D81" s="5"/>
      <c r="E81" s="5" t="s">
        <v>207</v>
      </c>
      <c r="F81" s="5" t="s">
        <v>68</v>
      </c>
      <c r="G81" s="5" t="s">
        <v>52</v>
      </c>
      <c r="H81" s="5" t="s">
        <v>57</v>
      </c>
      <c r="I81" s="5" t="s">
        <v>51</v>
      </c>
      <c r="J81" s="5" t="s">
        <v>56</v>
      </c>
      <c r="K81" s="5" t="s">
        <v>53</v>
      </c>
      <c r="L81" s="5" t="s">
        <v>64</v>
      </c>
      <c r="M81" s="5" t="s">
        <v>48</v>
      </c>
      <c r="N81" s="5" t="s">
        <v>54</v>
      </c>
      <c r="O81" s="5" t="s">
        <v>47</v>
      </c>
      <c r="P81" s="5" t="s">
        <v>67</v>
      </c>
      <c r="Q81" s="5" t="s">
        <v>58</v>
      </c>
      <c r="R81" s="1">
        <v>7</v>
      </c>
      <c r="S81" s="1">
        <v>34</v>
      </c>
      <c r="T81" s="1">
        <v>38</v>
      </c>
      <c r="Y81">
        <f t="shared" si="11"/>
        <v>79</v>
      </c>
      <c r="Z81">
        <f t="shared" si="10"/>
        <v>0</v>
      </c>
    </row>
    <row r="82" spans="1:26" x14ac:dyDescent="0.3">
      <c r="A82" s="3">
        <v>67</v>
      </c>
      <c r="B82" s="4"/>
      <c r="C82" s="6" t="s">
        <v>155</v>
      </c>
      <c r="D82" s="5"/>
      <c r="E82" s="5" t="s">
        <v>207</v>
      </c>
      <c r="F82" s="5" t="s">
        <v>50</v>
      </c>
      <c r="G82" s="5" t="s">
        <v>52</v>
      </c>
      <c r="H82" s="5" t="s">
        <v>75</v>
      </c>
      <c r="I82" s="5" t="s">
        <v>51</v>
      </c>
      <c r="J82" s="5" t="s">
        <v>56</v>
      </c>
      <c r="K82" s="5" t="s">
        <v>53</v>
      </c>
      <c r="L82" s="5" t="s">
        <v>64</v>
      </c>
      <c r="M82" s="5" t="s">
        <v>48</v>
      </c>
      <c r="N82" s="5" t="s">
        <v>209</v>
      </c>
      <c r="O82" s="5" t="s">
        <v>47</v>
      </c>
      <c r="P82" s="5" t="s">
        <v>67</v>
      </c>
      <c r="Q82" s="5" t="s">
        <v>210</v>
      </c>
      <c r="R82" s="1">
        <v>7</v>
      </c>
      <c r="S82" s="1">
        <v>33</v>
      </c>
      <c r="T82" s="1">
        <v>41</v>
      </c>
      <c r="Y82">
        <f t="shared" si="11"/>
        <v>80</v>
      </c>
      <c r="Z82">
        <f t="shared" si="10"/>
        <v>0</v>
      </c>
    </row>
    <row r="83" spans="1:26" ht="28.8" x14ac:dyDescent="0.3">
      <c r="A83" s="3">
        <v>68</v>
      </c>
      <c r="B83" s="4"/>
      <c r="C83" s="6" t="s">
        <v>154</v>
      </c>
      <c r="D83" s="5"/>
      <c r="E83" s="5" t="s">
        <v>207</v>
      </c>
      <c r="F83" s="5" t="s">
        <v>50</v>
      </c>
      <c r="G83" s="5" t="s">
        <v>52</v>
      </c>
      <c r="H83" s="5" t="s">
        <v>57</v>
      </c>
      <c r="I83" s="5" t="s">
        <v>51</v>
      </c>
      <c r="J83" s="5" t="s">
        <v>208</v>
      </c>
      <c r="K83" s="5" t="s">
        <v>61</v>
      </c>
      <c r="L83" s="5" t="s">
        <v>64</v>
      </c>
      <c r="M83" s="5" t="s">
        <v>48</v>
      </c>
      <c r="N83" s="5" t="s">
        <v>209</v>
      </c>
      <c r="O83" s="5" t="s">
        <v>47</v>
      </c>
      <c r="P83" s="5" t="s">
        <v>67</v>
      </c>
      <c r="Q83" s="5" t="s">
        <v>58</v>
      </c>
      <c r="R83" s="1">
        <v>7</v>
      </c>
      <c r="S83" s="1">
        <v>36</v>
      </c>
      <c r="T83" s="1">
        <v>41</v>
      </c>
      <c r="Y83">
        <f t="shared" si="11"/>
        <v>81</v>
      </c>
      <c r="Z83">
        <f t="shared" si="10"/>
        <v>0</v>
      </c>
    </row>
    <row r="84" spans="1:26" x14ac:dyDescent="0.3">
      <c r="A84" s="3">
        <v>69</v>
      </c>
      <c r="B84" s="4"/>
      <c r="C84" s="6" t="s">
        <v>96</v>
      </c>
      <c r="D84" s="5"/>
      <c r="E84" s="5" t="s">
        <v>207</v>
      </c>
      <c r="F84" s="5" t="s">
        <v>50</v>
      </c>
      <c r="G84" s="5" t="s">
        <v>73</v>
      </c>
      <c r="H84" s="5" t="s">
        <v>57</v>
      </c>
      <c r="I84" s="5" t="s">
        <v>63</v>
      </c>
      <c r="J84" s="5" t="s">
        <v>56</v>
      </c>
      <c r="K84" s="5" t="s">
        <v>53</v>
      </c>
      <c r="L84" s="5" t="s">
        <v>64</v>
      </c>
      <c r="M84" s="5" t="s">
        <v>48</v>
      </c>
      <c r="N84" s="5" t="s">
        <v>54</v>
      </c>
      <c r="O84" s="5" t="s">
        <v>47</v>
      </c>
      <c r="P84" s="5" t="s">
        <v>67</v>
      </c>
      <c r="Q84" s="5" t="s">
        <v>210</v>
      </c>
      <c r="R84" s="1">
        <v>7</v>
      </c>
      <c r="S84" s="1">
        <v>32</v>
      </c>
      <c r="T84" s="1">
        <v>41</v>
      </c>
      <c r="Y84">
        <f t="shared" si="11"/>
        <v>82</v>
      </c>
      <c r="Z84">
        <f t="shared" si="10"/>
        <v>0</v>
      </c>
    </row>
    <row r="85" spans="1:26" ht="28.8" x14ac:dyDescent="0.3">
      <c r="A85" s="3">
        <v>70</v>
      </c>
      <c r="B85" s="4"/>
      <c r="C85" s="6" t="s">
        <v>153</v>
      </c>
      <c r="D85" s="5"/>
      <c r="E85" s="5" t="s">
        <v>74</v>
      </c>
      <c r="F85" s="5" t="s">
        <v>68</v>
      </c>
      <c r="G85" s="5" t="s">
        <v>52</v>
      </c>
      <c r="H85" s="5" t="s">
        <v>75</v>
      </c>
      <c r="I85" s="5" t="s">
        <v>51</v>
      </c>
      <c r="J85" s="5" t="s">
        <v>208</v>
      </c>
      <c r="K85" s="5" t="s">
        <v>61</v>
      </c>
      <c r="L85" s="5" t="s">
        <v>64</v>
      </c>
      <c r="M85" s="5" t="s">
        <v>55</v>
      </c>
      <c r="N85" s="5" t="s">
        <v>54</v>
      </c>
      <c r="O85" s="5" t="s">
        <v>47</v>
      </c>
      <c r="P85" s="5" t="s">
        <v>70</v>
      </c>
      <c r="Q85" s="5" t="s">
        <v>58</v>
      </c>
      <c r="R85" s="1">
        <v>7</v>
      </c>
      <c r="S85" s="1">
        <v>32</v>
      </c>
      <c r="T85" s="1">
        <v>41</v>
      </c>
      <c r="Y85">
        <f t="shared" si="11"/>
        <v>83</v>
      </c>
      <c r="Z85">
        <f t="shared" si="10"/>
        <v>0</v>
      </c>
    </row>
    <row r="86" spans="1:26" x14ac:dyDescent="0.3">
      <c r="A86" s="3">
        <v>71</v>
      </c>
      <c r="B86" s="4"/>
      <c r="C86" s="6" t="s">
        <v>88</v>
      </c>
      <c r="D86" s="5"/>
      <c r="E86" s="5" t="s">
        <v>207</v>
      </c>
      <c r="F86" s="5" t="s">
        <v>50</v>
      </c>
      <c r="G86" s="5" t="s">
        <v>73</v>
      </c>
      <c r="H86" s="5" t="s">
        <v>57</v>
      </c>
      <c r="I86" s="5" t="s">
        <v>51</v>
      </c>
      <c r="J86" s="5" t="s">
        <v>56</v>
      </c>
      <c r="K86" s="5" t="s">
        <v>53</v>
      </c>
      <c r="L86" s="5" t="s">
        <v>64</v>
      </c>
      <c r="M86" s="5" t="s">
        <v>48</v>
      </c>
      <c r="N86" s="5" t="s">
        <v>209</v>
      </c>
      <c r="O86" s="5" t="s">
        <v>47</v>
      </c>
      <c r="P86" s="5" t="s">
        <v>67</v>
      </c>
      <c r="Q86" s="5" t="s">
        <v>210</v>
      </c>
      <c r="R86" s="1">
        <v>7</v>
      </c>
      <c r="S86" s="1">
        <v>34</v>
      </c>
      <c r="T86" s="1">
        <v>42</v>
      </c>
      <c r="Y86">
        <f t="shared" si="11"/>
        <v>84</v>
      </c>
      <c r="Z86">
        <f t="shared" si="10"/>
        <v>0</v>
      </c>
    </row>
    <row r="87" spans="1:26" x14ac:dyDescent="0.3">
      <c r="A87" s="3">
        <v>72</v>
      </c>
      <c r="B87" s="4"/>
      <c r="C87" s="6" t="s">
        <v>33</v>
      </c>
      <c r="D87" s="5"/>
      <c r="E87" s="5" t="s">
        <v>207</v>
      </c>
      <c r="F87" s="5" t="s">
        <v>50</v>
      </c>
      <c r="G87" s="5" t="s">
        <v>73</v>
      </c>
      <c r="H87" s="5" t="s">
        <v>75</v>
      </c>
      <c r="I87" s="5" t="s">
        <v>51</v>
      </c>
      <c r="J87" s="5" t="s">
        <v>56</v>
      </c>
      <c r="K87" s="5" t="s">
        <v>53</v>
      </c>
      <c r="L87" s="5" t="s">
        <v>64</v>
      </c>
      <c r="M87" s="5" t="s">
        <v>55</v>
      </c>
      <c r="N87" s="5" t="s">
        <v>209</v>
      </c>
      <c r="O87" s="5" t="s">
        <v>47</v>
      </c>
      <c r="P87" s="5" t="s">
        <v>67</v>
      </c>
      <c r="Q87" s="5" t="s">
        <v>210</v>
      </c>
      <c r="R87" s="1">
        <v>7</v>
      </c>
      <c r="S87" s="1">
        <v>36</v>
      </c>
      <c r="T87" s="1">
        <v>42</v>
      </c>
      <c r="Y87">
        <f t="shared" si="11"/>
        <v>85</v>
      </c>
      <c r="Z87">
        <f t="shared" si="10"/>
        <v>0</v>
      </c>
    </row>
    <row r="88" spans="1:26" x14ac:dyDescent="0.3">
      <c r="A88" s="3">
        <v>73</v>
      </c>
      <c r="B88" s="4"/>
      <c r="C88" s="6" t="s">
        <v>195</v>
      </c>
      <c r="D88" s="5"/>
      <c r="E88" s="5" t="s">
        <v>207</v>
      </c>
      <c r="F88" s="5" t="s">
        <v>50</v>
      </c>
      <c r="G88" s="5" t="s">
        <v>52</v>
      </c>
      <c r="H88" s="5" t="s">
        <v>75</v>
      </c>
      <c r="I88" s="5" t="s">
        <v>51</v>
      </c>
      <c r="J88" s="5" t="s">
        <v>56</v>
      </c>
      <c r="K88" s="5" t="s">
        <v>53</v>
      </c>
      <c r="L88" s="5" t="s">
        <v>64</v>
      </c>
      <c r="M88" s="5" t="s">
        <v>48</v>
      </c>
      <c r="N88" s="5" t="s">
        <v>54</v>
      </c>
      <c r="O88" s="5" t="s">
        <v>47</v>
      </c>
      <c r="P88" s="5" t="s">
        <v>67</v>
      </c>
      <c r="Q88" s="5" t="s">
        <v>58</v>
      </c>
      <c r="R88" s="1">
        <v>7</v>
      </c>
      <c r="S88" s="1">
        <v>36</v>
      </c>
      <c r="T88" s="1">
        <v>42</v>
      </c>
      <c r="Y88">
        <f t="shared" si="11"/>
        <v>86</v>
      </c>
      <c r="Z88">
        <f t="shared" si="10"/>
        <v>0</v>
      </c>
    </row>
    <row r="89" spans="1:26" ht="28.8" x14ac:dyDescent="0.3">
      <c r="A89" s="3">
        <v>74</v>
      </c>
      <c r="B89" s="4"/>
      <c r="C89" s="6" t="s">
        <v>24</v>
      </c>
      <c r="D89" s="5"/>
      <c r="E89" s="5" t="s">
        <v>74</v>
      </c>
      <c r="F89" s="5" t="s">
        <v>50</v>
      </c>
      <c r="G89" s="5" t="s">
        <v>73</v>
      </c>
      <c r="H89" s="5" t="s">
        <v>75</v>
      </c>
      <c r="I89" s="5" t="s">
        <v>51</v>
      </c>
      <c r="J89" s="5" t="s">
        <v>56</v>
      </c>
      <c r="K89" s="5" t="s">
        <v>53</v>
      </c>
      <c r="L89" s="5" t="s">
        <v>64</v>
      </c>
      <c r="M89" s="5" t="s">
        <v>48</v>
      </c>
      <c r="N89" s="5" t="s">
        <v>54</v>
      </c>
      <c r="O89" s="5" t="s">
        <v>72</v>
      </c>
      <c r="P89" s="5" t="s">
        <v>67</v>
      </c>
      <c r="Q89" s="5" t="s">
        <v>210</v>
      </c>
      <c r="R89" s="1">
        <v>7</v>
      </c>
      <c r="S89" s="1">
        <v>35</v>
      </c>
      <c r="T89" s="1">
        <v>36</v>
      </c>
      <c r="Y89">
        <f t="shared" si="11"/>
        <v>87</v>
      </c>
      <c r="Z89">
        <f t="shared" si="10"/>
        <v>0</v>
      </c>
    </row>
    <row r="90" spans="1:26" ht="28.8" x14ac:dyDescent="0.3">
      <c r="A90" s="3">
        <v>75</v>
      </c>
      <c r="B90" s="4"/>
      <c r="C90" s="6" t="s">
        <v>198</v>
      </c>
      <c r="D90" s="5"/>
      <c r="E90" s="5" t="s">
        <v>74</v>
      </c>
      <c r="F90" s="5" t="s">
        <v>50</v>
      </c>
      <c r="G90" s="5" t="s">
        <v>52</v>
      </c>
      <c r="H90" s="5" t="s">
        <v>75</v>
      </c>
      <c r="I90" s="5" t="s">
        <v>51</v>
      </c>
      <c r="J90" s="5" t="s">
        <v>56</v>
      </c>
      <c r="K90" s="5" t="s">
        <v>53</v>
      </c>
      <c r="L90" s="5" t="s">
        <v>64</v>
      </c>
      <c r="M90" s="5" t="s">
        <v>48</v>
      </c>
      <c r="N90" s="5" t="s">
        <v>54</v>
      </c>
      <c r="O90" s="5" t="s">
        <v>47</v>
      </c>
      <c r="P90" s="5" t="s">
        <v>67</v>
      </c>
      <c r="Q90" s="5" t="s">
        <v>210</v>
      </c>
      <c r="R90" s="1">
        <v>7</v>
      </c>
      <c r="S90" s="1">
        <v>37</v>
      </c>
      <c r="T90" s="1">
        <v>42</v>
      </c>
      <c r="Y90">
        <f t="shared" si="11"/>
        <v>88</v>
      </c>
      <c r="Z90">
        <f t="shared" si="10"/>
        <v>0</v>
      </c>
    </row>
    <row r="91" spans="1:26" ht="28.8" x14ac:dyDescent="0.3">
      <c r="A91" s="3">
        <v>76</v>
      </c>
      <c r="B91" s="4"/>
      <c r="C91" s="6" t="s">
        <v>36</v>
      </c>
      <c r="D91" s="5"/>
      <c r="E91" s="5" t="s">
        <v>74</v>
      </c>
      <c r="F91" s="5" t="s">
        <v>50</v>
      </c>
      <c r="G91" s="5" t="s">
        <v>73</v>
      </c>
      <c r="H91" s="5" t="s">
        <v>57</v>
      </c>
      <c r="I91" s="5" t="s">
        <v>51</v>
      </c>
      <c r="J91" s="5" t="s">
        <v>208</v>
      </c>
      <c r="K91" s="5" t="s">
        <v>53</v>
      </c>
      <c r="L91" s="5" t="s">
        <v>64</v>
      </c>
      <c r="M91" s="5" t="s">
        <v>48</v>
      </c>
      <c r="N91" s="5" t="s">
        <v>54</v>
      </c>
      <c r="O91" s="5" t="s">
        <v>47</v>
      </c>
      <c r="P91" s="5" t="s">
        <v>67</v>
      </c>
      <c r="Q91" s="5" t="s">
        <v>58</v>
      </c>
      <c r="R91" s="1">
        <v>7</v>
      </c>
      <c r="S91" s="1">
        <v>36</v>
      </c>
      <c r="T91" s="1">
        <v>42</v>
      </c>
      <c r="Y91">
        <f t="shared" si="11"/>
        <v>89</v>
      </c>
      <c r="Z91">
        <f t="shared" si="10"/>
        <v>0</v>
      </c>
    </row>
    <row r="92" spans="1:26" x14ac:dyDescent="0.3">
      <c r="A92" s="3">
        <v>77</v>
      </c>
      <c r="B92" s="4"/>
      <c r="C92" s="6" t="s">
        <v>156</v>
      </c>
      <c r="D92" s="5"/>
      <c r="E92" s="5" t="s">
        <v>207</v>
      </c>
      <c r="F92" s="5" t="s">
        <v>50</v>
      </c>
      <c r="G92" s="5" t="s">
        <v>73</v>
      </c>
      <c r="H92" s="5" t="s">
        <v>57</v>
      </c>
      <c r="I92" s="5" t="s">
        <v>51</v>
      </c>
      <c r="J92" s="5" t="s">
        <v>56</v>
      </c>
      <c r="K92" s="5" t="s">
        <v>53</v>
      </c>
      <c r="L92" s="5" t="s">
        <v>64</v>
      </c>
      <c r="M92" s="5" t="s">
        <v>48</v>
      </c>
      <c r="N92" s="5" t="s">
        <v>209</v>
      </c>
      <c r="O92" s="5" t="s">
        <v>47</v>
      </c>
      <c r="P92" s="5" t="s">
        <v>67</v>
      </c>
      <c r="Q92" s="5" t="s">
        <v>210</v>
      </c>
      <c r="R92" s="1">
        <v>7</v>
      </c>
      <c r="S92" s="1">
        <v>36</v>
      </c>
      <c r="T92" s="1">
        <v>42</v>
      </c>
      <c r="Y92">
        <f t="shared" si="11"/>
        <v>90</v>
      </c>
      <c r="Z92">
        <f t="shared" si="10"/>
        <v>0</v>
      </c>
    </row>
    <row r="93" spans="1:26" ht="28.8" x14ac:dyDescent="0.3">
      <c r="A93" s="3">
        <v>78</v>
      </c>
      <c r="B93" s="4"/>
      <c r="C93" s="6" t="s">
        <v>28</v>
      </c>
      <c r="D93" s="5"/>
      <c r="E93" s="5" t="s">
        <v>207</v>
      </c>
      <c r="F93" s="5" t="s">
        <v>50</v>
      </c>
      <c r="G93" s="5" t="s">
        <v>52</v>
      </c>
      <c r="H93" s="5" t="s">
        <v>57</v>
      </c>
      <c r="I93" s="5" t="s">
        <v>63</v>
      </c>
      <c r="J93" s="5" t="s">
        <v>208</v>
      </c>
      <c r="K93" s="5" t="s">
        <v>61</v>
      </c>
      <c r="L93" s="5" t="s">
        <v>64</v>
      </c>
      <c r="M93" s="5" t="s">
        <v>48</v>
      </c>
      <c r="N93" s="5" t="s">
        <v>209</v>
      </c>
      <c r="O93" s="5" t="s">
        <v>47</v>
      </c>
      <c r="P93" s="5" t="s">
        <v>67</v>
      </c>
      <c r="Q93" s="5" t="s">
        <v>210</v>
      </c>
      <c r="R93" s="1">
        <v>7</v>
      </c>
      <c r="S93" s="1">
        <v>34</v>
      </c>
      <c r="T93" s="1">
        <v>43</v>
      </c>
      <c r="Y93">
        <f t="shared" si="11"/>
        <v>91</v>
      </c>
      <c r="Z93">
        <f t="shared" si="10"/>
        <v>0</v>
      </c>
    </row>
    <row r="94" spans="1:26" ht="28.8" x14ac:dyDescent="0.3">
      <c r="A94" s="3">
        <v>79</v>
      </c>
      <c r="B94" s="4"/>
      <c r="C94" s="6" t="s">
        <v>41</v>
      </c>
      <c r="D94" s="5"/>
      <c r="E94" s="5" t="s">
        <v>74</v>
      </c>
      <c r="F94" s="5" t="s">
        <v>50</v>
      </c>
      <c r="G94" s="5" t="s">
        <v>52</v>
      </c>
      <c r="H94" s="5" t="s">
        <v>57</v>
      </c>
      <c r="I94" s="5" t="s">
        <v>63</v>
      </c>
      <c r="J94" s="5" t="s">
        <v>56</v>
      </c>
      <c r="K94" s="5" t="s">
        <v>53</v>
      </c>
      <c r="L94" s="5" t="s">
        <v>64</v>
      </c>
      <c r="M94" s="5" t="s">
        <v>55</v>
      </c>
      <c r="N94" s="5" t="s">
        <v>209</v>
      </c>
      <c r="O94" s="5" t="s">
        <v>47</v>
      </c>
      <c r="P94" s="5" t="s">
        <v>67</v>
      </c>
      <c r="Q94" s="5" t="s">
        <v>210</v>
      </c>
      <c r="R94" s="1">
        <v>7</v>
      </c>
      <c r="S94" s="1">
        <v>35</v>
      </c>
      <c r="T94" s="1">
        <v>43</v>
      </c>
      <c r="Y94">
        <f t="shared" si="11"/>
        <v>92</v>
      </c>
      <c r="Z94">
        <f t="shared" si="10"/>
        <v>0</v>
      </c>
    </row>
    <row r="95" spans="1:26" x14ac:dyDescent="0.3">
      <c r="A95" s="3">
        <v>80</v>
      </c>
      <c r="B95" s="4"/>
      <c r="C95" s="6" t="s">
        <v>150</v>
      </c>
      <c r="D95" s="5"/>
      <c r="E95" s="5" t="s">
        <v>207</v>
      </c>
      <c r="F95" s="5" t="s">
        <v>68</v>
      </c>
      <c r="G95" s="5" t="s">
        <v>52</v>
      </c>
      <c r="H95" s="5" t="s">
        <v>57</v>
      </c>
      <c r="I95" s="5" t="s">
        <v>51</v>
      </c>
      <c r="J95" s="5" t="s">
        <v>56</v>
      </c>
      <c r="K95" s="5" t="s">
        <v>61</v>
      </c>
      <c r="L95" s="5" t="s">
        <v>64</v>
      </c>
      <c r="M95" s="5" t="s">
        <v>55</v>
      </c>
      <c r="N95" s="5" t="s">
        <v>54</v>
      </c>
      <c r="O95" s="5" t="s">
        <v>47</v>
      </c>
      <c r="P95" s="5" t="s">
        <v>67</v>
      </c>
      <c r="Q95" s="5" t="s">
        <v>58</v>
      </c>
      <c r="R95" s="1">
        <v>7</v>
      </c>
      <c r="S95" s="1">
        <v>31</v>
      </c>
      <c r="T95" s="1">
        <v>43</v>
      </c>
      <c r="Y95">
        <f t="shared" si="11"/>
        <v>93</v>
      </c>
      <c r="Z95">
        <f t="shared" si="10"/>
        <v>0</v>
      </c>
    </row>
    <row r="96" spans="1:26" x14ac:dyDescent="0.3">
      <c r="A96" s="3">
        <v>81</v>
      </c>
      <c r="B96" s="4"/>
      <c r="C96" s="6" t="s">
        <v>94</v>
      </c>
      <c r="D96" s="5"/>
      <c r="E96" s="5" t="s">
        <v>74</v>
      </c>
      <c r="F96" s="5" t="s">
        <v>50</v>
      </c>
      <c r="G96" s="5" t="s">
        <v>73</v>
      </c>
      <c r="H96" s="5" t="s">
        <v>57</v>
      </c>
      <c r="I96" s="5" t="s">
        <v>63</v>
      </c>
      <c r="J96" s="5" t="s">
        <v>56</v>
      </c>
      <c r="K96" s="5" t="s">
        <v>53</v>
      </c>
      <c r="L96" s="5" t="s">
        <v>64</v>
      </c>
      <c r="M96" s="5" t="s">
        <v>48</v>
      </c>
      <c r="N96" s="5" t="s">
        <v>54</v>
      </c>
      <c r="O96" s="5" t="s">
        <v>72</v>
      </c>
      <c r="P96" s="5" t="s">
        <v>67</v>
      </c>
      <c r="Q96" s="5" t="s">
        <v>210</v>
      </c>
      <c r="R96" s="1">
        <v>7</v>
      </c>
      <c r="S96" s="1">
        <v>42</v>
      </c>
      <c r="T96" s="1">
        <v>44</v>
      </c>
      <c r="Y96">
        <f t="shared" si="11"/>
        <v>94</v>
      </c>
      <c r="Z96">
        <f t="shared" si="10"/>
        <v>0</v>
      </c>
    </row>
    <row r="97" spans="1:26" ht="28.8" x14ac:dyDescent="0.3">
      <c r="A97" s="3">
        <v>82</v>
      </c>
      <c r="B97" s="4"/>
      <c r="C97" s="6" t="s">
        <v>89</v>
      </c>
      <c r="D97" s="5"/>
      <c r="E97" s="5" t="s">
        <v>207</v>
      </c>
      <c r="F97" s="5" t="s">
        <v>50</v>
      </c>
      <c r="G97" s="5" t="s">
        <v>52</v>
      </c>
      <c r="H97" s="5" t="s">
        <v>75</v>
      </c>
      <c r="I97" s="5" t="s">
        <v>63</v>
      </c>
      <c r="J97" s="5" t="s">
        <v>56</v>
      </c>
      <c r="K97" s="5" t="s">
        <v>61</v>
      </c>
      <c r="L97" s="5" t="s">
        <v>64</v>
      </c>
      <c r="M97" s="5" t="s">
        <v>48</v>
      </c>
      <c r="N97" s="5" t="s">
        <v>54</v>
      </c>
      <c r="O97" s="5" t="s">
        <v>47</v>
      </c>
      <c r="P97" s="5" t="s">
        <v>70</v>
      </c>
      <c r="Q97" s="5" t="s">
        <v>210</v>
      </c>
      <c r="R97" s="1">
        <v>7</v>
      </c>
      <c r="S97" s="1">
        <v>37</v>
      </c>
      <c r="T97" s="1">
        <v>45</v>
      </c>
      <c r="Y97">
        <f t="shared" si="11"/>
        <v>95</v>
      </c>
      <c r="Z97">
        <f t="shared" si="10"/>
        <v>0</v>
      </c>
    </row>
    <row r="98" spans="1:26" x14ac:dyDescent="0.3">
      <c r="A98" s="3">
        <v>83</v>
      </c>
      <c r="B98" s="4"/>
      <c r="C98" s="6" t="s">
        <v>120</v>
      </c>
      <c r="D98" s="5"/>
      <c r="E98" s="5" t="s">
        <v>74</v>
      </c>
      <c r="F98" s="5" t="s">
        <v>50</v>
      </c>
      <c r="G98" s="5" t="s">
        <v>73</v>
      </c>
      <c r="H98" s="5" t="s">
        <v>75</v>
      </c>
      <c r="I98" s="5" t="s">
        <v>51</v>
      </c>
      <c r="J98" s="5" t="s">
        <v>56</v>
      </c>
      <c r="K98" s="5" t="s">
        <v>53</v>
      </c>
      <c r="L98" s="5" t="s">
        <v>64</v>
      </c>
      <c r="M98" s="5" t="s">
        <v>48</v>
      </c>
      <c r="N98" s="5" t="s">
        <v>54</v>
      </c>
      <c r="O98" s="5" t="s">
        <v>47</v>
      </c>
      <c r="P98" s="5" t="s">
        <v>70</v>
      </c>
      <c r="Q98" s="5" t="s">
        <v>210</v>
      </c>
      <c r="R98" s="1">
        <v>7</v>
      </c>
      <c r="S98" s="1">
        <v>34</v>
      </c>
      <c r="T98" s="1">
        <v>45</v>
      </c>
      <c r="Y98">
        <f t="shared" si="11"/>
        <v>96</v>
      </c>
      <c r="Z98">
        <f t="shared" si="10"/>
        <v>0</v>
      </c>
    </row>
    <row r="99" spans="1:26" x14ac:dyDescent="0.3">
      <c r="A99" s="3">
        <v>84</v>
      </c>
      <c r="B99" s="4"/>
      <c r="C99" s="6" t="s">
        <v>86</v>
      </c>
      <c r="D99" s="5"/>
      <c r="E99" s="5" t="s">
        <v>207</v>
      </c>
      <c r="F99" s="5" t="s">
        <v>50</v>
      </c>
      <c r="G99" s="5" t="s">
        <v>52</v>
      </c>
      <c r="H99" s="5" t="s">
        <v>75</v>
      </c>
      <c r="I99" s="5" t="s">
        <v>63</v>
      </c>
      <c r="J99" s="5" t="s">
        <v>208</v>
      </c>
      <c r="K99" s="5" t="s">
        <v>53</v>
      </c>
      <c r="L99" s="5" t="s">
        <v>66</v>
      </c>
      <c r="M99" s="5" t="s">
        <v>48</v>
      </c>
      <c r="N99" s="5" t="s">
        <v>209</v>
      </c>
      <c r="O99" s="5" t="s">
        <v>47</v>
      </c>
      <c r="P99" s="5" t="s">
        <v>70</v>
      </c>
      <c r="Q99" s="5" t="s">
        <v>210</v>
      </c>
      <c r="R99" s="1">
        <v>7</v>
      </c>
      <c r="S99" s="1">
        <v>34</v>
      </c>
      <c r="T99" s="1">
        <v>45</v>
      </c>
      <c r="Y99">
        <f t="shared" si="11"/>
        <v>97</v>
      </c>
      <c r="Z99">
        <f t="shared" si="10"/>
        <v>0</v>
      </c>
    </row>
    <row r="100" spans="1:26" ht="28.8" x14ac:dyDescent="0.3">
      <c r="A100" s="3">
        <v>85</v>
      </c>
      <c r="B100" s="4"/>
      <c r="C100" s="6" t="s">
        <v>163</v>
      </c>
      <c r="D100" s="5"/>
      <c r="E100" s="5" t="s">
        <v>207</v>
      </c>
      <c r="F100" s="5" t="s">
        <v>50</v>
      </c>
      <c r="G100" s="5" t="s">
        <v>52</v>
      </c>
      <c r="H100" s="5" t="s">
        <v>57</v>
      </c>
      <c r="I100" s="5" t="s">
        <v>51</v>
      </c>
      <c r="J100" s="5" t="s">
        <v>56</v>
      </c>
      <c r="K100" s="5" t="s">
        <v>61</v>
      </c>
      <c r="L100" s="5" t="s">
        <v>66</v>
      </c>
      <c r="M100" s="5" t="s">
        <v>55</v>
      </c>
      <c r="N100" s="5" t="s">
        <v>209</v>
      </c>
      <c r="O100" s="5" t="s">
        <v>47</v>
      </c>
      <c r="P100" s="5" t="s">
        <v>70</v>
      </c>
      <c r="Q100" s="5" t="s">
        <v>58</v>
      </c>
      <c r="R100" s="1">
        <v>7</v>
      </c>
      <c r="S100" s="1">
        <v>34</v>
      </c>
      <c r="T100" s="1">
        <v>45</v>
      </c>
      <c r="Y100">
        <f t="shared" si="11"/>
        <v>98</v>
      </c>
      <c r="Z100">
        <f t="shared" si="10"/>
        <v>0</v>
      </c>
    </row>
    <row r="101" spans="1:26" x14ac:dyDescent="0.3">
      <c r="A101" s="3">
        <v>86</v>
      </c>
      <c r="B101" s="4"/>
      <c r="C101" s="6" t="s">
        <v>142</v>
      </c>
      <c r="D101" s="5"/>
      <c r="E101" s="5" t="s">
        <v>207</v>
      </c>
      <c r="F101" s="5" t="s">
        <v>68</v>
      </c>
      <c r="G101" s="5" t="s">
        <v>73</v>
      </c>
      <c r="H101" s="5" t="s">
        <v>57</v>
      </c>
      <c r="I101" s="5" t="s">
        <v>51</v>
      </c>
      <c r="J101" s="5" t="s">
        <v>208</v>
      </c>
      <c r="K101" s="5" t="s">
        <v>61</v>
      </c>
      <c r="L101" s="5" t="s">
        <v>64</v>
      </c>
      <c r="M101" s="5" t="s">
        <v>55</v>
      </c>
      <c r="N101" s="5" t="s">
        <v>209</v>
      </c>
      <c r="O101" s="5" t="s">
        <v>47</v>
      </c>
      <c r="P101" s="5" t="s">
        <v>67</v>
      </c>
      <c r="Q101" s="5" t="s">
        <v>210</v>
      </c>
      <c r="R101" s="1">
        <v>7</v>
      </c>
      <c r="S101" s="1">
        <v>38</v>
      </c>
      <c r="T101" s="1">
        <v>45</v>
      </c>
      <c r="Y101">
        <f t="shared" si="11"/>
        <v>99</v>
      </c>
      <c r="Z101">
        <f t="shared" si="10"/>
        <v>0</v>
      </c>
    </row>
    <row r="102" spans="1:26" x14ac:dyDescent="0.3">
      <c r="A102" s="3">
        <v>87</v>
      </c>
      <c r="B102" s="4"/>
      <c r="C102" s="6" t="s">
        <v>168</v>
      </c>
      <c r="D102" s="5"/>
      <c r="E102" s="5" t="s">
        <v>74</v>
      </c>
      <c r="F102" s="5" t="s">
        <v>50</v>
      </c>
      <c r="G102" s="5" t="s">
        <v>52</v>
      </c>
      <c r="H102" s="5" t="s">
        <v>57</v>
      </c>
      <c r="I102" s="5" t="s">
        <v>51</v>
      </c>
      <c r="J102" s="5" t="s">
        <v>56</v>
      </c>
      <c r="K102" s="5" t="s">
        <v>53</v>
      </c>
      <c r="L102" s="5" t="s">
        <v>64</v>
      </c>
      <c r="M102" s="5" t="s">
        <v>48</v>
      </c>
      <c r="N102" s="5" t="s">
        <v>54</v>
      </c>
      <c r="O102" s="5" t="s">
        <v>47</v>
      </c>
      <c r="P102" s="5" t="s">
        <v>67</v>
      </c>
      <c r="Q102" s="5" t="s">
        <v>58</v>
      </c>
      <c r="R102" s="1">
        <v>7</v>
      </c>
      <c r="S102" s="1">
        <v>41</v>
      </c>
      <c r="T102" s="1">
        <v>46</v>
      </c>
      <c r="Y102">
        <f t="shared" si="11"/>
        <v>100</v>
      </c>
      <c r="Z102">
        <f t="shared" si="10"/>
        <v>0</v>
      </c>
    </row>
    <row r="103" spans="1:26" ht="28.8" x14ac:dyDescent="0.3">
      <c r="A103" s="3">
        <v>88</v>
      </c>
      <c r="B103" s="4"/>
      <c r="C103" s="6" t="s">
        <v>167</v>
      </c>
      <c r="D103" s="5"/>
      <c r="E103" s="5" t="s">
        <v>207</v>
      </c>
      <c r="F103" s="5" t="s">
        <v>68</v>
      </c>
      <c r="G103" s="5" t="s">
        <v>73</v>
      </c>
      <c r="H103" s="5" t="s">
        <v>57</v>
      </c>
      <c r="I103" s="5" t="s">
        <v>51</v>
      </c>
      <c r="J103" s="5" t="s">
        <v>208</v>
      </c>
      <c r="K103" s="5" t="s">
        <v>53</v>
      </c>
      <c r="L103" s="5" t="s">
        <v>66</v>
      </c>
      <c r="M103" s="5" t="s">
        <v>55</v>
      </c>
      <c r="N103" s="5" t="s">
        <v>209</v>
      </c>
      <c r="O103" s="5" t="s">
        <v>47</v>
      </c>
      <c r="P103" s="5" t="s">
        <v>70</v>
      </c>
      <c r="Q103" s="5" t="s">
        <v>58</v>
      </c>
      <c r="R103" s="1">
        <v>7</v>
      </c>
      <c r="S103" s="1">
        <v>37</v>
      </c>
      <c r="T103" s="1">
        <v>46</v>
      </c>
      <c r="Y103">
        <f t="shared" si="11"/>
        <v>101</v>
      </c>
      <c r="Z103">
        <f t="shared" si="10"/>
        <v>0</v>
      </c>
    </row>
    <row r="104" spans="1:26" x14ac:dyDescent="0.3">
      <c r="A104" s="3">
        <v>89</v>
      </c>
      <c r="B104" s="4"/>
      <c r="C104" s="6" t="s">
        <v>26</v>
      </c>
      <c r="D104" s="5"/>
      <c r="E104" s="5" t="s">
        <v>207</v>
      </c>
      <c r="F104" s="5" t="s">
        <v>50</v>
      </c>
      <c r="G104" s="5" t="s">
        <v>52</v>
      </c>
      <c r="H104" s="5" t="s">
        <v>75</v>
      </c>
      <c r="I104" s="5" t="s">
        <v>51</v>
      </c>
      <c r="J104" s="5" t="s">
        <v>56</v>
      </c>
      <c r="K104" s="5" t="s">
        <v>53</v>
      </c>
      <c r="L104" s="5" t="s">
        <v>66</v>
      </c>
      <c r="M104" s="5" t="s">
        <v>55</v>
      </c>
      <c r="N104" s="5" t="s">
        <v>209</v>
      </c>
      <c r="O104" s="5" t="s">
        <v>47</v>
      </c>
      <c r="P104" s="5" t="s">
        <v>67</v>
      </c>
      <c r="Q104" s="5" t="s">
        <v>210</v>
      </c>
      <c r="R104" s="1">
        <v>7</v>
      </c>
      <c r="S104" s="1">
        <v>36</v>
      </c>
      <c r="T104" s="1">
        <v>46</v>
      </c>
      <c r="Y104">
        <f t="shared" si="11"/>
        <v>102</v>
      </c>
      <c r="Z104">
        <f t="shared" si="10"/>
        <v>0</v>
      </c>
    </row>
    <row r="105" spans="1:26" ht="28.8" x14ac:dyDescent="0.3">
      <c r="A105" s="3">
        <v>90</v>
      </c>
      <c r="B105" s="4"/>
      <c r="C105" s="6" t="s">
        <v>125</v>
      </c>
      <c r="D105" s="5"/>
      <c r="E105" s="5" t="s">
        <v>207</v>
      </c>
      <c r="F105" s="5" t="s">
        <v>68</v>
      </c>
      <c r="G105" s="5" t="s">
        <v>52</v>
      </c>
      <c r="H105" s="5" t="s">
        <v>75</v>
      </c>
      <c r="I105" s="5" t="s">
        <v>63</v>
      </c>
      <c r="J105" s="5" t="s">
        <v>208</v>
      </c>
      <c r="K105" s="5" t="s">
        <v>53</v>
      </c>
      <c r="L105" s="5" t="s">
        <v>66</v>
      </c>
      <c r="M105" s="5" t="s">
        <v>55</v>
      </c>
      <c r="N105" s="5" t="s">
        <v>54</v>
      </c>
      <c r="O105" s="5" t="s">
        <v>47</v>
      </c>
      <c r="P105" s="5" t="s">
        <v>70</v>
      </c>
      <c r="Q105" s="5" t="s">
        <v>58</v>
      </c>
      <c r="R105" s="1">
        <v>7</v>
      </c>
      <c r="S105" s="1">
        <v>37</v>
      </c>
      <c r="T105" s="1">
        <v>32</v>
      </c>
      <c r="Y105">
        <f t="shared" si="11"/>
        <v>103</v>
      </c>
      <c r="Z105">
        <f t="shared" si="10"/>
        <v>0</v>
      </c>
    </row>
    <row r="106" spans="1:26" x14ac:dyDescent="0.3">
      <c r="A106" s="3">
        <v>91</v>
      </c>
      <c r="B106" s="4"/>
      <c r="C106" s="6" t="s">
        <v>13</v>
      </c>
      <c r="D106" s="5"/>
      <c r="E106" s="5" t="s">
        <v>207</v>
      </c>
      <c r="F106" s="5" t="s">
        <v>50</v>
      </c>
      <c r="G106" s="5" t="s">
        <v>73</v>
      </c>
      <c r="H106" s="5" t="s">
        <v>57</v>
      </c>
      <c r="I106" s="5" t="s">
        <v>63</v>
      </c>
      <c r="J106" s="5" t="s">
        <v>56</v>
      </c>
      <c r="K106" s="5" t="s">
        <v>53</v>
      </c>
      <c r="L106" s="5" t="s">
        <v>66</v>
      </c>
      <c r="M106" s="5" t="s">
        <v>55</v>
      </c>
      <c r="N106" s="5" t="s">
        <v>54</v>
      </c>
      <c r="O106" s="5" t="s">
        <v>47</v>
      </c>
      <c r="P106" s="5" t="s">
        <v>67</v>
      </c>
      <c r="Q106" s="5" t="s">
        <v>210</v>
      </c>
      <c r="R106" s="1">
        <v>7</v>
      </c>
      <c r="S106" s="1">
        <v>40</v>
      </c>
      <c r="T106" s="1">
        <v>46</v>
      </c>
      <c r="Y106">
        <f t="shared" si="11"/>
        <v>104</v>
      </c>
      <c r="Z106">
        <f t="shared" si="10"/>
        <v>0</v>
      </c>
    </row>
    <row r="107" spans="1:26" x14ac:dyDescent="0.3">
      <c r="A107" s="3">
        <v>92</v>
      </c>
      <c r="B107" s="4"/>
      <c r="C107" s="6" t="s">
        <v>21</v>
      </c>
      <c r="D107" s="5"/>
      <c r="E107" s="5" t="s">
        <v>207</v>
      </c>
      <c r="F107" s="5" t="s">
        <v>68</v>
      </c>
      <c r="G107" s="5" t="s">
        <v>52</v>
      </c>
      <c r="H107" s="5" t="s">
        <v>57</v>
      </c>
      <c r="I107" s="5" t="s">
        <v>51</v>
      </c>
      <c r="J107" s="5" t="s">
        <v>208</v>
      </c>
      <c r="K107" s="5" t="s">
        <v>61</v>
      </c>
      <c r="L107" s="5" t="s">
        <v>64</v>
      </c>
      <c r="M107" s="5" t="s">
        <v>48</v>
      </c>
      <c r="N107" s="5" t="s">
        <v>54</v>
      </c>
      <c r="O107" s="5" t="s">
        <v>47</v>
      </c>
      <c r="P107" s="5" t="s">
        <v>67</v>
      </c>
      <c r="Q107" s="5" t="s">
        <v>58</v>
      </c>
      <c r="R107" s="1">
        <v>7</v>
      </c>
      <c r="S107" s="1">
        <v>35</v>
      </c>
      <c r="T107" s="1">
        <v>46</v>
      </c>
      <c r="Y107">
        <f t="shared" si="11"/>
        <v>105</v>
      </c>
      <c r="Z107">
        <f t="shared" si="10"/>
        <v>0</v>
      </c>
    </row>
    <row r="108" spans="1:26" x14ac:dyDescent="0.3">
      <c r="A108" s="3">
        <v>93</v>
      </c>
      <c r="B108" s="4"/>
      <c r="C108" s="6" t="s">
        <v>187</v>
      </c>
      <c r="D108" s="5"/>
      <c r="E108" s="5" t="s">
        <v>207</v>
      </c>
      <c r="F108" s="5" t="s">
        <v>50</v>
      </c>
      <c r="G108" s="5" t="s">
        <v>52</v>
      </c>
      <c r="H108" s="5" t="s">
        <v>75</v>
      </c>
      <c r="I108" s="5" t="s">
        <v>51</v>
      </c>
      <c r="J108" s="5" t="s">
        <v>208</v>
      </c>
      <c r="K108" s="5" t="s">
        <v>53</v>
      </c>
      <c r="L108" s="5" t="s">
        <v>66</v>
      </c>
      <c r="M108" s="5" t="s">
        <v>48</v>
      </c>
      <c r="N108" s="5" t="s">
        <v>209</v>
      </c>
      <c r="O108" s="5" t="s">
        <v>47</v>
      </c>
      <c r="P108" s="5" t="s">
        <v>67</v>
      </c>
      <c r="Q108" s="5" t="s">
        <v>210</v>
      </c>
      <c r="R108" s="1">
        <v>7</v>
      </c>
      <c r="S108" s="1">
        <v>34</v>
      </c>
      <c r="T108" s="1">
        <v>47</v>
      </c>
      <c r="Y108">
        <f t="shared" si="11"/>
        <v>106</v>
      </c>
      <c r="Z108">
        <f t="shared" si="10"/>
        <v>0</v>
      </c>
    </row>
    <row r="109" spans="1:26" ht="28.8" x14ac:dyDescent="0.3">
      <c r="A109" s="3">
        <v>94</v>
      </c>
      <c r="B109" s="4"/>
      <c r="C109" s="6" t="s">
        <v>192</v>
      </c>
      <c r="D109" s="5"/>
      <c r="E109" s="5" t="s">
        <v>207</v>
      </c>
      <c r="F109" s="5" t="s">
        <v>68</v>
      </c>
      <c r="G109" s="5" t="s">
        <v>73</v>
      </c>
      <c r="H109" s="5" t="s">
        <v>57</v>
      </c>
      <c r="I109" s="5" t="s">
        <v>51</v>
      </c>
      <c r="J109" s="5" t="s">
        <v>56</v>
      </c>
      <c r="K109" s="5" t="s">
        <v>53</v>
      </c>
      <c r="L109" s="5" t="s">
        <v>66</v>
      </c>
      <c r="M109" s="5" t="s">
        <v>48</v>
      </c>
      <c r="N109" s="5" t="s">
        <v>209</v>
      </c>
      <c r="O109" s="5" t="s">
        <v>72</v>
      </c>
      <c r="P109" s="5" t="s">
        <v>70</v>
      </c>
      <c r="Q109" s="5" t="s">
        <v>210</v>
      </c>
      <c r="R109" s="1">
        <v>7</v>
      </c>
      <c r="S109" s="1">
        <v>36</v>
      </c>
      <c r="T109" s="1">
        <v>30</v>
      </c>
      <c r="Y109">
        <f t="shared" si="11"/>
        <v>107</v>
      </c>
      <c r="Z109">
        <f t="shared" si="10"/>
        <v>0</v>
      </c>
    </row>
    <row r="110" spans="1:26" x14ac:dyDescent="0.3">
      <c r="A110" s="3">
        <v>95</v>
      </c>
      <c r="B110" s="4"/>
      <c r="C110" s="6" t="s">
        <v>85</v>
      </c>
      <c r="D110" s="5"/>
      <c r="E110" s="5" t="s">
        <v>207</v>
      </c>
      <c r="F110" s="5" t="s">
        <v>68</v>
      </c>
      <c r="G110" s="5" t="s">
        <v>52</v>
      </c>
      <c r="H110" s="5" t="s">
        <v>57</v>
      </c>
      <c r="I110" s="5" t="s">
        <v>63</v>
      </c>
      <c r="J110" s="5" t="s">
        <v>56</v>
      </c>
      <c r="K110" s="5" t="s">
        <v>53</v>
      </c>
      <c r="L110" s="5" t="s">
        <v>66</v>
      </c>
      <c r="M110" s="5" t="s">
        <v>55</v>
      </c>
      <c r="N110" s="5" t="s">
        <v>209</v>
      </c>
      <c r="O110" s="5" t="s">
        <v>72</v>
      </c>
      <c r="P110" s="5" t="s">
        <v>70</v>
      </c>
      <c r="Q110" s="5" t="s">
        <v>58</v>
      </c>
      <c r="R110" s="1">
        <v>7</v>
      </c>
      <c r="S110" s="1">
        <v>42</v>
      </c>
      <c r="T110" s="1">
        <v>48</v>
      </c>
      <c r="Y110">
        <f t="shared" si="11"/>
        <v>108</v>
      </c>
      <c r="Z110">
        <f t="shared" si="10"/>
        <v>0</v>
      </c>
    </row>
    <row r="111" spans="1:26" ht="28.8" x14ac:dyDescent="0.3">
      <c r="A111" s="3">
        <v>96</v>
      </c>
      <c r="B111" s="4"/>
      <c r="C111" s="6" t="s">
        <v>197</v>
      </c>
      <c r="D111" s="5"/>
      <c r="E111" s="5" t="s">
        <v>207</v>
      </c>
      <c r="F111" s="5" t="s">
        <v>68</v>
      </c>
      <c r="G111" s="5" t="s">
        <v>52</v>
      </c>
      <c r="H111" s="5" t="s">
        <v>75</v>
      </c>
      <c r="I111" s="5" t="s">
        <v>51</v>
      </c>
      <c r="J111" s="5" t="s">
        <v>208</v>
      </c>
      <c r="K111" s="5" t="s">
        <v>61</v>
      </c>
      <c r="L111" s="5" t="s">
        <v>64</v>
      </c>
      <c r="M111" s="5" t="s">
        <v>48</v>
      </c>
      <c r="N111" s="5" t="s">
        <v>54</v>
      </c>
      <c r="O111" s="5" t="s">
        <v>72</v>
      </c>
      <c r="P111" s="5" t="s">
        <v>67</v>
      </c>
      <c r="Q111" s="5" t="s">
        <v>58</v>
      </c>
      <c r="R111" s="1">
        <v>7</v>
      </c>
      <c r="S111" s="1">
        <v>32</v>
      </c>
      <c r="T111" s="1">
        <v>48</v>
      </c>
      <c r="Y111">
        <f t="shared" si="11"/>
        <v>109</v>
      </c>
      <c r="Z111">
        <f t="shared" si="10"/>
        <v>0</v>
      </c>
    </row>
    <row r="112" spans="1:26" x14ac:dyDescent="0.3">
      <c r="A112" s="3">
        <v>97</v>
      </c>
      <c r="B112" s="4"/>
      <c r="C112" s="6" t="s">
        <v>101</v>
      </c>
      <c r="D112" s="5"/>
      <c r="E112" s="5" t="s">
        <v>207</v>
      </c>
      <c r="F112" s="5" t="s">
        <v>68</v>
      </c>
      <c r="G112" s="5" t="s">
        <v>52</v>
      </c>
      <c r="H112" s="5" t="s">
        <v>57</v>
      </c>
      <c r="I112" s="5" t="s">
        <v>63</v>
      </c>
      <c r="J112" s="5" t="s">
        <v>56</v>
      </c>
      <c r="K112" s="5" t="s">
        <v>53</v>
      </c>
      <c r="L112" s="5" t="s">
        <v>64</v>
      </c>
      <c r="M112" s="5" t="s">
        <v>55</v>
      </c>
      <c r="N112" s="5" t="s">
        <v>209</v>
      </c>
      <c r="O112" s="5" t="s">
        <v>72</v>
      </c>
      <c r="P112" s="5" t="s">
        <v>67</v>
      </c>
      <c r="Q112" s="5" t="s">
        <v>58</v>
      </c>
      <c r="R112" s="1">
        <v>7</v>
      </c>
      <c r="S112" s="1">
        <v>37</v>
      </c>
      <c r="T112" s="1">
        <v>48</v>
      </c>
      <c r="Y112">
        <f t="shared" si="11"/>
        <v>110</v>
      </c>
      <c r="Z112">
        <f t="shared" si="10"/>
        <v>0</v>
      </c>
    </row>
    <row r="113" spans="1:26" ht="28.8" x14ac:dyDescent="0.3">
      <c r="A113" s="3">
        <v>98</v>
      </c>
      <c r="B113" s="4"/>
      <c r="C113" s="6" t="s">
        <v>17</v>
      </c>
      <c r="D113" s="5"/>
      <c r="E113" s="5" t="s">
        <v>207</v>
      </c>
      <c r="F113" s="5" t="s">
        <v>50</v>
      </c>
      <c r="G113" s="5" t="s">
        <v>73</v>
      </c>
      <c r="H113" s="5" t="s">
        <v>75</v>
      </c>
      <c r="I113" s="5" t="s">
        <v>51</v>
      </c>
      <c r="J113" s="5" t="s">
        <v>56</v>
      </c>
      <c r="K113" s="5" t="s">
        <v>61</v>
      </c>
      <c r="L113" s="5" t="s">
        <v>64</v>
      </c>
      <c r="M113" s="5" t="s">
        <v>48</v>
      </c>
      <c r="N113" s="5" t="s">
        <v>209</v>
      </c>
      <c r="O113" s="5" t="s">
        <v>72</v>
      </c>
      <c r="P113" s="5" t="s">
        <v>70</v>
      </c>
      <c r="Q113" s="5" t="s">
        <v>210</v>
      </c>
      <c r="R113" s="1">
        <v>7</v>
      </c>
      <c r="S113" s="1">
        <v>42</v>
      </c>
      <c r="T113" s="1">
        <v>50</v>
      </c>
      <c r="Y113">
        <f t="shared" si="11"/>
        <v>111</v>
      </c>
      <c r="Z113">
        <f t="shared" si="10"/>
        <v>0</v>
      </c>
    </row>
    <row r="114" spans="1:26" x14ac:dyDescent="0.3">
      <c r="A114" s="3">
        <v>99</v>
      </c>
      <c r="B114" s="4"/>
      <c r="C114" s="6" t="s">
        <v>128</v>
      </c>
      <c r="D114" s="5"/>
      <c r="E114" s="5" t="s">
        <v>207</v>
      </c>
      <c r="F114" s="5" t="s">
        <v>50</v>
      </c>
      <c r="G114" s="5" t="s">
        <v>52</v>
      </c>
      <c r="H114" s="5" t="s">
        <v>75</v>
      </c>
      <c r="I114" s="5" t="s">
        <v>63</v>
      </c>
      <c r="J114" s="5" t="s">
        <v>56</v>
      </c>
      <c r="K114" s="5" t="s">
        <v>53</v>
      </c>
      <c r="L114" s="5" t="s">
        <v>66</v>
      </c>
      <c r="M114" s="5" t="s">
        <v>48</v>
      </c>
      <c r="N114" s="5" t="s">
        <v>209</v>
      </c>
      <c r="O114" s="5" t="s">
        <v>72</v>
      </c>
      <c r="P114" s="5" t="s">
        <v>70</v>
      </c>
      <c r="Q114" s="5" t="s">
        <v>210</v>
      </c>
      <c r="R114" s="1">
        <v>7</v>
      </c>
      <c r="S114" s="1">
        <v>35</v>
      </c>
      <c r="T114" s="1">
        <v>50</v>
      </c>
      <c r="Y114">
        <f t="shared" si="11"/>
        <v>112</v>
      </c>
      <c r="Z114">
        <f t="shared" si="10"/>
        <v>0</v>
      </c>
    </row>
    <row r="115" spans="1:26" x14ac:dyDescent="0.3">
      <c r="A115" s="3">
        <v>100</v>
      </c>
      <c r="B115" s="4"/>
      <c r="C115" s="6" t="s">
        <v>178</v>
      </c>
      <c r="D115" s="5"/>
      <c r="E115" s="5" t="s">
        <v>207</v>
      </c>
      <c r="F115" s="5" t="s">
        <v>50</v>
      </c>
      <c r="G115" s="5" t="s">
        <v>73</v>
      </c>
      <c r="H115" s="5" t="s">
        <v>57</v>
      </c>
      <c r="I115" s="5" t="s">
        <v>51</v>
      </c>
      <c r="J115" s="5" t="s">
        <v>56</v>
      </c>
      <c r="K115" s="5" t="s">
        <v>53</v>
      </c>
      <c r="L115" s="5" t="s">
        <v>64</v>
      </c>
      <c r="M115" s="5" t="s">
        <v>48</v>
      </c>
      <c r="N115" s="5" t="s">
        <v>209</v>
      </c>
      <c r="O115" s="5" t="s">
        <v>47</v>
      </c>
      <c r="P115" s="5" t="s">
        <v>67</v>
      </c>
      <c r="Q115" s="5" t="s">
        <v>210</v>
      </c>
      <c r="R115" s="1">
        <v>7</v>
      </c>
      <c r="S115" s="1">
        <v>37</v>
      </c>
      <c r="T115" s="1">
        <v>50</v>
      </c>
      <c r="Y115">
        <f t="shared" si="11"/>
        <v>113</v>
      </c>
      <c r="Z115">
        <f t="shared" si="10"/>
        <v>0</v>
      </c>
    </row>
    <row r="116" spans="1:26" ht="43.2" x14ac:dyDescent="0.3">
      <c r="A116" s="3">
        <v>101</v>
      </c>
      <c r="B116" s="4"/>
      <c r="C116" s="6" t="s">
        <v>171</v>
      </c>
      <c r="D116" s="5"/>
      <c r="E116" s="5" t="s">
        <v>74</v>
      </c>
      <c r="F116" s="5" t="s">
        <v>50</v>
      </c>
      <c r="G116" s="5" t="s">
        <v>73</v>
      </c>
      <c r="H116" s="5" t="s">
        <v>75</v>
      </c>
      <c r="I116" s="5" t="s">
        <v>51</v>
      </c>
      <c r="J116" s="5" t="s">
        <v>56</v>
      </c>
      <c r="K116" s="5" t="s">
        <v>53</v>
      </c>
      <c r="L116" s="5" t="s">
        <v>66</v>
      </c>
      <c r="M116" s="5" t="s">
        <v>55</v>
      </c>
      <c r="N116" s="5" t="s">
        <v>54</v>
      </c>
      <c r="O116" s="5" t="s">
        <v>47</v>
      </c>
      <c r="P116" s="5" t="s">
        <v>70</v>
      </c>
      <c r="Q116" s="5" t="s">
        <v>210</v>
      </c>
      <c r="R116" s="1">
        <v>7</v>
      </c>
      <c r="S116" s="1">
        <v>35</v>
      </c>
      <c r="T116" s="1">
        <v>51</v>
      </c>
      <c r="Y116">
        <f t="shared" si="11"/>
        <v>114</v>
      </c>
      <c r="Z116">
        <f t="shared" si="10"/>
        <v>0</v>
      </c>
    </row>
    <row r="117" spans="1:26" ht="28.8" x14ac:dyDescent="0.3">
      <c r="A117" s="3">
        <v>102</v>
      </c>
      <c r="B117" s="4"/>
      <c r="C117" s="6" t="s">
        <v>6</v>
      </c>
      <c r="D117" s="5"/>
      <c r="E117" s="5" t="s">
        <v>207</v>
      </c>
      <c r="F117" s="5" t="s">
        <v>50</v>
      </c>
      <c r="G117" s="5" t="s">
        <v>52</v>
      </c>
      <c r="H117" s="5" t="s">
        <v>57</v>
      </c>
      <c r="I117" s="5" t="s">
        <v>63</v>
      </c>
      <c r="J117" s="5" t="s">
        <v>56</v>
      </c>
      <c r="K117" s="5" t="s">
        <v>53</v>
      </c>
      <c r="L117" s="5" t="s">
        <v>64</v>
      </c>
      <c r="M117" s="5" t="s">
        <v>48</v>
      </c>
      <c r="N117" s="5" t="s">
        <v>209</v>
      </c>
      <c r="O117" s="5" t="s">
        <v>47</v>
      </c>
      <c r="P117" s="5" t="s">
        <v>67</v>
      </c>
      <c r="Q117" s="5" t="s">
        <v>210</v>
      </c>
      <c r="R117" s="1">
        <v>7</v>
      </c>
      <c r="S117" s="1">
        <v>35</v>
      </c>
      <c r="T117" s="1">
        <v>27</v>
      </c>
      <c r="Y117">
        <f t="shared" si="11"/>
        <v>115</v>
      </c>
      <c r="Z117">
        <f t="shared" si="10"/>
        <v>0</v>
      </c>
    </row>
    <row r="118" spans="1:26" ht="28.8" x14ac:dyDescent="0.3">
      <c r="A118" s="3">
        <v>103</v>
      </c>
      <c r="B118" s="4"/>
      <c r="C118" s="6" t="s">
        <v>184</v>
      </c>
      <c r="D118" s="5"/>
      <c r="E118" s="5" t="s">
        <v>207</v>
      </c>
      <c r="F118" s="5" t="s">
        <v>68</v>
      </c>
      <c r="G118" s="5" t="s">
        <v>73</v>
      </c>
      <c r="H118" s="5" t="s">
        <v>57</v>
      </c>
      <c r="I118" s="5" t="s">
        <v>51</v>
      </c>
      <c r="J118" s="5" t="s">
        <v>208</v>
      </c>
      <c r="K118" s="5" t="s">
        <v>61</v>
      </c>
      <c r="L118" s="5" t="s">
        <v>64</v>
      </c>
      <c r="M118" s="5" t="s">
        <v>55</v>
      </c>
      <c r="N118" s="5" t="s">
        <v>209</v>
      </c>
      <c r="O118" s="5" t="s">
        <v>47</v>
      </c>
      <c r="P118" s="5" t="s">
        <v>67</v>
      </c>
      <c r="Q118" s="5" t="s">
        <v>210</v>
      </c>
      <c r="R118" s="1">
        <v>7</v>
      </c>
      <c r="S118" s="1">
        <v>37</v>
      </c>
      <c r="T118" s="1">
        <v>51</v>
      </c>
      <c r="Y118">
        <f t="shared" si="11"/>
        <v>116</v>
      </c>
      <c r="Z118">
        <f t="shared" si="10"/>
        <v>0</v>
      </c>
    </row>
    <row r="119" spans="1:26" x14ac:dyDescent="0.3">
      <c r="A119" s="3">
        <v>104</v>
      </c>
      <c r="B119" s="4"/>
      <c r="C119" s="6" t="s">
        <v>189</v>
      </c>
      <c r="D119" s="5"/>
      <c r="E119" s="5" t="s">
        <v>207</v>
      </c>
      <c r="F119" s="5" t="s">
        <v>68</v>
      </c>
      <c r="G119" s="5" t="s">
        <v>73</v>
      </c>
      <c r="H119" s="5" t="s">
        <v>75</v>
      </c>
      <c r="I119" s="5" t="s">
        <v>51</v>
      </c>
      <c r="J119" s="5" t="s">
        <v>208</v>
      </c>
      <c r="K119" s="5" t="s">
        <v>53</v>
      </c>
      <c r="L119" s="5" t="s">
        <v>64</v>
      </c>
      <c r="M119" s="5" t="s">
        <v>55</v>
      </c>
      <c r="N119" s="5" t="s">
        <v>209</v>
      </c>
      <c r="O119" s="5" t="s">
        <v>47</v>
      </c>
      <c r="P119" s="5" t="s">
        <v>70</v>
      </c>
      <c r="Q119" s="5" t="s">
        <v>58</v>
      </c>
      <c r="R119" s="1">
        <v>7</v>
      </c>
      <c r="S119" s="1">
        <v>38</v>
      </c>
      <c r="T119" s="1">
        <v>52</v>
      </c>
      <c r="Y119">
        <f t="shared" si="11"/>
        <v>117</v>
      </c>
      <c r="Z119">
        <f t="shared" si="10"/>
        <v>0</v>
      </c>
    </row>
    <row r="120" spans="1:26" ht="28.8" x14ac:dyDescent="0.3">
      <c r="A120" s="3">
        <v>105</v>
      </c>
      <c r="B120" s="4"/>
      <c r="C120" s="6" t="s">
        <v>116</v>
      </c>
      <c r="D120" s="5"/>
      <c r="E120" s="5" t="s">
        <v>207</v>
      </c>
      <c r="F120" s="5" t="s">
        <v>50</v>
      </c>
      <c r="G120" s="5" t="s">
        <v>52</v>
      </c>
      <c r="H120" s="5" t="s">
        <v>75</v>
      </c>
      <c r="I120" s="5" t="s">
        <v>63</v>
      </c>
      <c r="J120" s="5" t="s">
        <v>56</v>
      </c>
      <c r="K120" s="5" t="s">
        <v>53</v>
      </c>
      <c r="L120" s="5" t="s">
        <v>64</v>
      </c>
      <c r="M120" s="5" t="s">
        <v>55</v>
      </c>
      <c r="N120" s="5" t="s">
        <v>54</v>
      </c>
      <c r="O120" s="5" t="s">
        <v>47</v>
      </c>
      <c r="P120" s="5" t="s">
        <v>67</v>
      </c>
      <c r="Q120" s="5" t="s">
        <v>58</v>
      </c>
      <c r="R120" s="1">
        <v>7</v>
      </c>
      <c r="S120" s="1">
        <v>32</v>
      </c>
      <c r="T120" s="1">
        <v>52</v>
      </c>
      <c r="Y120">
        <f t="shared" si="11"/>
        <v>118</v>
      </c>
      <c r="Z120">
        <f t="shared" si="10"/>
        <v>0</v>
      </c>
    </row>
    <row r="121" spans="1:26" x14ac:dyDescent="0.3">
      <c r="A121" s="3">
        <v>106</v>
      </c>
      <c r="B121" s="4"/>
      <c r="C121" s="6" t="s">
        <v>105</v>
      </c>
      <c r="D121" s="5"/>
      <c r="E121" s="5" t="s">
        <v>74</v>
      </c>
      <c r="F121" s="5" t="s">
        <v>50</v>
      </c>
      <c r="G121" s="5" t="s">
        <v>73</v>
      </c>
      <c r="H121" s="5" t="s">
        <v>57</v>
      </c>
      <c r="I121" s="5" t="s">
        <v>51</v>
      </c>
      <c r="J121" s="5" t="s">
        <v>56</v>
      </c>
      <c r="K121" s="5" t="s">
        <v>53</v>
      </c>
      <c r="L121" s="5" t="s">
        <v>66</v>
      </c>
      <c r="M121" s="5" t="s">
        <v>48</v>
      </c>
      <c r="N121" s="5" t="s">
        <v>54</v>
      </c>
      <c r="O121" s="5" t="s">
        <v>47</v>
      </c>
      <c r="P121" s="5" t="s">
        <v>70</v>
      </c>
      <c r="Q121" s="5" t="s">
        <v>210</v>
      </c>
      <c r="R121" s="1">
        <v>7</v>
      </c>
      <c r="S121" s="1">
        <v>33</v>
      </c>
      <c r="T121" s="1">
        <v>52</v>
      </c>
    </row>
    <row r="122" spans="1:26" x14ac:dyDescent="0.3">
      <c r="A122" s="3">
        <v>107</v>
      </c>
      <c r="B122" s="4"/>
      <c r="C122" s="6" t="s">
        <v>98</v>
      </c>
      <c r="D122" s="5"/>
      <c r="E122" s="5" t="s">
        <v>207</v>
      </c>
      <c r="F122" s="5" t="s">
        <v>50</v>
      </c>
      <c r="G122" s="5" t="s">
        <v>52</v>
      </c>
      <c r="H122" s="5" t="s">
        <v>57</v>
      </c>
      <c r="I122" s="5" t="s">
        <v>51</v>
      </c>
      <c r="J122" s="5" t="s">
        <v>56</v>
      </c>
      <c r="K122" s="5" t="s">
        <v>53</v>
      </c>
      <c r="L122" s="5" t="s">
        <v>64</v>
      </c>
      <c r="M122" s="5" t="s">
        <v>48</v>
      </c>
      <c r="N122" s="5" t="s">
        <v>209</v>
      </c>
      <c r="O122" s="5" t="s">
        <v>47</v>
      </c>
      <c r="P122" s="5" t="s">
        <v>67</v>
      </c>
      <c r="Q122" s="5" t="s">
        <v>58</v>
      </c>
      <c r="R122" s="1">
        <v>7</v>
      </c>
      <c r="S122" s="1">
        <v>39</v>
      </c>
      <c r="T122" s="1">
        <v>55</v>
      </c>
    </row>
    <row r="123" spans="1:26" x14ac:dyDescent="0.3">
      <c r="A123" s="3">
        <v>108</v>
      </c>
      <c r="B123" s="4"/>
      <c r="C123" s="6" t="s">
        <v>180</v>
      </c>
      <c r="D123" s="5"/>
      <c r="E123" s="5" t="s">
        <v>74</v>
      </c>
      <c r="F123" s="5" t="s">
        <v>50</v>
      </c>
      <c r="G123" s="5" t="s">
        <v>52</v>
      </c>
      <c r="H123" s="5" t="s">
        <v>75</v>
      </c>
      <c r="I123" s="5" t="s">
        <v>51</v>
      </c>
      <c r="J123" s="5" t="s">
        <v>56</v>
      </c>
      <c r="K123" s="5" t="s">
        <v>61</v>
      </c>
      <c r="L123" s="5" t="s">
        <v>64</v>
      </c>
      <c r="M123" s="5" t="s">
        <v>48</v>
      </c>
      <c r="N123" s="5" t="s">
        <v>54</v>
      </c>
      <c r="O123" s="5" t="s">
        <v>47</v>
      </c>
      <c r="P123" s="5" t="s">
        <v>70</v>
      </c>
      <c r="Q123" s="5" t="s">
        <v>210</v>
      </c>
      <c r="R123" s="1">
        <v>7</v>
      </c>
      <c r="S123" s="1">
        <v>33</v>
      </c>
      <c r="T123" s="1">
        <v>56</v>
      </c>
    </row>
    <row r="124" spans="1:26" x14ac:dyDescent="0.3">
      <c r="A124" s="3">
        <v>109</v>
      </c>
      <c r="B124" s="4"/>
      <c r="C124" s="6" t="s">
        <v>111</v>
      </c>
      <c r="D124" s="5"/>
      <c r="E124" s="5" t="s">
        <v>74</v>
      </c>
      <c r="F124" s="5" t="s">
        <v>50</v>
      </c>
      <c r="G124" s="5" t="s">
        <v>52</v>
      </c>
      <c r="H124" s="5" t="s">
        <v>57</v>
      </c>
      <c r="I124" s="5" t="s">
        <v>51</v>
      </c>
      <c r="J124" s="5" t="s">
        <v>208</v>
      </c>
      <c r="K124" s="5" t="s">
        <v>61</v>
      </c>
      <c r="L124" s="5" t="s">
        <v>66</v>
      </c>
      <c r="M124" s="5" t="s">
        <v>55</v>
      </c>
      <c r="N124" s="5" t="s">
        <v>209</v>
      </c>
      <c r="O124" s="5" t="s">
        <v>47</v>
      </c>
      <c r="P124" s="5" t="s">
        <v>67</v>
      </c>
      <c r="Q124" s="5" t="s">
        <v>210</v>
      </c>
      <c r="R124" s="1">
        <v>7</v>
      </c>
      <c r="S124" s="1">
        <v>36</v>
      </c>
      <c r="T124" s="1">
        <v>20</v>
      </c>
    </row>
    <row r="125" spans="1:26" ht="28.8" x14ac:dyDescent="0.3">
      <c r="A125" s="3">
        <v>110</v>
      </c>
      <c r="B125" s="4"/>
      <c r="C125" s="6" t="s">
        <v>134</v>
      </c>
      <c r="D125" s="5"/>
      <c r="E125" s="5" t="s">
        <v>74</v>
      </c>
      <c r="F125" s="5" t="s">
        <v>50</v>
      </c>
      <c r="G125" s="5" t="s">
        <v>52</v>
      </c>
      <c r="H125" s="5" t="s">
        <v>57</v>
      </c>
      <c r="I125" s="5" t="s">
        <v>63</v>
      </c>
      <c r="J125" s="5" t="s">
        <v>56</v>
      </c>
      <c r="K125" s="5" t="s">
        <v>61</v>
      </c>
      <c r="L125" s="5" t="s">
        <v>64</v>
      </c>
      <c r="M125" s="5" t="s">
        <v>55</v>
      </c>
      <c r="N125" s="5" t="s">
        <v>209</v>
      </c>
      <c r="O125" s="5" t="s">
        <v>72</v>
      </c>
      <c r="P125" s="5" t="s">
        <v>67</v>
      </c>
      <c r="Q125" s="5" t="s">
        <v>58</v>
      </c>
      <c r="R125" s="1">
        <v>6</v>
      </c>
      <c r="S125" s="1">
        <v>33</v>
      </c>
      <c r="T125" s="1">
        <v>37</v>
      </c>
    </row>
    <row r="126" spans="1:26" ht="28.8" x14ac:dyDescent="0.3">
      <c r="A126" s="3">
        <v>111</v>
      </c>
      <c r="B126" s="4"/>
      <c r="C126" s="6" t="s">
        <v>103</v>
      </c>
      <c r="D126" s="5"/>
      <c r="E126" s="5" t="s">
        <v>207</v>
      </c>
      <c r="F126" s="5" t="s">
        <v>68</v>
      </c>
      <c r="G126" s="5" t="s">
        <v>52</v>
      </c>
      <c r="H126" s="5" t="s">
        <v>75</v>
      </c>
      <c r="I126" s="5" t="s">
        <v>63</v>
      </c>
      <c r="J126" s="5" t="s">
        <v>56</v>
      </c>
      <c r="K126" s="5" t="s">
        <v>53</v>
      </c>
      <c r="L126" s="5" t="s">
        <v>64</v>
      </c>
      <c r="M126" s="5" t="s">
        <v>55</v>
      </c>
      <c r="N126" s="5" t="s">
        <v>54</v>
      </c>
      <c r="O126" s="5" t="s">
        <v>47</v>
      </c>
      <c r="P126" s="5" t="s">
        <v>67</v>
      </c>
      <c r="Q126" s="5" t="s">
        <v>58</v>
      </c>
      <c r="R126" s="1">
        <v>6</v>
      </c>
      <c r="S126" s="1">
        <v>34</v>
      </c>
      <c r="T126" s="1">
        <v>37</v>
      </c>
    </row>
    <row r="127" spans="1:26" ht="28.8" x14ac:dyDescent="0.3">
      <c r="A127" s="3">
        <v>112</v>
      </c>
      <c r="B127" s="4"/>
      <c r="C127" s="6" t="s">
        <v>164</v>
      </c>
      <c r="D127" s="5"/>
      <c r="E127" s="5" t="s">
        <v>74</v>
      </c>
      <c r="F127" s="5" t="s">
        <v>68</v>
      </c>
      <c r="G127" s="5" t="s">
        <v>52</v>
      </c>
      <c r="H127" s="5" t="s">
        <v>57</v>
      </c>
      <c r="I127" s="5" t="s">
        <v>63</v>
      </c>
      <c r="J127" s="5" t="s">
        <v>56</v>
      </c>
      <c r="K127" s="5" t="s">
        <v>61</v>
      </c>
      <c r="L127" s="5" t="s">
        <v>66</v>
      </c>
      <c r="M127" s="5" t="s">
        <v>55</v>
      </c>
      <c r="N127" s="5" t="s">
        <v>54</v>
      </c>
      <c r="O127" s="5" t="s">
        <v>47</v>
      </c>
      <c r="P127" s="5" t="s">
        <v>70</v>
      </c>
      <c r="Q127" s="5" t="s">
        <v>210</v>
      </c>
      <c r="R127" s="1">
        <v>6</v>
      </c>
      <c r="S127" s="1">
        <v>32</v>
      </c>
      <c r="T127" s="1">
        <v>41</v>
      </c>
    </row>
    <row r="128" spans="1:26" x14ac:dyDescent="0.3">
      <c r="A128" s="3">
        <v>113</v>
      </c>
      <c r="B128" s="4"/>
      <c r="C128" s="6" t="s">
        <v>82</v>
      </c>
      <c r="D128" s="5"/>
      <c r="E128" s="5" t="s">
        <v>207</v>
      </c>
      <c r="F128" s="5" t="s">
        <v>50</v>
      </c>
      <c r="G128" s="5" t="s">
        <v>52</v>
      </c>
      <c r="H128" s="5" t="s">
        <v>75</v>
      </c>
      <c r="I128" s="5" t="s">
        <v>63</v>
      </c>
      <c r="J128" s="5" t="s">
        <v>56</v>
      </c>
      <c r="K128" s="5" t="s">
        <v>53</v>
      </c>
      <c r="L128" s="5" t="s">
        <v>64</v>
      </c>
      <c r="M128" s="5" t="s">
        <v>48</v>
      </c>
      <c r="N128" s="5" t="s">
        <v>209</v>
      </c>
      <c r="O128" s="5" t="s">
        <v>47</v>
      </c>
      <c r="P128" s="5" t="s">
        <v>67</v>
      </c>
      <c r="Q128" s="5" t="s">
        <v>210</v>
      </c>
      <c r="R128" s="1">
        <v>6</v>
      </c>
      <c r="S128" s="1">
        <v>35</v>
      </c>
      <c r="T128" s="1">
        <v>36</v>
      </c>
    </row>
    <row r="129" spans="1:20" ht="28.8" x14ac:dyDescent="0.3">
      <c r="A129" s="3">
        <v>114</v>
      </c>
      <c r="B129" s="4"/>
      <c r="C129" s="6" t="s">
        <v>182</v>
      </c>
      <c r="D129" s="5"/>
      <c r="E129" s="5" t="s">
        <v>74</v>
      </c>
      <c r="F129" s="5" t="s">
        <v>68</v>
      </c>
      <c r="G129" s="5" t="s">
        <v>52</v>
      </c>
      <c r="H129" s="5" t="s">
        <v>75</v>
      </c>
      <c r="I129" s="5" t="s">
        <v>51</v>
      </c>
      <c r="J129" s="5" t="s">
        <v>56</v>
      </c>
      <c r="K129" s="5" t="s">
        <v>53</v>
      </c>
      <c r="L129" s="5" t="s">
        <v>64</v>
      </c>
      <c r="M129" s="5" t="s">
        <v>48</v>
      </c>
      <c r="N129" s="5" t="s">
        <v>54</v>
      </c>
      <c r="O129" s="5" t="s">
        <v>47</v>
      </c>
      <c r="P129" s="5" t="s">
        <v>70</v>
      </c>
      <c r="Q129" s="5" t="s">
        <v>58</v>
      </c>
      <c r="R129" s="1">
        <v>6</v>
      </c>
      <c r="S129" s="1">
        <v>28</v>
      </c>
      <c r="T129" s="1">
        <v>43</v>
      </c>
    </row>
    <row r="130" spans="1:20" ht="28.8" x14ac:dyDescent="0.3">
      <c r="A130" s="3">
        <v>115</v>
      </c>
      <c r="B130" s="4"/>
      <c r="C130" s="6" t="s">
        <v>175</v>
      </c>
      <c r="D130" s="5"/>
      <c r="E130" s="5" t="s">
        <v>207</v>
      </c>
      <c r="F130" s="5" t="s">
        <v>50</v>
      </c>
      <c r="G130" s="5" t="s">
        <v>52</v>
      </c>
      <c r="H130" s="5" t="s">
        <v>75</v>
      </c>
      <c r="I130" s="5" t="s">
        <v>63</v>
      </c>
      <c r="J130" s="5" t="s">
        <v>56</v>
      </c>
      <c r="K130" s="5" t="s">
        <v>53</v>
      </c>
      <c r="L130" s="5" t="s">
        <v>66</v>
      </c>
      <c r="M130" s="5" t="s">
        <v>48</v>
      </c>
      <c r="N130" s="5" t="s">
        <v>54</v>
      </c>
      <c r="O130" s="5" t="s">
        <v>47</v>
      </c>
      <c r="P130" s="5" t="s">
        <v>70</v>
      </c>
      <c r="Q130" s="5" t="s">
        <v>58</v>
      </c>
      <c r="R130" s="1">
        <v>6</v>
      </c>
      <c r="S130" s="1">
        <v>24</v>
      </c>
      <c r="T130" s="1">
        <v>44</v>
      </c>
    </row>
    <row r="131" spans="1:20" ht="28.8" x14ac:dyDescent="0.3">
      <c r="A131" s="3">
        <v>116</v>
      </c>
      <c r="B131" s="4"/>
      <c r="C131" s="6" t="s">
        <v>170</v>
      </c>
      <c r="D131" s="5"/>
      <c r="E131" s="5" t="s">
        <v>207</v>
      </c>
      <c r="F131" s="5" t="s">
        <v>50</v>
      </c>
      <c r="G131" s="5" t="s">
        <v>52</v>
      </c>
      <c r="H131" s="5" t="s">
        <v>75</v>
      </c>
      <c r="I131" s="5" t="s">
        <v>63</v>
      </c>
      <c r="J131" s="5" t="s">
        <v>56</v>
      </c>
      <c r="K131" s="5" t="s">
        <v>61</v>
      </c>
      <c r="L131" s="5" t="s">
        <v>64</v>
      </c>
      <c r="M131" s="5" t="s">
        <v>48</v>
      </c>
      <c r="N131" s="5" t="s">
        <v>209</v>
      </c>
      <c r="O131" s="5" t="s">
        <v>47</v>
      </c>
      <c r="P131" s="5" t="s">
        <v>70</v>
      </c>
      <c r="Q131" s="5" t="s">
        <v>210</v>
      </c>
      <c r="R131" s="1">
        <v>6</v>
      </c>
      <c r="S131" s="1">
        <v>32</v>
      </c>
      <c r="T131" s="1">
        <v>44</v>
      </c>
    </row>
    <row r="132" spans="1:20" ht="28.8" x14ac:dyDescent="0.3">
      <c r="A132" s="3">
        <v>117</v>
      </c>
      <c r="B132" s="4"/>
      <c r="C132" s="6" t="s">
        <v>185</v>
      </c>
      <c r="D132" s="5"/>
      <c r="E132" s="5" t="s">
        <v>207</v>
      </c>
      <c r="F132" s="5" t="s">
        <v>68</v>
      </c>
      <c r="G132" s="5" t="s">
        <v>73</v>
      </c>
      <c r="H132" s="5" t="s">
        <v>57</v>
      </c>
      <c r="I132" s="5" t="s">
        <v>63</v>
      </c>
      <c r="J132" s="5" t="s">
        <v>56</v>
      </c>
      <c r="K132" s="5" t="s">
        <v>53</v>
      </c>
      <c r="L132" s="5" t="s">
        <v>64</v>
      </c>
      <c r="M132" s="5" t="s">
        <v>55</v>
      </c>
      <c r="N132" s="5" t="s">
        <v>209</v>
      </c>
      <c r="O132" s="5" t="s">
        <v>47</v>
      </c>
      <c r="P132" s="5" t="s">
        <v>70</v>
      </c>
      <c r="Q132" s="5" t="s">
        <v>58</v>
      </c>
      <c r="R132" s="1">
        <v>6</v>
      </c>
      <c r="S132" s="1">
        <v>32</v>
      </c>
      <c r="T132" s="1">
        <v>45</v>
      </c>
    </row>
    <row r="133" spans="1:20" ht="28.8" x14ac:dyDescent="0.3">
      <c r="A133" s="3">
        <v>118</v>
      </c>
      <c r="B133" s="4"/>
      <c r="C133" s="6" t="s">
        <v>34</v>
      </c>
      <c r="D133" s="5"/>
      <c r="E133" s="5" t="s">
        <v>207</v>
      </c>
      <c r="F133" s="5" t="s">
        <v>68</v>
      </c>
      <c r="G133" s="5" t="s">
        <v>52</v>
      </c>
      <c r="H133" s="5" t="s">
        <v>75</v>
      </c>
      <c r="I133" s="5" t="s">
        <v>51</v>
      </c>
      <c r="J133" s="5" t="s">
        <v>56</v>
      </c>
      <c r="K133" s="5" t="s">
        <v>53</v>
      </c>
      <c r="L133" s="5" t="s">
        <v>64</v>
      </c>
      <c r="M133" s="5" t="s">
        <v>48</v>
      </c>
      <c r="N133" s="5" t="s">
        <v>54</v>
      </c>
      <c r="O133" s="5" t="s">
        <v>47</v>
      </c>
      <c r="P133" s="5" t="s">
        <v>67</v>
      </c>
      <c r="Q133" s="5" t="s">
        <v>58</v>
      </c>
      <c r="R133" s="1">
        <v>6</v>
      </c>
      <c r="S133" s="1">
        <v>30</v>
      </c>
      <c r="T133" s="1">
        <v>46</v>
      </c>
    </row>
    <row r="134" spans="1:20" x14ac:dyDescent="0.3">
      <c r="A134" s="3">
        <v>119</v>
      </c>
      <c r="B134" s="4"/>
      <c r="C134" s="6" t="s">
        <v>97</v>
      </c>
      <c r="D134" s="5"/>
      <c r="E134" s="5" t="s">
        <v>207</v>
      </c>
      <c r="F134" s="5" t="s">
        <v>50</v>
      </c>
      <c r="G134" s="5" t="s">
        <v>73</v>
      </c>
      <c r="H134" s="5" t="s">
        <v>75</v>
      </c>
      <c r="I134" s="5" t="s">
        <v>51</v>
      </c>
      <c r="J134" s="5" t="s">
        <v>56</v>
      </c>
      <c r="K134" s="5" t="s">
        <v>53</v>
      </c>
      <c r="L134" s="5" t="s">
        <v>64</v>
      </c>
      <c r="M134" s="5" t="s">
        <v>48</v>
      </c>
      <c r="N134" s="5" t="s">
        <v>54</v>
      </c>
      <c r="O134" s="5" t="s">
        <v>47</v>
      </c>
      <c r="P134" s="5" t="s">
        <v>67</v>
      </c>
      <c r="Q134" s="5" t="s">
        <v>58</v>
      </c>
      <c r="R134" s="1">
        <v>6</v>
      </c>
      <c r="S134" s="1">
        <v>32</v>
      </c>
      <c r="T134" s="1">
        <v>47</v>
      </c>
    </row>
    <row r="135" spans="1:20" ht="28.8" x14ac:dyDescent="0.3">
      <c r="A135" s="3">
        <v>120</v>
      </c>
      <c r="B135" s="4"/>
      <c r="C135" s="6" t="s">
        <v>90</v>
      </c>
      <c r="D135" s="5"/>
      <c r="E135" s="5" t="s">
        <v>74</v>
      </c>
      <c r="F135" s="5" t="s">
        <v>68</v>
      </c>
      <c r="G135" s="5" t="s">
        <v>52</v>
      </c>
      <c r="H135" s="5" t="s">
        <v>75</v>
      </c>
      <c r="I135" s="5" t="s">
        <v>63</v>
      </c>
      <c r="J135" s="5" t="s">
        <v>56</v>
      </c>
      <c r="K135" s="5" t="s">
        <v>53</v>
      </c>
      <c r="L135" s="5" t="s">
        <v>64</v>
      </c>
      <c r="M135" s="5" t="s">
        <v>55</v>
      </c>
      <c r="N135" s="5" t="s">
        <v>54</v>
      </c>
      <c r="O135" s="5" t="s">
        <v>47</v>
      </c>
      <c r="P135" s="5" t="s">
        <v>67</v>
      </c>
      <c r="Q135" s="5" t="s">
        <v>210</v>
      </c>
      <c r="R135" s="1">
        <v>6</v>
      </c>
      <c r="S135" s="1">
        <v>38</v>
      </c>
      <c r="T135" s="1">
        <v>47</v>
      </c>
    </row>
    <row r="136" spans="1:20" ht="28.8" x14ac:dyDescent="0.3">
      <c r="A136" s="3">
        <v>121</v>
      </c>
      <c r="B136" s="4"/>
      <c r="C136" s="6" t="s">
        <v>165</v>
      </c>
      <c r="D136" s="5"/>
      <c r="E136" s="5" t="s">
        <v>74</v>
      </c>
      <c r="F136" s="5" t="s">
        <v>68</v>
      </c>
      <c r="G136" s="5" t="s">
        <v>52</v>
      </c>
      <c r="H136" s="5" t="s">
        <v>75</v>
      </c>
      <c r="I136" s="5" t="s">
        <v>63</v>
      </c>
      <c r="J136" s="5" t="s">
        <v>208</v>
      </c>
      <c r="K136" s="5" t="s">
        <v>61</v>
      </c>
      <c r="L136" s="5" t="s">
        <v>66</v>
      </c>
      <c r="M136" s="5" t="s">
        <v>55</v>
      </c>
      <c r="N136" s="5" t="s">
        <v>54</v>
      </c>
      <c r="O136" s="5" t="s">
        <v>72</v>
      </c>
      <c r="P136" s="5" t="s">
        <v>70</v>
      </c>
      <c r="Q136" s="5" t="s">
        <v>58</v>
      </c>
      <c r="R136" s="1">
        <v>6</v>
      </c>
      <c r="S136" s="1">
        <v>37</v>
      </c>
      <c r="T136" s="1">
        <v>48</v>
      </c>
    </row>
    <row r="137" spans="1:20" x14ac:dyDescent="0.3">
      <c r="A137" s="3">
        <v>122</v>
      </c>
      <c r="B137" s="4"/>
      <c r="C137" s="6" t="s">
        <v>14</v>
      </c>
      <c r="D137" s="5"/>
      <c r="E137" s="5" t="s">
        <v>207</v>
      </c>
      <c r="F137" s="5" t="s">
        <v>50</v>
      </c>
      <c r="G137" s="5" t="s">
        <v>52</v>
      </c>
      <c r="H137" s="5" t="s">
        <v>75</v>
      </c>
      <c r="I137" s="5" t="s">
        <v>63</v>
      </c>
      <c r="J137" s="5" t="s">
        <v>56</v>
      </c>
      <c r="K137" s="5" t="s">
        <v>53</v>
      </c>
      <c r="L137" s="5" t="s">
        <v>64</v>
      </c>
      <c r="M137" s="5" t="s">
        <v>48</v>
      </c>
      <c r="N137" s="5" t="s">
        <v>54</v>
      </c>
      <c r="O137" s="5" t="s">
        <v>47</v>
      </c>
      <c r="P137" s="5" t="s">
        <v>67</v>
      </c>
      <c r="Q137" s="5" t="s">
        <v>58</v>
      </c>
      <c r="R137" s="1">
        <v>6</v>
      </c>
      <c r="S137" s="1">
        <v>37</v>
      </c>
      <c r="T137" s="1">
        <v>48</v>
      </c>
    </row>
    <row r="138" spans="1:20" x14ac:dyDescent="0.3">
      <c r="A138" s="3">
        <v>123</v>
      </c>
      <c r="B138" s="4"/>
      <c r="C138" s="6" t="s">
        <v>138</v>
      </c>
      <c r="D138" s="5"/>
      <c r="E138" s="5" t="s">
        <v>207</v>
      </c>
      <c r="F138" s="5" t="s">
        <v>68</v>
      </c>
      <c r="G138" s="5" t="s">
        <v>52</v>
      </c>
      <c r="H138" s="5" t="s">
        <v>75</v>
      </c>
      <c r="I138" s="5" t="s">
        <v>51</v>
      </c>
      <c r="J138" s="5" t="s">
        <v>56</v>
      </c>
      <c r="K138" s="5" t="s">
        <v>61</v>
      </c>
      <c r="L138" s="5" t="s">
        <v>64</v>
      </c>
      <c r="M138" s="5" t="s">
        <v>48</v>
      </c>
      <c r="N138" s="5" t="s">
        <v>54</v>
      </c>
      <c r="O138" s="5" t="s">
        <v>47</v>
      </c>
      <c r="P138" s="5" t="s">
        <v>70</v>
      </c>
      <c r="Q138" s="5" t="s">
        <v>58</v>
      </c>
      <c r="R138" s="1">
        <v>6</v>
      </c>
      <c r="S138" s="1">
        <v>38</v>
      </c>
      <c r="T138" s="1">
        <v>48</v>
      </c>
    </row>
    <row r="139" spans="1:20" x14ac:dyDescent="0.3">
      <c r="A139" s="3">
        <v>124</v>
      </c>
      <c r="B139" s="4"/>
      <c r="C139" s="6" t="s">
        <v>84</v>
      </c>
      <c r="D139" s="5"/>
      <c r="E139" s="5" t="s">
        <v>74</v>
      </c>
      <c r="F139" s="5" t="s">
        <v>68</v>
      </c>
      <c r="G139" s="5" t="s">
        <v>73</v>
      </c>
      <c r="H139" s="5" t="s">
        <v>57</v>
      </c>
      <c r="I139" s="5" t="s">
        <v>51</v>
      </c>
      <c r="J139" s="5" t="s">
        <v>208</v>
      </c>
      <c r="K139" s="5" t="s">
        <v>53</v>
      </c>
      <c r="L139" s="5" t="s">
        <v>66</v>
      </c>
      <c r="M139" s="5" t="s">
        <v>48</v>
      </c>
      <c r="N139" s="5" t="s">
        <v>209</v>
      </c>
      <c r="O139" s="5" t="s">
        <v>47</v>
      </c>
      <c r="P139" s="5" t="s">
        <v>70</v>
      </c>
      <c r="Q139" s="5" t="s">
        <v>210</v>
      </c>
      <c r="R139" s="1">
        <v>6</v>
      </c>
      <c r="S139" s="1">
        <v>35</v>
      </c>
      <c r="T139" s="1">
        <v>49</v>
      </c>
    </row>
    <row r="140" spans="1:20" ht="28.8" x14ac:dyDescent="0.3">
      <c r="A140" s="3">
        <v>125</v>
      </c>
      <c r="B140" s="4"/>
      <c r="C140" s="6" t="s">
        <v>160</v>
      </c>
      <c r="D140" s="5"/>
      <c r="E140" s="5" t="s">
        <v>74</v>
      </c>
      <c r="F140" s="5" t="s">
        <v>68</v>
      </c>
      <c r="G140" s="5" t="s">
        <v>73</v>
      </c>
      <c r="H140" s="5" t="s">
        <v>75</v>
      </c>
      <c r="I140" s="5" t="s">
        <v>63</v>
      </c>
      <c r="J140" s="5" t="s">
        <v>208</v>
      </c>
      <c r="K140" s="5" t="s">
        <v>53</v>
      </c>
      <c r="L140" s="5" t="s">
        <v>64</v>
      </c>
      <c r="M140" s="5" t="s">
        <v>48</v>
      </c>
      <c r="N140" s="5" t="s">
        <v>54</v>
      </c>
      <c r="O140" s="5" t="s">
        <v>72</v>
      </c>
      <c r="P140" s="5" t="s">
        <v>70</v>
      </c>
      <c r="Q140" s="5" t="s">
        <v>58</v>
      </c>
      <c r="R140" s="1">
        <v>6</v>
      </c>
      <c r="S140" s="1">
        <v>26</v>
      </c>
      <c r="T140" s="1">
        <v>50</v>
      </c>
    </row>
    <row r="141" spans="1:20" ht="28.8" x14ac:dyDescent="0.3">
      <c r="A141" s="3">
        <v>126</v>
      </c>
      <c r="B141" s="4"/>
      <c r="C141" s="6" t="s">
        <v>114</v>
      </c>
      <c r="D141" s="5"/>
      <c r="E141" s="5" t="s">
        <v>207</v>
      </c>
      <c r="F141" s="5" t="s">
        <v>50</v>
      </c>
      <c r="G141" s="5" t="s">
        <v>52</v>
      </c>
      <c r="H141" s="5" t="s">
        <v>75</v>
      </c>
      <c r="I141" s="5" t="s">
        <v>51</v>
      </c>
      <c r="J141" s="5" t="s">
        <v>56</v>
      </c>
      <c r="K141" s="5" t="s">
        <v>61</v>
      </c>
      <c r="L141" s="5" t="s">
        <v>66</v>
      </c>
      <c r="M141" s="5" t="s">
        <v>48</v>
      </c>
      <c r="N141" s="5" t="s">
        <v>54</v>
      </c>
      <c r="O141" s="5" t="s">
        <v>47</v>
      </c>
      <c r="P141" s="5" t="s">
        <v>70</v>
      </c>
      <c r="Q141" s="5" t="s">
        <v>58</v>
      </c>
      <c r="R141" s="1">
        <v>6</v>
      </c>
      <c r="S141" s="1">
        <v>36</v>
      </c>
      <c r="T141" s="1">
        <v>51</v>
      </c>
    </row>
    <row r="142" spans="1:20" ht="28.8" x14ac:dyDescent="0.3">
      <c r="A142" s="3">
        <v>127</v>
      </c>
      <c r="B142" s="4"/>
      <c r="C142" s="6" t="s">
        <v>162</v>
      </c>
      <c r="D142" s="5"/>
      <c r="E142" s="5" t="s">
        <v>74</v>
      </c>
      <c r="F142" s="5" t="s">
        <v>68</v>
      </c>
      <c r="G142" s="5" t="s">
        <v>52</v>
      </c>
      <c r="H142" s="5" t="s">
        <v>75</v>
      </c>
      <c r="I142" s="5" t="s">
        <v>51</v>
      </c>
      <c r="J142" s="5" t="s">
        <v>56</v>
      </c>
      <c r="K142" s="5" t="s">
        <v>53</v>
      </c>
      <c r="L142" s="5" t="s">
        <v>66</v>
      </c>
      <c r="M142" s="5" t="s">
        <v>55</v>
      </c>
      <c r="N142" s="5" t="s">
        <v>54</v>
      </c>
      <c r="O142" s="5" t="s">
        <v>47</v>
      </c>
      <c r="P142" s="5" t="s">
        <v>70</v>
      </c>
      <c r="Q142" s="5" t="s">
        <v>58</v>
      </c>
      <c r="R142" s="1">
        <v>6</v>
      </c>
      <c r="S142" s="1">
        <v>39</v>
      </c>
      <c r="T142" s="1">
        <v>51</v>
      </c>
    </row>
    <row r="143" spans="1:20" ht="28.8" x14ac:dyDescent="0.3">
      <c r="A143" s="3">
        <v>128</v>
      </c>
      <c r="B143" s="4"/>
      <c r="C143" s="6" t="s">
        <v>191</v>
      </c>
      <c r="D143" s="5"/>
      <c r="E143" s="5" t="s">
        <v>207</v>
      </c>
      <c r="F143" s="5" t="s">
        <v>68</v>
      </c>
      <c r="G143" s="5" t="s">
        <v>73</v>
      </c>
      <c r="H143" s="5" t="s">
        <v>75</v>
      </c>
      <c r="I143" s="5" t="s">
        <v>51</v>
      </c>
      <c r="J143" s="5" t="s">
        <v>56</v>
      </c>
      <c r="K143" s="5" t="s">
        <v>61</v>
      </c>
      <c r="L143" s="5" t="s">
        <v>64</v>
      </c>
      <c r="M143" s="5" t="s">
        <v>55</v>
      </c>
      <c r="N143" s="5" t="s">
        <v>54</v>
      </c>
      <c r="O143" s="5" t="s">
        <v>47</v>
      </c>
      <c r="P143" s="5" t="s">
        <v>70</v>
      </c>
      <c r="Q143" s="5" t="s">
        <v>58</v>
      </c>
      <c r="R143" s="1">
        <v>6</v>
      </c>
      <c r="S143" s="1">
        <v>38</v>
      </c>
      <c r="T143" s="1">
        <v>51</v>
      </c>
    </row>
    <row r="144" spans="1:20" x14ac:dyDescent="0.3">
      <c r="A144" s="3">
        <v>129</v>
      </c>
      <c r="B144" s="4"/>
      <c r="C144" s="6" t="s">
        <v>110</v>
      </c>
      <c r="D144" s="5"/>
      <c r="E144" s="5" t="s">
        <v>207</v>
      </c>
      <c r="F144" s="5" t="s">
        <v>68</v>
      </c>
      <c r="G144" s="5" t="s">
        <v>52</v>
      </c>
      <c r="H144" s="5" t="s">
        <v>75</v>
      </c>
      <c r="I144" s="5" t="s">
        <v>63</v>
      </c>
      <c r="J144" s="5" t="s">
        <v>56</v>
      </c>
      <c r="K144" s="5" t="s">
        <v>53</v>
      </c>
      <c r="L144" s="5" t="s">
        <v>66</v>
      </c>
      <c r="M144" s="5" t="s">
        <v>55</v>
      </c>
      <c r="N144" s="5" t="s">
        <v>54</v>
      </c>
      <c r="O144" s="5" t="s">
        <v>72</v>
      </c>
      <c r="P144" s="5" t="s">
        <v>67</v>
      </c>
      <c r="Q144" s="5" t="s">
        <v>58</v>
      </c>
      <c r="R144" s="1">
        <v>6</v>
      </c>
      <c r="S144" s="1">
        <v>33</v>
      </c>
      <c r="T144" s="1">
        <v>52</v>
      </c>
    </row>
    <row r="145" spans="1:20" ht="28.8" x14ac:dyDescent="0.3">
      <c r="A145" s="3">
        <v>130</v>
      </c>
      <c r="B145" s="4"/>
      <c r="C145" s="6" t="s">
        <v>108</v>
      </c>
      <c r="D145" s="5"/>
      <c r="E145" s="5" t="s">
        <v>207</v>
      </c>
      <c r="F145" s="5" t="s">
        <v>68</v>
      </c>
      <c r="G145" s="5" t="s">
        <v>52</v>
      </c>
      <c r="H145" s="5" t="s">
        <v>75</v>
      </c>
      <c r="I145" s="5" t="s">
        <v>63</v>
      </c>
      <c r="J145" s="5" t="s">
        <v>56</v>
      </c>
      <c r="K145" s="5" t="s">
        <v>53</v>
      </c>
      <c r="L145" s="5" t="s">
        <v>64</v>
      </c>
      <c r="M145" s="5" t="s">
        <v>55</v>
      </c>
      <c r="N145" s="5" t="s">
        <v>209</v>
      </c>
      <c r="O145" s="5" t="s">
        <v>47</v>
      </c>
      <c r="P145" s="5" t="s">
        <v>67</v>
      </c>
      <c r="Q145" s="5" t="s">
        <v>210</v>
      </c>
      <c r="R145" s="1">
        <v>6</v>
      </c>
      <c r="S145" s="1">
        <v>36</v>
      </c>
      <c r="T145" s="1">
        <v>53</v>
      </c>
    </row>
    <row r="146" spans="1:20" x14ac:dyDescent="0.3">
      <c r="A146" s="3">
        <v>131</v>
      </c>
      <c r="B146" s="4"/>
      <c r="C146" s="6" t="s">
        <v>186</v>
      </c>
      <c r="D146" s="5"/>
      <c r="E146" s="5" t="s">
        <v>207</v>
      </c>
      <c r="F146" s="5" t="s">
        <v>68</v>
      </c>
      <c r="G146" s="5" t="s">
        <v>52</v>
      </c>
      <c r="H146" s="5" t="s">
        <v>75</v>
      </c>
      <c r="I146" s="5" t="s">
        <v>51</v>
      </c>
      <c r="J146" s="5" t="s">
        <v>56</v>
      </c>
      <c r="K146" s="5" t="s">
        <v>53</v>
      </c>
      <c r="L146" s="5" t="s">
        <v>64</v>
      </c>
      <c r="M146" s="5" t="s">
        <v>55</v>
      </c>
      <c r="N146" s="5" t="s">
        <v>209</v>
      </c>
      <c r="O146" s="5" t="s">
        <v>47</v>
      </c>
      <c r="P146" s="5" t="s">
        <v>67</v>
      </c>
      <c r="Q146" s="5" t="s">
        <v>58</v>
      </c>
      <c r="R146" s="1">
        <v>6</v>
      </c>
      <c r="S146" s="1">
        <v>32</v>
      </c>
      <c r="T146" s="1">
        <v>54</v>
      </c>
    </row>
    <row r="147" spans="1:20" ht="28.8" x14ac:dyDescent="0.3">
      <c r="A147" s="3">
        <v>132</v>
      </c>
      <c r="B147" s="4"/>
      <c r="C147" s="6" t="s">
        <v>102</v>
      </c>
      <c r="D147" s="5"/>
      <c r="E147" s="5" t="s">
        <v>207</v>
      </c>
      <c r="F147" s="5" t="s">
        <v>68</v>
      </c>
      <c r="G147" s="5" t="s">
        <v>73</v>
      </c>
      <c r="H147" s="5" t="s">
        <v>57</v>
      </c>
      <c r="I147" s="5" t="s">
        <v>51</v>
      </c>
      <c r="J147" s="5" t="s">
        <v>56</v>
      </c>
      <c r="K147" s="5" t="s">
        <v>53</v>
      </c>
      <c r="L147" s="5" t="s">
        <v>64</v>
      </c>
      <c r="M147" s="5" t="s">
        <v>48</v>
      </c>
      <c r="N147" s="5" t="s">
        <v>209</v>
      </c>
      <c r="O147" s="5" t="s">
        <v>47</v>
      </c>
      <c r="P147" s="5" t="s">
        <v>67</v>
      </c>
      <c r="Q147" s="5" t="s">
        <v>210</v>
      </c>
      <c r="R147" s="1">
        <v>6</v>
      </c>
      <c r="S147" s="1">
        <v>32</v>
      </c>
      <c r="T147" s="1">
        <v>54</v>
      </c>
    </row>
    <row r="148" spans="1:20" x14ac:dyDescent="0.3">
      <c r="A148" s="3">
        <v>133</v>
      </c>
      <c r="B148" s="4"/>
      <c r="C148" s="6" t="s">
        <v>127</v>
      </c>
      <c r="D148" s="5"/>
      <c r="E148" s="5" t="s">
        <v>207</v>
      </c>
      <c r="F148" s="5" t="s">
        <v>68</v>
      </c>
      <c r="G148" s="5" t="s">
        <v>73</v>
      </c>
      <c r="H148" s="5" t="s">
        <v>75</v>
      </c>
      <c r="I148" s="5" t="s">
        <v>63</v>
      </c>
      <c r="J148" s="5" t="s">
        <v>208</v>
      </c>
      <c r="K148" s="5" t="s">
        <v>53</v>
      </c>
      <c r="L148" s="5" t="s">
        <v>66</v>
      </c>
      <c r="M148" s="5" t="s">
        <v>55</v>
      </c>
      <c r="N148" s="5" t="s">
        <v>54</v>
      </c>
      <c r="O148" s="5" t="s">
        <v>47</v>
      </c>
      <c r="P148" s="5" t="s">
        <v>67</v>
      </c>
      <c r="Q148" s="5" t="s">
        <v>210</v>
      </c>
      <c r="R148" s="1">
        <v>6</v>
      </c>
      <c r="S148" s="1">
        <v>34</v>
      </c>
      <c r="T148" s="1">
        <v>59</v>
      </c>
    </row>
    <row r="149" spans="1:20" ht="43.2" x14ac:dyDescent="0.3">
      <c r="A149" s="3">
        <v>134</v>
      </c>
      <c r="B149" s="4"/>
      <c r="C149" s="6" t="s">
        <v>132</v>
      </c>
      <c r="D149" s="5"/>
      <c r="E149" s="5" t="s">
        <v>207</v>
      </c>
      <c r="F149" s="5" t="s">
        <v>68</v>
      </c>
      <c r="G149" s="5" t="s">
        <v>52</v>
      </c>
      <c r="H149" s="5" t="s">
        <v>75</v>
      </c>
      <c r="I149" s="5" t="s">
        <v>63</v>
      </c>
      <c r="J149" s="5" t="s">
        <v>56</v>
      </c>
      <c r="K149" s="5" t="s">
        <v>53</v>
      </c>
      <c r="L149" s="5" t="s">
        <v>66</v>
      </c>
      <c r="M149" s="5" t="s">
        <v>48</v>
      </c>
      <c r="N149" s="5" t="s">
        <v>54</v>
      </c>
      <c r="O149" s="5" t="s">
        <v>47</v>
      </c>
      <c r="P149" s="5" t="s">
        <v>67</v>
      </c>
      <c r="Q149" s="5" t="s">
        <v>210</v>
      </c>
      <c r="R149" s="1">
        <v>5</v>
      </c>
      <c r="S149" s="1">
        <v>33</v>
      </c>
      <c r="T149" s="1">
        <v>37</v>
      </c>
    </row>
    <row r="150" spans="1:20" x14ac:dyDescent="0.3">
      <c r="A150" s="3">
        <v>135</v>
      </c>
      <c r="B150" s="4"/>
      <c r="C150" s="6" t="s">
        <v>169</v>
      </c>
      <c r="D150" s="5"/>
      <c r="E150" s="5" t="s">
        <v>74</v>
      </c>
      <c r="F150" s="5" t="s">
        <v>68</v>
      </c>
      <c r="G150" s="5" t="s">
        <v>73</v>
      </c>
      <c r="H150" s="5" t="s">
        <v>57</v>
      </c>
      <c r="I150" s="5" t="s">
        <v>51</v>
      </c>
      <c r="J150" s="5" t="s">
        <v>208</v>
      </c>
      <c r="K150" s="5" t="s">
        <v>61</v>
      </c>
      <c r="L150" s="5" t="s">
        <v>64</v>
      </c>
      <c r="M150" s="5" t="s">
        <v>55</v>
      </c>
      <c r="N150" s="5" t="s">
        <v>209</v>
      </c>
      <c r="O150" s="5" t="s">
        <v>47</v>
      </c>
      <c r="P150" s="5" t="s">
        <v>67</v>
      </c>
      <c r="Q150" s="5" t="s">
        <v>58</v>
      </c>
      <c r="R150" s="1">
        <v>5</v>
      </c>
      <c r="S150" s="1">
        <v>33</v>
      </c>
      <c r="T150" s="1">
        <v>43</v>
      </c>
    </row>
    <row r="151" spans="1:20" ht="28.8" x14ac:dyDescent="0.3">
      <c r="A151" s="3">
        <v>136</v>
      </c>
      <c r="B151" s="4"/>
      <c r="C151" s="6" t="s">
        <v>92</v>
      </c>
      <c r="D151" s="5"/>
      <c r="E151" s="5" t="s">
        <v>207</v>
      </c>
      <c r="F151" s="5" t="s">
        <v>68</v>
      </c>
      <c r="G151" s="5" t="s">
        <v>52</v>
      </c>
      <c r="H151" s="5" t="s">
        <v>75</v>
      </c>
      <c r="I151" s="5" t="s">
        <v>63</v>
      </c>
      <c r="J151" s="5" t="s">
        <v>56</v>
      </c>
      <c r="K151" s="5" t="s">
        <v>61</v>
      </c>
      <c r="L151" s="5" t="s">
        <v>64</v>
      </c>
      <c r="M151" s="5" t="s">
        <v>48</v>
      </c>
      <c r="N151" s="5" t="s">
        <v>54</v>
      </c>
      <c r="O151" s="5" t="s">
        <v>72</v>
      </c>
      <c r="P151" s="5" t="s">
        <v>67</v>
      </c>
      <c r="Q151" s="5" t="s">
        <v>58</v>
      </c>
      <c r="R151" s="1">
        <v>5</v>
      </c>
      <c r="S151" s="1">
        <v>34</v>
      </c>
      <c r="T151" s="1">
        <v>44</v>
      </c>
    </row>
    <row r="152" spans="1:20" ht="28.8" x14ac:dyDescent="0.3">
      <c r="A152" s="3">
        <v>137</v>
      </c>
      <c r="B152" s="4"/>
      <c r="C152" s="6" t="s">
        <v>146</v>
      </c>
      <c r="D152" s="5"/>
      <c r="E152" s="5" t="s">
        <v>74</v>
      </c>
      <c r="F152" s="5" t="s">
        <v>68</v>
      </c>
      <c r="G152" s="5" t="s">
        <v>52</v>
      </c>
      <c r="H152" s="5" t="s">
        <v>75</v>
      </c>
      <c r="I152" s="5" t="s">
        <v>63</v>
      </c>
      <c r="J152" s="5" t="s">
        <v>208</v>
      </c>
      <c r="K152" s="5" t="s">
        <v>53</v>
      </c>
      <c r="L152" s="5" t="s">
        <v>64</v>
      </c>
      <c r="M152" s="5" t="s">
        <v>55</v>
      </c>
      <c r="N152" s="5" t="s">
        <v>209</v>
      </c>
      <c r="O152" s="5" t="s">
        <v>47</v>
      </c>
      <c r="P152" s="5" t="s">
        <v>67</v>
      </c>
      <c r="Q152" s="5" t="s">
        <v>58</v>
      </c>
      <c r="R152" s="1">
        <v>5</v>
      </c>
      <c r="S152" s="1">
        <v>32</v>
      </c>
      <c r="T152" s="1">
        <v>44</v>
      </c>
    </row>
    <row r="153" spans="1:20" ht="28.8" x14ac:dyDescent="0.3">
      <c r="A153" s="3">
        <v>138</v>
      </c>
      <c r="B153" s="4"/>
      <c r="C153" s="6" t="s">
        <v>80</v>
      </c>
      <c r="D153" s="5"/>
      <c r="E153" s="5" t="s">
        <v>207</v>
      </c>
      <c r="F153" s="5" t="s">
        <v>68</v>
      </c>
      <c r="G153" s="5" t="s">
        <v>73</v>
      </c>
      <c r="H153" s="5" t="s">
        <v>75</v>
      </c>
      <c r="I153" s="5" t="s">
        <v>63</v>
      </c>
      <c r="J153" s="5" t="s">
        <v>56</v>
      </c>
      <c r="K153" s="5" t="s">
        <v>53</v>
      </c>
      <c r="L153" s="5" t="s">
        <v>64</v>
      </c>
      <c r="M153" s="5" t="s">
        <v>55</v>
      </c>
      <c r="N153" s="5" t="s">
        <v>209</v>
      </c>
      <c r="O153" s="5" t="s">
        <v>47</v>
      </c>
      <c r="P153" s="5" t="s">
        <v>70</v>
      </c>
      <c r="Q153" s="5" t="s">
        <v>58</v>
      </c>
      <c r="R153" s="1">
        <v>5</v>
      </c>
      <c r="S153" s="1">
        <v>36</v>
      </c>
      <c r="T153" s="1">
        <v>44</v>
      </c>
    </row>
    <row r="154" spans="1:20" ht="28.8" x14ac:dyDescent="0.3">
      <c r="A154" s="3">
        <v>139</v>
      </c>
      <c r="B154" s="4"/>
      <c r="C154" s="6" t="s">
        <v>15</v>
      </c>
      <c r="D154" s="5"/>
      <c r="E154" s="5" t="s">
        <v>207</v>
      </c>
      <c r="F154" s="5" t="s">
        <v>50</v>
      </c>
      <c r="G154" s="5" t="s">
        <v>73</v>
      </c>
      <c r="H154" s="5" t="s">
        <v>57</v>
      </c>
      <c r="I154" s="5" t="s">
        <v>63</v>
      </c>
      <c r="J154" s="5" t="s">
        <v>56</v>
      </c>
      <c r="K154" s="5" t="s">
        <v>53</v>
      </c>
      <c r="L154" s="5" t="s">
        <v>66</v>
      </c>
      <c r="M154" s="5" t="s">
        <v>48</v>
      </c>
      <c r="N154" s="5" t="s">
        <v>54</v>
      </c>
      <c r="O154" s="5" t="s">
        <v>47</v>
      </c>
      <c r="P154" s="5" t="s">
        <v>67</v>
      </c>
      <c r="Q154" s="5" t="s">
        <v>58</v>
      </c>
      <c r="R154" s="1">
        <v>5</v>
      </c>
      <c r="S154" s="1">
        <v>30</v>
      </c>
      <c r="T154" s="1">
        <v>44</v>
      </c>
    </row>
    <row r="155" spans="1:20" x14ac:dyDescent="0.3">
      <c r="A155" s="3">
        <v>140</v>
      </c>
      <c r="B155" s="4"/>
      <c r="C155" s="6" t="s">
        <v>7</v>
      </c>
      <c r="D155" s="5"/>
      <c r="E155" s="5" t="s">
        <v>207</v>
      </c>
      <c r="F155" s="5" t="s">
        <v>50</v>
      </c>
      <c r="G155" s="5" t="s">
        <v>52</v>
      </c>
      <c r="H155" s="5" t="s">
        <v>57</v>
      </c>
      <c r="I155" s="5" t="s">
        <v>63</v>
      </c>
      <c r="J155" s="5" t="s">
        <v>56</v>
      </c>
      <c r="K155" s="5" t="s">
        <v>61</v>
      </c>
      <c r="L155" s="5" t="s">
        <v>66</v>
      </c>
      <c r="M155" s="5" t="s">
        <v>48</v>
      </c>
      <c r="N155" s="5" t="s">
        <v>209</v>
      </c>
      <c r="O155" s="5" t="s">
        <v>47</v>
      </c>
      <c r="P155" s="5" t="s">
        <v>67</v>
      </c>
      <c r="Q155" s="5" t="s">
        <v>210</v>
      </c>
      <c r="R155" s="1">
        <v>5</v>
      </c>
      <c r="S155" s="1">
        <v>25</v>
      </c>
      <c r="T155" s="1">
        <v>45</v>
      </c>
    </row>
    <row r="156" spans="1:20" ht="28.8" x14ac:dyDescent="0.3">
      <c r="A156" s="3">
        <v>141</v>
      </c>
      <c r="B156" s="4"/>
      <c r="C156" s="6" t="s">
        <v>174</v>
      </c>
      <c r="D156" s="5"/>
      <c r="E156" s="5" t="s">
        <v>74</v>
      </c>
      <c r="F156" s="5" t="s">
        <v>68</v>
      </c>
      <c r="G156" s="5" t="s">
        <v>73</v>
      </c>
      <c r="H156" s="5" t="s">
        <v>57</v>
      </c>
      <c r="I156" s="5" t="s">
        <v>51</v>
      </c>
      <c r="J156" s="5" t="s">
        <v>56</v>
      </c>
      <c r="K156" s="5" t="s">
        <v>61</v>
      </c>
      <c r="L156" s="5" t="s">
        <v>64</v>
      </c>
      <c r="M156" s="5" t="s">
        <v>48</v>
      </c>
      <c r="N156" s="5" t="s">
        <v>54</v>
      </c>
      <c r="O156" s="5" t="s">
        <v>47</v>
      </c>
      <c r="P156" s="5" t="s">
        <v>67</v>
      </c>
      <c r="Q156" s="5" t="s">
        <v>210</v>
      </c>
      <c r="R156" s="1">
        <v>5</v>
      </c>
      <c r="S156" s="1">
        <v>36</v>
      </c>
      <c r="T156" s="1">
        <v>45</v>
      </c>
    </row>
    <row r="157" spans="1:20" x14ac:dyDescent="0.3">
      <c r="A157" s="3">
        <v>142</v>
      </c>
      <c r="B157" s="4"/>
      <c r="C157" s="6" t="s">
        <v>35</v>
      </c>
      <c r="D157" s="5"/>
      <c r="E157" s="5" t="s">
        <v>207</v>
      </c>
      <c r="F157" s="5" t="s">
        <v>50</v>
      </c>
      <c r="G157" s="5" t="s">
        <v>73</v>
      </c>
      <c r="H157" s="5" t="s">
        <v>75</v>
      </c>
      <c r="I157" s="5" t="s">
        <v>63</v>
      </c>
      <c r="J157" s="5" t="s">
        <v>56</v>
      </c>
      <c r="K157" s="5" t="s">
        <v>53</v>
      </c>
      <c r="L157" s="5" t="s">
        <v>64</v>
      </c>
      <c r="M157" s="5" t="s">
        <v>48</v>
      </c>
      <c r="N157" s="5" t="s">
        <v>209</v>
      </c>
      <c r="O157" s="5" t="s">
        <v>47</v>
      </c>
      <c r="P157" s="5" t="s">
        <v>67</v>
      </c>
      <c r="Q157" s="5" t="s">
        <v>210</v>
      </c>
      <c r="R157" s="1">
        <v>5</v>
      </c>
      <c r="S157" s="1">
        <v>32</v>
      </c>
      <c r="T157" s="1">
        <v>45</v>
      </c>
    </row>
    <row r="158" spans="1:20" x14ac:dyDescent="0.3">
      <c r="A158" s="3">
        <v>143</v>
      </c>
      <c r="B158" s="4"/>
      <c r="C158" s="6" t="s">
        <v>173</v>
      </c>
      <c r="D158" s="5"/>
      <c r="E158" s="5" t="s">
        <v>74</v>
      </c>
      <c r="F158" s="5" t="s">
        <v>50</v>
      </c>
      <c r="G158" s="5" t="s">
        <v>52</v>
      </c>
      <c r="H158" s="5" t="s">
        <v>75</v>
      </c>
      <c r="I158" s="5" t="s">
        <v>51</v>
      </c>
      <c r="J158" s="5" t="s">
        <v>56</v>
      </c>
      <c r="K158" s="5" t="s">
        <v>61</v>
      </c>
      <c r="L158" s="5" t="s">
        <v>66</v>
      </c>
      <c r="M158" s="5" t="s">
        <v>55</v>
      </c>
      <c r="N158" s="5" t="s">
        <v>209</v>
      </c>
      <c r="O158" s="5" t="s">
        <v>72</v>
      </c>
      <c r="P158" s="5" t="s">
        <v>67</v>
      </c>
      <c r="Q158" s="5" t="s">
        <v>58</v>
      </c>
      <c r="R158" s="1">
        <v>5</v>
      </c>
      <c r="S158" s="1">
        <v>36</v>
      </c>
      <c r="T158" s="1">
        <v>46</v>
      </c>
    </row>
    <row r="159" spans="1:20" x14ac:dyDescent="0.3">
      <c r="A159" s="3">
        <v>144</v>
      </c>
      <c r="B159" s="4"/>
      <c r="C159" s="6" t="s">
        <v>130</v>
      </c>
      <c r="D159" s="5"/>
      <c r="E159" s="5" t="s">
        <v>207</v>
      </c>
      <c r="F159" s="5" t="s">
        <v>68</v>
      </c>
      <c r="G159" s="5" t="s">
        <v>73</v>
      </c>
      <c r="H159" s="5" t="s">
        <v>75</v>
      </c>
      <c r="I159" s="5" t="s">
        <v>51</v>
      </c>
      <c r="J159" s="5" t="s">
        <v>208</v>
      </c>
      <c r="K159" s="5" t="s">
        <v>53</v>
      </c>
      <c r="L159" s="5" t="s">
        <v>66</v>
      </c>
      <c r="M159" s="5" t="s">
        <v>55</v>
      </c>
      <c r="N159" s="5" t="s">
        <v>209</v>
      </c>
      <c r="O159" s="5" t="s">
        <v>47</v>
      </c>
      <c r="P159" s="5" t="s">
        <v>67</v>
      </c>
      <c r="Q159" s="5" t="s">
        <v>58</v>
      </c>
      <c r="R159" s="1">
        <v>5</v>
      </c>
      <c r="S159" s="1">
        <v>35</v>
      </c>
      <c r="T159" s="1">
        <v>47</v>
      </c>
    </row>
    <row r="160" spans="1:20" ht="28.8" x14ac:dyDescent="0.3">
      <c r="A160" s="3">
        <v>145</v>
      </c>
      <c r="B160" s="4"/>
      <c r="C160" s="6" t="s">
        <v>113</v>
      </c>
      <c r="D160" s="5"/>
      <c r="E160" s="5" t="s">
        <v>207</v>
      </c>
      <c r="F160" s="5" t="s">
        <v>50</v>
      </c>
      <c r="G160" s="5" t="s">
        <v>73</v>
      </c>
      <c r="H160" s="5" t="s">
        <v>75</v>
      </c>
      <c r="I160" s="5" t="s">
        <v>63</v>
      </c>
      <c r="J160" s="5" t="s">
        <v>56</v>
      </c>
      <c r="K160" s="5" t="s">
        <v>53</v>
      </c>
      <c r="L160" s="5" t="s">
        <v>66</v>
      </c>
      <c r="M160" s="5" t="s">
        <v>48</v>
      </c>
      <c r="N160" s="5" t="s">
        <v>54</v>
      </c>
      <c r="O160" s="5" t="s">
        <v>47</v>
      </c>
      <c r="P160" s="5" t="s">
        <v>67</v>
      </c>
      <c r="Q160" s="5" t="s">
        <v>210</v>
      </c>
      <c r="R160" s="1">
        <v>5</v>
      </c>
      <c r="S160" s="1">
        <v>36</v>
      </c>
      <c r="T160" s="1">
        <v>47</v>
      </c>
    </row>
    <row r="161" spans="1:20" ht="28.8" x14ac:dyDescent="0.3">
      <c r="A161" s="3">
        <v>146</v>
      </c>
      <c r="B161" s="4"/>
      <c r="C161" s="6" t="s">
        <v>172</v>
      </c>
      <c r="D161" s="5"/>
      <c r="E161" s="5" t="s">
        <v>207</v>
      </c>
      <c r="F161" s="5" t="s">
        <v>68</v>
      </c>
      <c r="G161" s="5" t="s">
        <v>52</v>
      </c>
      <c r="H161" s="5" t="s">
        <v>75</v>
      </c>
      <c r="I161" s="5" t="s">
        <v>63</v>
      </c>
      <c r="J161" s="5" t="s">
        <v>208</v>
      </c>
      <c r="K161" s="5" t="s">
        <v>61</v>
      </c>
      <c r="L161" s="5" t="s">
        <v>66</v>
      </c>
      <c r="M161" s="5" t="s">
        <v>55</v>
      </c>
      <c r="N161" s="5" t="s">
        <v>209</v>
      </c>
      <c r="O161" s="5" t="s">
        <v>47</v>
      </c>
      <c r="P161" s="5" t="s">
        <v>70</v>
      </c>
      <c r="Q161" s="5" t="s">
        <v>58</v>
      </c>
      <c r="R161" s="1">
        <v>5</v>
      </c>
      <c r="S161" s="1">
        <v>33</v>
      </c>
      <c r="T161" s="1">
        <v>47</v>
      </c>
    </row>
    <row r="162" spans="1:20" x14ac:dyDescent="0.3">
      <c r="A162" s="3">
        <v>147</v>
      </c>
      <c r="B162" s="4"/>
      <c r="C162" s="6" t="s">
        <v>106</v>
      </c>
      <c r="D162" s="5"/>
      <c r="E162" s="5" t="s">
        <v>207</v>
      </c>
      <c r="F162" s="5" t="s">
        <v>50</v>
      </c>
      <c r="G162" s="5" t="s">
        <v>73</v>
      </c>
      <c r="H162" s="5" t="s">
        <v>75</v>
      </c>
      <c r="I162" s="5" t="s">
        <v>63</v>
      </c>
      <c r="J162" s="5" t="s">
        <v>56</v>
      </c>
      <c r="K162" s="5" t="s">
        <v>61</v>
      </c>
      <c r="L162" s="5" t="s">
        <v>66</v>
      </c>
      <c r="M162" s="5" t="s">
        <v>55</v>
      </c>
      <c r="N162" s="5" t="s">
        <v>209</v>
      </c>
      <c r="O162" s="5" t="s">
        <v>72</v>
      </c>
      <c r="P162" s="5" t="s">
        <v>70</v>
      </c>
      <c r="Q162" s="5" t="s">
        <v>58</v>
      </c>
      <c r="R162" s="1">
        <v>5</v>
      </c>
      <c r="S162" s="1">
        <v>38</v>
      </c>
      <c r="T162" s="1">
        <v>48</v>
      </c>
    </row>
    <row r="163" spans="1:20" x14ac:dyDescent="0.3">
      <c r="A163" s="3">
        <v>148</v>
      </c>
      <c r="B163" s="4"/>
      <c r="C163" s="6" t="s">
        <v>129</v>
      </c>
      <c r="D163" s="5"/>
      <c r="E163" s="5" t="s">
        <v>74</v>
      </c>
      <c r="F163" s="5" t="s">
        <v>50</v>
      </c>
      <c r="G163" s="5" t="s">
        <v>73</v>
      </c>
      <c r="H163" s="5" t="s">
        <v>75</v>
      </c>
      <c r="I163" s="5" t="s">
        <v>63</v>
      </c>
      <c r="J163" s="5" t="s">
        <v>56</v>
      </c>
      <c r="K163" s="5" t="s">
        <v>53</v>
      </c>
      <c r="L163" s="5" t="s">
        <v>66</v>
      </c>
      <c r="M163" s="5" t="s">
        <v>55</v>
      </c>
      <c r="N163" s="5" t="s">
        <v>54</v>
      </c>
      <c r="O163" s="5" t="s">
        <v>47</v>
      </c>
      <c r="P163" s="5" t="s">
        <v>67</v>
      </c>
      <c r="Q163" s="5" t="s">
        <v>210</v>
      </c>
      <c r="R163" s="1">
        <v>5</v>
      </c>
      <c r="S163" s="1">
        <v>35</v>
      </c>
      <c r="T163" s="1">
        <v>49</v>
      </c>
    </row>
    <row r="164" spans="1:20" ht="28.8" x14ac:dyDescent="0.3">
      <c r="A164" s="3">
        <v>149</v>
      </c>
      <c r="B164" s="4"/>
      <c r="C164" s="6" t="s">
        <v>176</v>
      </c>
      <c r="D164" s="5"/>
      <c r="E164" s="5" t="s">
        <v>74</v>
      </c>
      <c r="F164" s="5" t="s">
        <v>68</v>
      </c>
      <c r="G164" s="5" t="s">
        <v>73</v>
      </c>
      <c r="H164" s="5" t="s">
        <v>75</v>
      </c>
      <c r="I164" s="5" t="s">
        <v>51</v>
      </c>
      <c r="J164" s="5" t="s">
        <v>56</v>
      </c>
      <c r="K164" s="5" t="s">
        <v>53</v>
      </c>
      <c r="L164" s="5" t="s">
        <v>64</v>
      </c>
      <c r="M164" s="5" t="s">
        <v>48</v>
      </c>
      <c r="N164" s="5" t="s">
        <v>54</v>
      </c>
      <c r="O164" s="5" t="s">
        <v>47</v>
      </c>
      <c r="P164" s="5" t="s">
        <v>70</v>
      </c>
      <c r="Q164" s="5" t="s">
        <v>58</v>
      </c>
      <c r="R164" s="1">
        <v>5</v>
      </c>
      <c r="S164" s="1">
        <v>35</v>
      </c>
      <c r="T164" s="1">
        <v>52</v>
      </c>
    </row>
    <row r="165" spans="1:20" x14ac:dyDescent="0.3">
      <c r="A165" s="3">
        <v>150</v>
      </c>
      <c r="B165" s="4"/>
      <c r="C165" s="6" t="s">
        <v>118</v>
      </c>
      <c r="D165" s="5"/>
      <c r="E165" s="5" t="s">
        <v>207</v>
      </c>
      <c r="F165" s="5" t="s">
        <v>50</v>
      </c>
      <c r="G165" s="5" t="s">
        <v>73</v>
      </c>
      <c r="H165" s="5" t="s">
        <v>75</v>
      </c>
      <c r="I165" s="5" t="s">
        <v>63</v>
      </c>
      <c r="J165" s="5" t="s">
        <v>56</v>
      </c>
      <c r="K165" s="5" t="s">
        <v>53</v>
      </c>
      <c r="L165" s="5" t="s">
        <v>64</v>
      </c>
      <c r="M165" s="5" t="s">
        <v>48</v>
      </c>
      <c r="N165" s="5" t="s">
        <v>209</v>
      </c>
      <c r="O165" s="5" t="s">
        <v>47</v>
      </c>
      <c r="P165" s="5" t="s">
        <v>67</v>
      </c>
      <c r="Q165" s="5" t="s">
        <v>210</v>
      </c>
      <c r="R165" s="1">
        <v>5</v>
      </c>
      <c r="S165" s="1">
        <v>37</v>
      </c>
      <c r="T165" s="1">
        <v>52</v>
      </c>
    </row>
    <row r="166" spans="1:20" ht="28.8" x14ac:dyDescent="0.3">
      <c r="A166" s="3">
        <v>151</v>
      </c>
      <c r="B166" s="4"/>
      <c r="C166" s="6" t="s">
        <v>123</v>
      </c>
      <c r="D166" s="5"/>
      <c r="E166" s="5" t="s">
        <v>74</v>
      </c>
      <c r="F166" s="5" t="s">
        <v>50</v>
      </c>
      <c r="G166" s="5" t="s">
        <v>52</v>
      </c>
      <c r="H166" s="5" t="s">
        <v>75</v>
      </c>
      <c r="I166" s="5" t="s">
        <v>63</v>
      </c>
      <c r="J166" s="5" t="s">
        <v>208</v>
      </c>
      <c r="K166" s="5" t="s">
        <v>53</v>
      </c>
      <c r="L166" s="5" t="s">
        <v>66</v>
      </c>
      <c r="M166" s="5" t="s">
        <v>48</v>
      </c>
      <c r="N166" s="5" t="s">
        <v>209</v>
      </c>
      <c r="O166" s="5" t="s">
        <v>47</v>
      </c>
      <c r="P166" s="5" t="s">
        <v>67</v>
      </c>
      <c r="Q166" s="5" t="s">
        <v>210</v>
      </c>
      <c r="R166" s="1">
        <v>5</v>
      </c>
      <c r="S166" s="1">
        <v>34</v>
      </c>
      <c r="T166" s="1">
        <v>54</v>
      </c>
    </row>
    <row r="167" spans="1:20" ht="28.8" x14ac:dyDescent="0.3">
      <c r="A167" s="3">
        <v>152</v>
      </c>
      <c r="B167" s="4"/>
      <c r="C167" s="6" t="s">
        <v>122</v>
      </c>
      <c r="D167" s="5"/>
      <c r="E167" s="5" t="s">
        <v>74</v>
      </c>
      <c r="F167" s="5" t="s">
        <v>50</v>
      </c>
      <c r="G167" s="5" t="s">
        <v>52</v>
      </c>
      <c r="H167" s="5" t="s">
        <v>75</v>
      </c>
      <c r="I167" s="5" t="s">
        <v>63</v>
      </c>
      <c r="J167" s="5" t="s">
        <v>56</v>
      </c>
      <c r="K167" s="5" t="s">
        <v>53</v>
      </c>
      <c r="L167" s="5" t="s">
        <v>64</v>
      </c>
      <c r="M167" s="5" t="s">
        <v>48</v>
      </c>
      <c r="N167" s="5" t="s">
        <v>54</v>
      </c>
      <c r="O167" s="5" t="s">
        <v>47</v>
      </c>
      <c r="P167" s="5" t="s">
        <v>67</v>
      </c>
      <c r="Q167" s="5" t="s">
        <v>58</v>
      </c>
      <c r="R167" s="1">
        <v>5</v>
      </c>
      <c r="S167" s="1">
        <v>30</v>
      </c>
      <c r="T167" s="1">
        <v>56</v>
      </c>
    </row>
    <row r="168" spans="1:20" x14ac:dyDescent="0.3">
      <c r="A168" s="3">
        <v>153</v>
      </c>
      <c r="B168" s="4"/>
      <c r="C168" s="6" t="s">
        <v>126</v>
      </c>
      <c r="D168" s="5"/>
      <c r="E168" s="5" t="s">
        <v>207</v>
      </c>
      <c r="F168" s="5" t="s">
        <v>68</v>
      </c>
      <c r="G168" s="5" t="s">
        <v>52</v>
      </c>
      <c r="H168" s="5" t="s">
        <v>75</v>
      </c>
      <c r="I168" s="5" t="s">
        <v>63</v>
      </c>
      <c r="J168" s="5" t="s">
        <v>56</v>
      </c>
      <c r="K168" s="5" t="s">
        <v>53</v>
      </c>
      <c r="L168" s="5" t="s">
        <v>66</v>
      </c>
      <c r="M168" s="5" t="s">
        <v>48</v>
      </c>
      <c r="N168" s="5" t="s">
        <v>54</v>
      </c>
      <c r="O168" s="5" t="s">
        <v>47</v>
      </c>
      <c r="P168" s="5" t="s">
        <v>70</v>
      </c>
      <c r="Q168" s="5" t="s">
        <v>58</v>
      </c>
      <c r="R168" s="1">
        <v>5</v>
      </c>
      <c r="S168" s="1">
        <v>33</v>
      </c>
      <c r="T168" s="1">
        <v>56</v>
      </c>
    </row>
    <row r="169" spans="1:20" ht="43.2" x14ac:dyDescent="0.3">
      <c r="A169" s="3">
        <v>154</v>
      </c>
      <c r="B169" s="4"/>
      <c r="C169" s="6" t="s">
        <v>188</v>
      </c>
      <c r="D169" s="5"/>
      <c r="E169" s="5" t="s">
        <v>207</v>
      </c>
      <c r="F169" s="5" t="s">
        <v>50</v>
      </c>
      <c r="G169" s="5" t="s">
        <v>73</v>
      </c>
      <c r="H169" s="5" t="s">
        <v>75</v>
      </c>
      <c r="I169" s="5" t="s">
        <v>63</v>
      </c>
      <c r="J169" s="5" t="s">
        <v>56</v>
      </c>
      <c r="K169" s="5" t="s">
        <v>61</v>
      </c>
      <c r="L169" s="5" t="s">
        <v>64</v>
      </c>
      <c r="M169" s="5" t="s">
        <v>48</v>
      </c>
      <c r="N169" s="5" t="s">
        <v>209</v>
      </c>
      <c r="O169" s="5" t="s">
        <v>47</v>
      </c>
      <c r="P169" s="5" t="s">
        <v>67</v>
      </c>
      <c r="Q169" s="5" t="s">
        <v>210</v>
      </c>
      <c r="R169" s="1">
        <v>4</v>
      </c>
      <c r="S169" s="1">
        <v>27</v>
      </c>
      <c r="T169" s="1">
        <v>42</v>
      </c>
    </row>
    <row r="170" spans="1:20" x14ac:dyDescent="0.3">
      <c r="A170" s="3">
        <v>155</v>
      </c>
      <c r="B170" s="4"/>
      <c r="C170" s="6" t="s">
        <v>31</v>
      </c>
      <c r="D170" s="5"/>
      <c r="E170" s="5" t="s">
        <v>74</v>
      </c>
      <c r="F170" s="5" t="s">
        <v>68</v>
      </c>
      <c r="G170" s="5" t="s">
        <v>52</v>
      </c>
      <c r="H170" s="5" t="s">
        <v>75</v>
      </c>
      <c r="I170" s="5" t="s">
        <v>63</v>
      </c>
      <c r="J170" s="5" t="s">
        <v>56</v>
      </c>
      <c r="K170" s="5" t="s">
        <v>61</v>
      </c>
      <c r="L170" s="5" t="s">
        <v>66</v>
      </c>
      <c r="M170" s="5" t="s">
        <v>55</v>
      </c>
      <c r="N170" s="5" t="s">
        <v>54</v>
      </c>
      <c r="O170" s="5" t="s">
        <v>47</v>
      </c>
      <c r="P170" s="5" t="s">
        <v>70</v>
      </c>
      <c r="Q170" s="5" t="s">
        <v>58</v>
      </c>
      <c r="R170" s="1">
        <v>4</v>
      </c>
      <c r="S170" s="1">
        <v>29</v>
      </c>
      <c r="T170" s="1">
        <v>46</v>
      </c>
    </row>
    <row r="171" spans="1:20" ht="28.8" x14ac:dyDescent="0.3">
      <c r="A171" s="3">
        <v>156</v>
      </c>
      <c r="B171" s="4"/>
      <c r="C171" s="6" t="s">
        <v>99</v>
      </c>
      <c r="D171" s="5"/>
      <c r="E171" s="5" t="s">
        <v>207</v>
      </c>
      <c r="F171" s="5" t="s">
        <v>68</v>
      </c>
      <c r="G171" s="5" t="s">
        <v>52</v>
      </c>
      <c r="H171" s="5" t="s">
        <v>75</v>
      </c>
      <c r="I171" s="5" t="s">
        <v>63</v>
      </c>
      <c r="J171" s="5" t="s">
        <v>208</v>
      </c>
      <c r="K171" s="5" t="s">
        <v>61</v>
      </c>
      <c r="L171" s="5" t="s">
        <v>66</v>
      </c>
      <c r="M171" s="5" t="s">
        <v>48</v>
      </c>
      <c r="N171" s="5" t="s">
        <v>209</v>
      </c>
      <c r="O171" s="5" t="s">
        <v>47</v>
      </c>
      <c r="P171" s="5" t="s">
        <v>67</v>
      </c>
      <c r="Q171" s="5" t="s">
        <v>210</v>
      </c>
      <c r="R171" s="1">
        <v>4</v>
      </c>
      <c r="S171" s="1">
        <v>33</v>
      </c>
      <c r="T171" s="1">
        <v>46</v>
      </c>
    </row>
    <row r="172" spans="1:20" x14ac:dyDescent="0.3">
      <c r="A172" s="3">
        <v>157</v>
      </c>
      <c r="B172" s="4"/>
      <c r="C172" s="6" t="s">
        <v>194</v>
      </c>
      <c r="D172" s="5"/>
      <c r="E172" s="5" t="s">
        <v>207</v>
      </c>
      <c r="F172" s="5" t="s">
        <v>68</v>
      </c>
      <c r="G172" s="5" t="s">
        <v>52</v>
      </c>
      <c r="H172" s="5" t="s">
        <v>75</v>
      </c>
      <c r="I172" s="5" t="s">
        <v>63</v>
      </c>
      <c r="J172" s="5" t="s">
        <v>56</v>
      </c>
      <c r="K172" s="5" t="s">
        <v>61</v>
      </c>
      <c r="L172" s="5" t="s">
        <v>66</v>
      </c>
      <c r="M172" s="5" t="s">
        <v>48</v>
      </c>
      <c r="N172" s="5" t="s">
        <v>54</v>
      </c>
      <c r="O172" s="5" t="s">
        <v>47</v>
      </c>
      <c r="P172" s="5" t="s">
        <v>67</v>
      </c>
      <c r="Q172" s="5" t="s">
        <v>210</v>
      </c>
      <c r="R172" s="1">
        <v>4</v>
      </c>
      <c r="S172" s="1">
        <v>34</v>
      </c>
      <c r="T172" s="1">
        <v>48</v>
      </c>
    </row>
    <row r="173" spans="1:20" ht="28.8" x14ac:dyDescent="0.3">
      <c r="A173" s="3">
        <v>158</v>
      </c>
      <c r="B173" s="4"/>
      <c r="C173" s="6" t="s">
        <v>159</v>
      </c>
      <c r="D173" s="5"/>
      <c r="E173" s="5" t="s">
        <v>74</v>
      </c>
      <c r="F173" s="5" t="s">
        <v>68</v>
      </c>
      <c r="G173" s="5" t="s">
        <v>73</v>
      </c>
      <c r="H173" s="5" t="s">
        <v>75</v>
      </c>
      <c r="I173" s="5" t="s">
        <v>63</v>
      </c>
      <c r="J173" s="5" t="s">
        <v>56</v>
      </c>
      <c r="K173" s="5" t="s">
        <v>61</v>
      </c>
      <c r="L173" s="5" t="s">
        <v>66</v>
      </c>
      <c r="M173" s="5" t="s">
        <v>55</v>
      </c>
      <c r="N173" s="5" t="s">
        <v>54</v>
      </c>
      <c r="O173" s="5" t="s">
        <v>72</v>
      </c>
      <c r="P173" s="5" t="s">
        <v>70</v>
      </c>
      <c r="Q173" s="5" t="s">
        <v>58</v>
      </c>
      <c r="R173" s="1">
        <v>4</v>
      </c>
      <c r="S173" s="1">
        <v>28</v>
      </c>
      <c r="T173" s="1">
        <v>52</v>
      </c>
    </row>
    <row r="174" spans="1:20" ht="28.8" x14ac:dyDescent="0.3">
      <c r="A174" s="3">
        <v>159</v>
      </c>
      <c r="B174" s="4"/>
      <c r="C174" s="6" t="s">
        <v>115</v>
      </c>
      <c r="D174" s="5"/>
      <c r="E174" s="5" t="s">
        <v>207</v>
      </c>
      <c r="F174" s="5" t="s">
        <v>68</v>
      </c>
      <c r="G174" s="5" t="s">
        <v>73</v>
      </c>
      <c r="H174" s="5" t="s">
        <v>75</v>
      </c>
      <c r="I174" s="5" t="s">
        <v>63</v>
      </c>
      <c r="J174" s="5" t="s">
        <v>208</v>
      </c>
      <c r="K174" s="5" t="s">
        <v>61</v>
      </c>
      <c r="L174" s="5" t="s">
        <v>66</v>
      </c>
      <c r="M174" s="5" t="s">
        <v>55</v>
      </c>
      <c r="N174" s="5" t="s">
        <v>209</v>
      </c>
      <c r="O174" s="5" t="s">
        <v>47</v>
      </c>
      <c r="P174" s="5" t="s">
        <v>70</v>
      </c>
      <c r="Q174" s="5" t="s">
        <v>58</v>
      </c>
      <c r="R174" s="1">
        <v>4</v>
      </c>
      <c r="S174" s="1">
        <v>31</v>
      </c>
      <c r="T174" s="1">
        <v>54</v>
      </c>
    </row>
    <row r="175" spans="1:20" x14ac:dyDescent="0.3">
      <c r="A175" s="3">
        <v>160</v>
      </c>
      <c r="B175" s="4"/>
      <c r="C175" s="6" t="s">
        <v>141</v>
      </c>
      <c r="D175" s="5"/>
      <c r="E175" s="5" t="s">
        <v>74</v>
      </c>
      <c r="F175" s="5" t="s">
        <v>68</v>
      </c>
      <c r="G175" s="5" t="s">
        <v>73</v>
      </c>
      <c r="H175" s="5" t="s">
        <v>75</v>
      </c>
      <c r="I175" s="5" t="s">
        <v>51</v>
      </c>
      <c r="J175" s="5" t="s">
        <v>56</v>
      </c>
      <c r="K175" s="5" t="s">
        <v>61</v>
      </c>
      <c r="L175" s="5" t="s">
        <v>66</v>
      </c>
      <c r="M175" s="5" t="s">
        <v>48</v>
      </c>
      <c r="N175" s="5" t="s">
        <v>209</v>
      </c>
      <c r="O175" s="5" t="s">
        <v>72</v>
      </c>
      <c r="P175" s="5" t="s">
        <v>70</v>
      </c>
      <c r="Q175" s="5" t="s">
        <v>58</v>
      </c>
      <c r="R175" s="1">
        <v>3</v>
      </c>
      <c r="S175" s="1">
        <v>32</v>
      </c>
      <c r="T175" s="1">
        <v>46</v>
      </c>
    </row>
    <row r="176" spans="1:20" ht="28.8" x14ac:dyDescent="0.3">
      <c r="A176" s="3">
        <v>161</v>
      </c>
      <c r="B176" s="4"/>
      <c r="C176" s="6" t="s">
        <v>87</v>
      </c>
      <c r="D176" s="5"/>
      <c r="E176" s="5" t="s">
        <v>74</v>
      </c>
      <c r="F176" s="5" t="s">
        <v>50</v>
      </c>
      <c r="G176" s="5" t="s">
        <v>73</v>
      </c>
      <c r="H176" s="5" t="s">
        <v>75</v>
      </c>
      <c r="I176" s="5" t="s">
        <v>63</v>
      </c>
      <c r="J176" s="5" t="s">
        <v>56</v>
      </c>
      <c r="K176" s="5" t="s">
        <v>53</v>
      </c>
      <c r="L176" s="5" t="s">
        <v>66</v>
      </c>
      <c r="M176" s="5" t="s">
        <v>48</v>
      </c>
      <c r="N176" s="5" t="s">
        <v>209</v>
      </c>
      <c r="O176" s="5" t="s">
        <v>47</v>
      </c>
      <c r="P176" s="5" t="s">
        <v>70</v>
      </c>
      <c r="Q176" s="5" t="s">
        <v>58</v>
      </c>
      <c r="R176" s="1">
        <v>3</v>
      </c>
      <c r="S176" s="1">
        <v>26</v>
      </c>
      <c r="T176" s="1">
        <v>47</v>
      </c>
    </row>
    <row r="177" spans="1:20" ht="28.8" x14ac:dyDescent="0.3">
      <c r="A177" s="3">
        <v>162</v>
      </c>
      <c r="B177" s="4"/>
      <c r="C177" s="6" t="s">
        <v>124</v>
      </c>
      <c r="D177" s="5"/>
      <c r="E177" s="5" t="s">
        <v>74</v>
      </c>
      <c r="F177" s="5" t="s">
        <v>50</v>
      </c>
      <c r="G177" s="5" t="s">
        <v>73</v>
      </c>
      <c r="H177" s="5" t="s">
        <v>75</v>
      </c>
      <c r="I177" s="5" t="s">
        <v>51</v>
      </c>
      <c r="J177" s="5" t="s">
        <v>56</v>
      </c>
      <c r="K177" s="5" t="s">
        <v>61</v>
      </c>
      <c r="L177" s="5" t="s">
        <v>66</v>
      </c>
      <c r="M177" s="5" t="s">
        <v>48</v>
      </c>
      <c r="N177" s="5" t="s">
        <v>209</v>
      </c>
      <c r="O177" s="5" t="s">
        <v>47</v>
      </c>
      <c r="P177" s="5" t="s">
        <v>67</v>
      </c>
      <c r="Q177" s="5" t="s">
        <v>58</v>
      </c>
      <c r="R177" s="1">
        <v>2</v>
      </c>
      <c r="S177" s="1">
        <v>23</v>
      </c>
      <c r="T177" s="1">
        <v>59</v>
      </c>
    </row>
    <row r="178" spans="1:20" x14ac:dyDescent="0.3">
      <c r="A178" s="3">
        <v>163</v>
      </c>
      <c r="B178" s="4"/>
      <c r="C178" s="6" t="s">
        <v>201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1">
        <v>0</v>
      </c>
      <c r="S178" s="1">
        <v>27</v>
      </c>
      <c r="T178" s="1"/>
    </row>
  </sheetData>
  <mergeCells count="4">
    <mergeCell ref="A9:A15"/>
    <mergeCell ref="B9:B15"/>
    <mergeCell ref="R9:R15"/>
    <mergeCell ref="S9:S15"/>
  </mergeCells>
  <conditionalFormatting sqref="E4:Q4">
    <cfRule type="colorScale" priority="9">
      <colorScale>
        <cfvo type="min"/>
        <cfvo type="max"/>
        <color rgb="FFFF7128"/>
        <color rgb="FFFFEF9C"/>
      </colorScale>
    </cfRule>
  </conditionalFormatting>
  <conditionalFormatting sqref="E2:Q3">
    <cfRule type="cellIs" dxfId="111" priority="5" operator="equal">
      <formula>"Y"</formula>
    </cfRule>
    <cfRule type="cellIs" dxfId="110" priority="6" operator="equal">
      <formula>"N"</formula>
    </cfRule>
  </conditionalFormatting>
  <conditionalFormatting sqref="S7">
    <cfRule type="cellIs" dxfId="109" priority="3" operator="equal">
      <formula>"Y"</formula>
    </cfRule>
    <cfRule type="cellIs" dxfId="108" priority="4" operator="equal">
      <formula>"N"</formula>
    </cfRule>
  </conditionalFormatting>
  <conditionalFormatting sqref="E7:Q7">
    <cfRule type="cellIs" dxfId="107" priority="1" operator="equal">
      <formula>"Y"</formula>
    </cfRule>
    <cfRule type="cellIs" dxfId="106" priority="2" operator="equal">
      <formula>"N"</formula>
    </cfRule>
  </conditionalFormatting>
  <hyperlinks>
    <hyperlink ref="C16" r:id="rId1" display="https://poolhost.com/profootball/playerstats/1671748"/>
    <hyperlink ref="C17" r:id="rId2" display="https://poolhost.com/profootball/playerstats/1696717"/>
    <hyperlink ref="C18" r:id="rId3" display="https://poolhost.com/profootball/playerstats/1686915"/>
    <hyperlink ref="C19" r:id="rId4" display="https://poolhost.com/profootball/playerstats/1661711"/>
    <hyperlink ref="C20" r:id="rId5" display="https://poolhost.com/profootball/playerstats/1659875"/>
    <hyperlink ref="C21" r:id="rId6" display="https://poolhost.com/profootball/playerstats/1732290"/>
    <hyperlink ref="C22" r:id="rId7" display="https://poolhost.com/profootball/playerstats/1721307"/>
    <hyperlink ref="C23" r:id="rId8" display="https://poolhost.com/profootball/playerstats/1673761"/>
    <hyperlink ref="C24" r:id="rId9" display="https://poolhost.com/profootball/playerstats/1668628"/>
    <hyperlink ref="C25" r:id="rId10" display="https://poolhost.com/profootball/playerstats/1667866"/>
    <hyperlink ref="C26" r:id="rId11" display="https://poolhost.com/profootball/playerstats/1694017"/>
    <hyperlink ref="C27" r:id="rId12" display="https://poolhost.com/profootball/playerstats/1657583"/>
    <hyperlink ref="C28" r:id="rId13" display="https://poolhost.com/profootball/playerstats/1684266"/>
    <hyperlink ref="C29" r:id="rId14" display="https://poolhost.com/profootball/playerstats/1683389"/>
    <hyperlink ref="C30" r:id="rId15" display="https://poolhost.com/profootball/playerstats/1702170"/>
    <hyperlink ref="C31" r:id="rId16" display="https://poolhost.com/profootball/playerstats/1668687"/>
    <hyperlink ref="C32" r:id="rId17" display="https://poolhost.com/profootball/playerstats/1668682"/>
    <hyperlink ref="C33" r:id="rId18" display="https://poolhost.com/profootball/playerstats/1686727"/>
    <hyperlink ref="C34" r:id="rId19" display="https://poolhost.com/profootball/playerstats/1723980"/>
    <hyperlink ref="C35" r:id="rId20" display="https://poolhost.com/profootball/playerstats/1669212"/>
    <hyperlink ref="C36" r:id="rId21" display="https://poolhost.com/profootball/playerstats/1662306"/>
    <hyperlink ref="C37" r:id="rId22" display="https://poolhost.com/profootball/playerstats/1735486"/>
    <hyperlink ref="C38" r:id="rId23" display="https://poolhost.com/profootball/playerstats/1679156"/>
    <hyperlink ref="C39" r:id="rId24" display="https://poolhost.com/profootball/playerstats/1699660"/>
    <hyperlink ref="C40" r:id="rId25" display="https://poolhost.com/profootball/playerstats/1678632"/>
    <hyperlink ref="C41" r:id="rId26" display="https://poolhost.com/profootball/playerstats/1659846"/>
    <hyperlink ref="C42" r:id="rId27" display="https://poolhost.com/profootball/playerstats/1708505"/>
    <hyperlink ref="C43" r:id="rId28" display="https://poolhost.com/profootball/playerstats/1654603"/>
    <hyperlink ref="C44" r:id="rId29" display="https://poolhost.com/profootball/playerstats/1705346"/>
    <hyperlink ref="C45" r:id="rId30" display="https://poolhost.com/profootball/playerstats/1732788"/>
    <hyperlink ref="C46" r:id="rId31" display="https://poolhost.com/profootball/playerstats/1673222"/>
    <hyperlink ref="C47" r:id="rId32" display="https://poolhost.com/profootball/playerstats/1677370"/>
    <hyperlink ref="C48" r:id="rId33" display="https://poolhost.com/profootball/playerstats/1676654"/>
    <hyperlink ref="C49" r:id="rId34" display="https://poolhost.com/profootball/playerstats/1694354"/>
    <hyperlink ref="C50" r:id="rId35" display="https://poolhost.com/profootball/playerstats/1733218"/>
    <hyperlink ref="C51" r:id="rId36" display="https://poolhost.com/profootball/playerstats/1671837"/>
    <hyperlink ref="C52" r:id="rId37" display="https://poolhost.com/profootball/playerstats/1709552"/>
    <hyperlink ref="C53" r:id="rId38" display="https://poolhost.com/profootball/playerstats/1731755"/>
    <hyperlink ref="C54" r:id="rId39" display="https://poolhost.com/profootball/playerstats/1715552"/>
    <hyperlink ref="C55" r:id="rId40" display="https://poolhost.com/profootball/playerstats/1654484"/>
    <hyperlink ref="C56" r:id="rId41" display="https://poolhost.com/profootball/playerstats/1729314"/>
    <hyperlink ref="C57" r:id="rId42" display="https://poolhost.com/profootball/playerstats/1702449"/>
    <hyperlink ref="C58" r:id="rId43" display="https://poolhost.com/profootball/playerstats/1654649"/>
    <hyperlink ref="C59" r:id="rId44" display="https://poolhost.com/profootball/playerstats/1657801"/>
    <hyperlink ref="C60" r:id="rId45" display="https://poolhost.com/profootball/playerstats/1678667"/>
    <hyperlink ref="C61" r:id="rId46" display="https://poolhost.com/profootball/playerstats/1657024"/>
    <hyperlink ref="C62" r:id="rId47" display="https://poolhost.com/profootball/playerstats/1734172"/>
    <hyperlink ref="C63" r:id="rId48" display="https://poolhost.com/profootball/playerstats/1726632"/>
    <hyperlink ref="C64" r:id="rId49" display="https://poolhost.com/profootball/playerstats/1674086"/>
    <hyperlink ref="C65" r:id="rId50" display="https://poolhost.com/profootball/playerstats/1727170"/>
    <hyperlink ref="C66" r:id="rId51" display="https://poolhost.com/profootball/playerstats/1654485"/>
    <hyperlink ref="C67" r:id="rId52" display="https://poolhost.com/profootball/playerstats/1730676"/>
    <hyperlink ref="C68" r:id="rId53" display="https://poolhost.com/profootball/playerstats/1729617"/>
    <hyperlink ref="C69" r:id="rId54" display="https://poolhost.com/profootball/playerstats/1704294"/>
    <hyperlink ref="C70" r:id="rId55" display="https://poolhost.com/profootball/playerstats/1656464"/>
    <hyperlink ref="C71" r:id="rId56" display="https://poolhost.com/profootball/playerstats/1705249"/>
    <hyperlink ref="C72" r:id="rId57" display="https://poolhost.com/profootball/playerstats/1670025"/>
    <hyperlink ref="C73" r:id="rId58" display="https://poolhost.com/profootball/playerstats/1679667"/>
    <hyperlink ref="C74" r:id="rId59" display="https://poolhost.com/profootball/playerstats/1732953"/>
    <hyperlink ref="C75" r:id="rId60" display="https://poolhost.com/profootball/playerstats/1709781"/>
    <hyperlink ref="C76" r:id="rId61" display="https://poolhost.com/profootball/playerstats/1672167"/>
    <hyperlink ref="C77" r:id="rId62" display="https://poolhost.com/profootball/playerstats/1667376"/>
    <hyperlink ref="C78" r:id="rId63" display="https://poolhost.com/profootball/playerstats/1700157"/>
    <hyperlink ref="C79" r:id="rId64" display="https://poolhost.com/profootball/playerstats/1649341"/>
    <hyperlink ref="C80" r:id="rId65" display="https://poolhost.com/profootball/playerstats/1705049"/>
    <hyperlink ref="C81" r:id="rId66" display="https://poolhost.com/profootball/playerstats/1725535"/>
    <hyperlink ref="C82" r:id="rId67" display="https://poolhost.com/profootball/playerstats/1654500"/>
    <hyperlink ref="C83" r:id="rId68" display="https://poolhost.com/profootball/playerstats/1665631"/>
    <hyperlink ref="C84" r:id="rId69" display="https://poolhost.com/profootball/playerstats/1731780"/>
    <hyperlink ref="C85" r:id="rId70" display="https://poolhost.com/profootball/playerstats/1685256"/>
    <hyperlink ref="C86" r:id="rId71" display="https://poolhost.com/profootball/playerstats/1665614"/>
    <hyperlink ref="C87" r:id="rId72" display="https://poolhost.com/profootball/playerstats/1676125"/>
    <hyperlink ref="C88" r:id="rId73" display="https://poolhost.com/profootball/playerstats/1663641"/>
    <hyperlink ref="C89" r:id="rId74" display="https://poolhost.com/profootball/playerstats/1657214"/>
    <hyperlink ref="C90" r:id="rId75" display="https://poolhost.com/profootball/playerstats/1721401"/>
    <hyperlink ref="C91" r:id="rId76" display="https://poolhost.com/profootball/playerstats/1711169"/>
    <hyperlink ref="C92" r:id="rId77" display="https://poolhost.com/profootball/playerstats/1673248"/>
    <hyperlink ref="C93" r:id="rId78" display="https://poolhost.com/profootball/playerstats/1662606"/>
    <hyperlink ref="C94" r:id="rId79" display="https://poolhost.com/profootball/playerstats/1700155"/>
    <hyperlink ref="C95" r:id="rId80" display="https://poolhost.com/profootball/playerstats/1685066"/>
    <hyperlink ref="C96" r:id="rId81" display="https://poolhost.com/profootball/playerstats/1732411"/>
    <hyperlink ref="C97" r:id="rId82" display="https://poolhost.com/profootball/playerstats/1708312"/>
    <hyperlink ref="C98" r:id="rId83" display="https://poolhost.com/profootball/playerstats/1729491"/>
    <hyperlink ref="C99" r:id="rId84" display="https://poolhost.com/profootball/playerstats/1658459"/>
    <hyperlink ref="C100" r:id="rId85" display="https://poolhost.com/profootball/playerstats/1703435"/>
    <hyperlink ref="C101" r:id="rId86" display="https://poolhost.com/profootball/playerstats/1679300"/>
    <hyperlink ref="C102" r:id="rId87" display="https://poolhost.com/profootball/playerstats/1666034"/>
    <hyperlink ref="C103" r:id="rId88" display="https://poolhost.com/profootball/playerstats/1666027"/>
    <hyperlink ref="C104" r:id="rId89" display="https://poolhost.com/profootball/playerstats/1680041"/>
    <hyperlink ref="C105" r:id="rId90" display="https://poolhost.com/profootball/playerstats/1701053"/>
    <hyperlink ref="C106" r:id="rId91" display="https://poolhost.com/profootball/playerstats/1654791"/>
    <hyperlink ref="C107" r:id="rId92" display="https://poolhost.com/profootball/playerstats/1679009"/>
    <hyperlink ref="C108" r:id="rId93" display="https://poolhost.com/profootball/playerstats/1730347"/>
    <hyperlink ref="C109" r:id="rId94" display="https://poolhost.com/profootball/playerstats/1681958"/>
    <hyperlink ref="C110" r:id="rId95" display="https://poolhost.com/profootball/playerstats/1670226"/>
    <hyperlink ref="C111" r:id="rId96" display="https://poolhost.com/profootball/playerstats/1732996"/>
    <hyperlink ref="C112" r:id="rId97" display="https://poolhost.com/profootball/playerstats/1663101"/>
    <hyperlink ref="C113" r:id="rId98" display="https://poolhost.com/profootball/playerstats/1657103"/>
    <hyperlink ref="C114" r:id="rId99" display="https://poolhost.com/profootball/playerstats/1669323"/>
    <hyperlink ref="C115" r:id="rId100" display="https://poolhost.com/profootball/playerstats/1722286"/>
    <hyperlink ref="C116" r:id="rId101" display="https://poolhost.com/profootball/playerstats/1681946"/>
    <hyperlink ref="C117" r:id="rId102" display="https://poolhost.com/profootball/playerstats/1665979"/>
    <hyperlink ref="C118" r:id="rId103" display="https://poolhost.com/profootball/playerstats/1705272"/>
    <hyperlink ref="C119" r:id="rId104" display="https://poolhost.com/profootball/playerstats/1667937"/>
    <hyperlink ref="C120" r:id="rId105" display="https://poolhost.com/profootball/playerstats/1665810"/>
    <hyperlink ref="C121" r:id="rId106" display="https://poolhost.com/profootball/playerstats/1654634"/>
    <hyperlink ref="C122" r:id="rId107" display="https://poolhost.com/profootball/playerstats/1668461"/>
    <hyperlink ref="C123" r:id="rId108" display="https://poolhost.com/profootball/playerstats/1699295"/>
    <hyperlink ref="C124" r:id="rId109" display="https://poolhost.com/profootball/playerstats/1666449"/>
    <hyperlink ref="C125" r:id="rId110" display="https://poolhost.com/profootball/playerstats/1677049"/>
    <hyperlink ref="C126" r:id="rId111" display="https://poolhost.com/profootball/playerstats/1726326"/>
    <hyperlink ref="C127" r:id="rId112" display="https://poolhost.com/profootball/playerstats/1701354"/>
    <hyperlink ref="C128" r:id="rId113" display="https://poolhost.com/profootball/playerstats/1727817"/>
    <hyperlink ref="C129" r:id="rId114" display="https://poolhost.com/profootball/playerstats/1733415"/>
    <hyperlink ref="C130" r:id="rId115" display="https://poolhost.com/profootball/playerstats/1687892"/>
    <hyperlink ref="C131" r:id="rId116" display="https://poolhost.com/profootball/playerstats/1704026"/>
    <hyperlink ref="C132" r:id="rId117" display="https://poolhost.com/profootball/playerstats/1660811"/>
    <hyperlink ref="C133" r:id="rId118" display="https://poolhost.com/profootball/playerstats/1729262"/>
    <hyperlink ref="C134" r:id="rId119" display="https://poolhost.com/profootball/playerstats/1670484"/>
    <hyperlink ref="C135" r:id="rId120" display="https://poolhost.com/profootball/playerstats/1732851"/>
    <hyperlink ref="C136" r:id="rId121" display="https://poolhost.com/profootball/playerstats/1682523"/>
    <hyperlink ref="C137" r:id="rId122" display="https://poolhost.com/profootball/playerstats/1695492"/>
    <hyperlink ref="C138" r:id="rId123" display="https://poolhost.com/profootball/playerstats/1665910"/>
    <hyperlink ref="C139" r:id="rId124" display="https://poolhost.com/profootball/playerstats/1661981"/>
    <hyperlink ref="C140" r:id="rId125" display="https://poolhost.com/profootball/playerstats/1657241"/>
    <hyperlink ref="C141" r:id="rId126" display="https://poolhost.com/profootball/playerstats/1659558"/>
    <hyperlink ref="C142" r:id="rId127" display="https://poolhost.com/profootball/playerstats/1697912"/>
    <hyperlink ref="C143" r:id="rId128" display="https://poolhost.com/profootball/playerstats/1691673"/>
    <hyperlink ref="C144" r:id="rId129" display="https://poolhost.com/profootball/playerstats/1674022"/>
    <hyperlink ref="C145" r:id="rId130" display="https://poolhost.com/profootball/playerstats/1730270"/>
    <hyperlink ref="C146" r:id="rId131" display="https://poolhost.com/profootball/playerstats/1728787"/>
    <hyperlink ref="C147" r:id="rId132" display="https://poolhost.com/profootball/playerstats/1741250"/>
    <hyperlink ref="C148" r:id="rId133" display="https://poolhost.com/profootball/playerstats/1669305"/>
    <hyperlink ref="C149" r:id="rId134" display="https://poolhost.com/profootball/playerstats/1672298"/>
    <hyperlink ref="C150" r:id="rId135" display="https://poolhost.com/profootball/playerstats/1712780"/>
    <hyperlink ref="C151" r:id="rId136" display="https://poolhost.com/profootball/playerstats/1722233"/>
    <hyperlink ref="C152" r:id="rId137" display="https://poolhost.com/profootball/playerstats/1654623"/>
    <hyperlink ref="C153" r:id="rId138" display="https://poolhost.com/profootball/playerstats/1684491"/>
    <hyperlink ref="C154" r:id="rId139" display="https://poolhost.com/profootball/playerstats/1673234"/>
    <hyperlink ref="C155" r:id="rId140" display="https://poolhost.com/profootball/playerstats/1707988"/>
    <hyperlink ref="C156" r:id="rId141" display="https://poolhost.com/profootball/playerstats/1655488"/>
    <hyperlink ref="C157" r:id="rId142" display="https://poolhost.com/profootball/playerstats/1732254"/>
    <hyperlink ref="C158" r:id="rId143" display="https://poolhost.com/profootball/playerstats/1722206"/>
    <hyperlink ref="C159" r:id="rId144" display="https://poolhost.com/profootball/playerstats/1734363"/>
    <hyperlink ref="C160" r:id="rId145" display="https://poolhost.com/profootball/playerstats/1708448"/>
    <hyperlink ref="C161" r:id="rId146" display="https://poolhost.com/profootball/playerstats/1683531"/>
    <hyperlink ref="C162" r:id="rId147" display="https://poolhost.com/profootball/playerstats/1666473"/>
    <hyperlink ref="C163" r:id="rId148" display="https://poolhost.com/profootball/playerstats/1731690"/>
    <hyperlink ref="C164" r:id="rId149" display="https://poolhost.com/profootball/playerstats/1682884"/>
    <hyperlink ref="C165" r:id="rId150" display="https://poolhost.com/profootball/playerstats/1724223"/>
    <hyperlink ref="C166" r:id="rId151" display="https://poolhost.com/profootball/playerstats/1655447"/>
    <hyperlink ref="C167" r:id="rId152" display="https://poolhost.com/profootball/playerstats/1695716"/>
    <hyperlink ref="C168" r:id="rId153" display="https://poolhost.com/profootball/playerstats/1708805"/>
    <hyperlink ref="C169" r:id="rId154" display="https://poolhost.com/profootball/playerstats/1678377"/>
    <hyperlink ref="C170" r:id="rId155" display="https://poolhost.com/profootball/playerstats/1703401"/>
    <hyperlink ref="C171" r:id="rId156" display="https://poolhost.com/profootball/playerstats/1705029"/>
    <hyperlink ref="C172" r:id="rId157" display="https://poolhost.com/profootball/playerstats/1699810"/>
    <hyperlink ref="C173" r:id="rId158" display="https://poolhost.com/profootball/playerstats/1654448"/>
    <hyperlink ref="C174" r:id="rId159" display="https://poolhost.com/profootball/playerstats/1666092"/>
    <hyperlink ref="C175" r:id="rId160" display="https://poolhost.com/profootball/playerstats/1649126"/>
    <hyperlink ref="C176" r:id="rId161" display="https://poolhost.com/profootball/playerstats/1684290"/>
    <hyperlink ref="C177" r:id="rId162" display="https://poolhost.com/profootball/playerstats/1681897"/>
    <hyperlink ref="C178" r:id="rId163" display="https://poolhost.com/profootball/playerstats/172878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8"/>
  <sheetViews>
    <sheetView topLeftCell="J1" zoomScaleNormal="100" workbookViewId="0">
      <selection activeCell="V1" sqref="V1:V14"/>
    </sheetView>
  </sheetViews>
  <sheetFormatPr defaultRowHeight="14.4" x14ac:dyDescent="0.3"/>
  <sheetData>
    <row r="1" spans="1:26" ht="15" thickBot="1" x14ac:dyDescent="0.35">
      <c r="A1" s="2" t="s">
        <v>0</v>
      </c>
      <c r="D1">
        <v>2</v>
      </c>
      <c r="E1">
        <f>D1+1</f>
        <v>3</v>
      </c>
      <c r="F1">
        <f t="shared" ref="F1:Q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v>16</v>
      </c>
      <c r="S1">
        <v>17</v>
      </c>
      <c r="U1" s="16">
        <v>0</v>
      </c>
      <c r="V1" s="11">
        <f>COUNTIF(R$16:R$200,U1)</f>
        <v>2</v>
      </c>
      <c r="W1" s="20">
        <f>V1/SUM(V$1:V$14)</f>
        <v>1.2269938650306749E-2</v>
      </c>
      <c r="X1" s="33"/>
      <c r="Y1" t="s">
        <v>227</v>
      </c>
    </row>
    <row r="2" spans="1:26" ht="15" thickBot="1" x14ac:dyDescent="0.35">
      <c r="A2" s="2" t="s">
        <v>1</v>
      </c>
      <c r="C2" t="s">
        <v>204</v>
      </c>
      <c r="E2" s="24" t="str">
        <f t="shared" ref="E2:Q3" si="1">IF(VLOOKUP($C2,$C$16:$AA$192,E$1,FALSE)=E$8,"Y","N")</f>
        <v>Y</v>
      </c>
      <c r="F2" s="25" t="str">
        <f t="shared" si="1"/>
        <v>Y</v>
      </c>
      <c r="G2" s="25" t="str">
        <f t="shared" si="1"/>
        <v>Y</v>
      </c>
      <c r="H2" s="25" t="str">
        <f t="shared" si="1"/>
        <v>Y</v>
      </c>
      <c r="I2" s="25" t="str">
        <f t="shared" si="1"/>
        <v>Y</v>
      </c>
      <c r="J2" s="25" t="str">
        <f t="shared" si="1"/>
        <v>Y</v>
      </c>
      <c r="K2" s="25" t="str">
        <f t="shared" si="1"/>
        <v>N</v>
      </c>
      <c r="L2" s="25" t="str">
        <f t="shared" si="1"/>
        <v>N</v>
      </c>
      <c r="M2" s="25" t="str">
        <f t="shared" si="1"/>
        <v>Y</v>
      </c>
      <c r="N2" s="25" t="str">
        <f t="shared" si="1"/>
        <v>Y</v>
      </c>
      <c r="O2" s="25" t="str">
        <f t="shared" si="1"/>
        <v>N</v>
      </c>
      <c r="P2" s="25" t="str">
        <f t="shared" si="1"/>
        <v>N</v>
      </c>
      <c r="Q2" s="25" t="str">
        <f t="shared" si="1"/>
        <v>Y</v>
      </c>
      <c r="R2" s="19">
        <f>VLOOKUP($C2,$C$16:$AA$192,R$1,FALSE)</f>
        <v>9</v>
      </c>
      <c r="S2" s="19">
        <f>VLOOKUP($C2,$C$16:$AA$192,S$1,FALSE)</f>
        <v>49</v>
      </c>
      <c r="U2" s="23">
        <v>1</v>
      </c>
      <c r="V2" s="12">
        <f t="shared" ref="V2:V14" si="2">COUNTIF(R$16:R$200,U2)</f>
        <v>0</v>
      </c>
      <c r="W2" s="21">
        <f t="shared" ref="W2:W14" si="3">V2/SUM(V$1:V$14)</f>
        <v>0</v>
      </c>
      <c r="X2" s="33"/>
      <c r="Y2">
        <v>0</v>
      </c>
      <c r="Z2">
        <f>COUNTIF(T$16:T$179,Y2)</f>
        <v>0</v>
      </c>
    </row>
    <row r="3" spans="1:26" ht="15" thickBot="1" x14ac:dyDescent="0.35">
      <c r="A3" s="2" t="s">
        <v>2</v>
      </c>
      <c r="C3" t="s">
        <v>162</v>
      </c>
      <c r="E3" s="13" t="str">
        <f t="shared" si="1"/>
        <v>N</v>
      </c>
      <c r="F3" s="14" t="str">
        <f t="shared" si="1"/>
        <v>Y</v>
      </c>
      <c r="G3" s="14" t="str">
        <f t="shared" si="1"/>
        <v>Y</v>
      </c>
      <c r="H3" s="14" t="str">
        <f t="shared" si="1"/>
        <v>N</v>
      </c>
      <c r="I3" s="14" t="str">
        <f t="shared" si="1"/>
        <v>N</v>
      </c>
      <c r="J3" s="14" t="str">
        <f t="shared" si="1"/>
        <v>N</v>
      </c>
      <c r="K3" s="14" t="str">
        <f t="shared" si="1"/>
        <v>N</v>
      </c>
      <c r="L3" s="14" t="str">
        <f t="shared" si="1"/>
        <v>Y</v>
      </c>
      <c r="M3" s="14" t="str">
        <f t="shared" si="1"/>
        <v>N</v>
      </c>
      <c r="N3" s="14" t="str">
        <f t="shared" si="1"/>
        <v>Y</v>
      </c>
      <c r="O3" s="14" t="str">
        <f t="shared" si="1"/>
        <v>N</v>
      </c>
      <c r="P3" s="14" t="str">
        <f t="shared" si="1"/>
        <v>N</v>
      </c>
      <c r="Q3" s="14" t="str">
        <f t="shared" si="1"/>
        <v>Y</v>
      </c>
      <c r="R3" s="18">
        <f>VLOOKUP($C3,$C$16:$AA$192,R$1,FALSE)</f>
        <v>5</v>
      </c>
      <c r="S3" s="18">
        <f>VLOOKUP($C3,$C$16:$AA$192,S$1,FALSE)</f>
        <v>44</v>
      </c>
      <c r="U3" s="23">
        <v>2</v>
      </c>
      <c r="V3" s="12">
        <f t="shared" si="2"/>
        <v>1</v>
      </c>
      <c r="W3" s="21">
        <f t="shared" si="3"/>
        <v>6.1349693251533744E-3</v>
      </c>
      <c r="X3" s="33"/>
      <c r="Y3">
        <v>1</v>
      </c>
      <c r="Z3">
        <f t="shared" ref="Z3:Z66" si="4">COUNTIF(T$16:T$179,Y3)</f>
        <v>0</v>
      </c>
    </row>
    <row r="4" spans="1:26" x14ac:dyDescent="0.3">
      <c r="A4" s="2" t="s">
        <v>3</v>
      </c>
      <c r="C4" t="s">
        <v>205</v>
      </c>
      <c r="E4" s="9">
        <f>E5/SUM(E5:E6)</f>
        <v>0.59006211180124224</v>
      </c>
      <c r="F4" s="9">
        <f t="shared" ref="F4:Q4" si="5">F5/SUM(F5:F6)</f>
        <v>0.453416149068323</v>
      </c>
      <c r="G4" s="9">
        <f t="shared" si="5"/>
        <v>0.59627329192546585</v>
      </c>
      <c r="H4" s="9">
        <f t="shared" si="5"/>
        <v>0.39130434782608697</v>
      </c>
      <c r="I4" s="9">
        <f t="shared" si="5"/>
        <v>0.27950310559006208</v>
      </c>
      <c r="J4" s="9">
        <f t="shared" si="5"/>
        <v>0.63975155279503104</v>
      </c>
      <c r="K4" s="9">
        <f t="shared" si="5"/>
        <v>0.49689440993788819</v>
      </c>
      <c r="L4" s="9">
        <f t="shared" si="5"/>
        <v>0.6149068322981367</v>
      </c>
      <c r="M4" s="9">
        <f t="shared" si="5"/>
        <v>0.26708074534161491</v>
      </c>
      <c r="N4" s="9">
        <f t="shared" si="5"/>
        <v>0.22981366459627328</v>
      </c>
      <c r="O4" s="9">
        <f t="shared" si="5"/>
        <v>0.40993788819875776</v>
      </c>
      <c r="P4" s="9">
        <f t="shared" si="5"/>
        <v>0.36645962732919257</v>
      </c>
      <c r="Q4" s="9">
        <f t="shared" si="5"/>
        <v>0.29813664596273293</v>
      </c>
      <c r="R4" s="10" t="s">
        <v>217</v>
      </c>
      <c r="S4" s="10" t="s">
        <v>218</v>
      </c>
      <c r="U4" s="23">
        <v>3</v>
      </c>
      <c r="V4" s="12">
        <f t="shared" si="2"/>
        <v>7</v>
      </c>
      <c r="W4" s="21">
        <f t="shared" si="3"/>
        <v>4.2944785276073622E-2</v>
      </c>
      <c r="X4" s="33"/>
      <c r="Y4">
        <v>2</v>
      </c>
      <c r="Z4">
        <f t="shared" si="4"/>
        <v>0</v>
      </c>
    </row>
    <row r="5" spans="1:26" x14ac:dyDescent="0.3">
      <c r="A5" s="2" t="s">
        <v>0</v>
      </c>
      <c r="C5" t="s">
        <v>202</v>
      </c>
      <c r="D5">
        <f t="shared" ref="D5:Q5" si="6">COUNTIF(D$16:D$197,D10)</f>
        <v>0</v>
      </c>
      <c r="E5">
        <f t="shared" si="6"/>
        <v>95</v>
      </c>
      <c r="F5">
        <f t="shared" si="6"/>
        <v>73</v>
      </c>
      <c r="G5">
        <f t="shared" si="6"/>
        <v>96</v>
      </c>
      <c r="H5">
        <f t="shared" si="6"/>
        <v>63</v>
      </c>
      <c r="I5">
        <f t="shared" si="6"/>
        <v>45</v>
      </c>
      <c r="J5">
        <f t="shared" si="6"/>
        <v>103</v>
      </c>
      <c r="K5">
        <f t="shared" si="6"/>
        <v>80</v>
      </c>
      <c r="L5">
        <f t="shared" si="6"/>
        <v>99</v>
      </c>
      <c r="M5">
        <f t="shared" si="6"/>
        <v>43</v>
      </c>
      <c r="N5">
        <f t="shared" si="6"/>
        <v>37</v>
      </c>
      <c r="O5">
        <f t="shared" si="6"/>
        <v>66</v>
      </c>
      <c r="P5">
        <f t="shared" si="6"/>
        <v>59</v>
      </c>
      <c r="Q5">
        <f t="shared" si="6"/>
        <v>48</v>
      </c>
      <c r="U5" s="23">
        <v>4</v>
      </c>
      <c r="V5" s="12">
        <f t="shared" si="2"/>
        <v>5</v>
      </c>
      <c r="W5" s="21">
        <f t="shared" si="3"/>
        <v>3.0674846625766871E-2</v>
      </c>
      <c r="X5" s="33"/>
      <c r="Y5">
        <v>3</v>
      </c>
      <c r="Z5">
        <f t="shared" si="4"/>
        <v>0</v>
      </c>
    </row>
    <row r="6" spans="1:26" ht="15" thickBot="1" x14ac:dyDescent="0.35">
      <c r="A6" s="2" t="s">
        <v>4</v>
      </c>
      <c r="C6" t="s">
        <v>203</v>
      </c>
      <c r="D6">
        <f t="shared" ref="D6:Q6" si="7">COUNTIF(D$16:D$197,D12)</f>
        <v>0</v>
      </c>
      <c r="E6">
        <f t="shared" si="7"/>
        <v>66</v>
      </c>
      <c r="F6">
        <f t="shared" si="7"/>
        <v>88</v>
      </c>
      <c r="G6">
        <f t="shared" si="7"/>
        <v>65</v>
      </c>
      <c r="H6">
        <f t="shared" si="7"/>
        <v>98</v>
      </c>
      <c r="I6">
        <f t="shared" si="7"/>
        <v>116</v>
      </c>
      <c r="J6">
        <f t="shared" si="7"/>
        <v>58</v>
      </c>
      <c r="K6">
        <f t="shared" si="7"/>
        <v>81</v>
      </c>
      <c r="L6">
        <f t="shared" si="7"/>
        <v>62</v>
      </c>
      <c r="M6">
        <f t="shared" si="7"/>
        <v>118</v>
      </c>
      <c r="N6">
        <f t="shared" si="7"/>
        <v>124</v>
      </c>
      <c r="O6">
        <f t="shared" si="7"/>
        <v>95</v>
      </c>
      <c r="P6">
        <f t="shared" si="7"/>
        <v>102</v>
      </c>
      <c r="Q6">
        <f t="shared" si="7"/>
        <v>113</v>
      </c>
      <c r="U6" s="23">
        <v>5</v>
      </c>
      <c r="V6" s="12">
        <f t="shared" si="2"/>
        <v>8</v>
      </c>
      <c r="W6" s="21">
        <f t="shared" si="3"/>
        <v>4.9079754601226995E-2</v>
      </c>
      <c r="X6" s="33"/>
      <c r="Y6">
        <f>Y5+1</f>
        <v>4</v>
      </c>
      <c r="Z6">
        <f t="shared" si="4"/>
        <v>1</v>
      </c>
    </row>
    <row r="7" spans="1:26" ht="15" thickBot="1" x14ac:dyDescent="0.35">
      <c r="A7" s="2"/>
      <c r="C7" t="s">
        <v>213</v>
      </c>
      <c r="E7" s="28" t="str">
        <f>IF(AND(E10=E8,E4&gt;0.5),"Y",IF(AND(E10=E8,E4&lt;0.5),"N",IF(E4&gt;0.5,"Y","N")))</f>
        <v>Y</v>
      </c>
      <c r="F7" s="11" t="str">
        <f>IF(AND(F10=F8,F4&gt;0.5),"Y",IF(AND(F10=F8,F4&lt;0.5),"N",IF(F4&gt;0.5,"Y","N")))</f>
        <v>N</v>
      </c>
      <c r="G7" s="11" t="str">
        <f t="shared" ref="G7:Q7" si="8">IF(AND(G10=G8,G4&gt;0.5),"Y",IF(AND(G10=G8,G4&lt;0.5),"N",IF(G4&lt;0.5,"Y","N")))</f>
        <v>Y</v>
      </c>
      <c r="H7" s="11" t="str">
        <f t="shared" si="8"/>
        <v>Y</v>
      </c>
      <c r="I7" s="11" t="str">
        <f t="shared" si="8"/>
        <v>Y</v>
      </c>
      <c r="J7" s="11" t="str">
        <f t="shared" si="8"/>
        <v>N</v>
      </c>
      <c r="K7" s="11" t="str">
        <f t="shared" si="8"/>
        <v>Y</v>
      </c>
      <c r="L7" s="11" t="str">
        <f t="shared" si="8"/>
        <v>N</v>
      </c>
      <c r="M7" s="11" t="str">
        <f t="shared" si="8"/>
        <v>Y</v>
      </c>
      <c r="N7" s="11" t="str">
        <f t="shared" si="8"/>
        <v>Y</v>
      </c>
      <c r="O7" s="11" t="str">
        <f t="shared" si="8"/>
        <v>Y</v>
      </c>
      <c r="P7" s="11" t="str">
        <f t="shared" si="8"/>
        <v>Y</v>
      </c>
      <c r="Q7" s="29" t="str">
        <f t="shared" si="8"/>
        <v>Y</v>
      </c>
      <c r="R7" s="37" t="s">
        <v>220</v>
      </c>
      <c r="S7" s="38">
        <f>COUNTIF(C7:Q7,"Y")</f>
        <v>10</v>
      </c>
      <c r="U7" s="23">
        <v>6</v>
      </c>
      <c r="V7" s="12">
        <f t="shared" si="2"/>
        <v>15</v>
      </c>
      <c r="W7" s="21">
        <f t="shared" si="3"/>
        <v>9.202453987730061E-2</v>
      </c>
      <c r="X7" s="33"/>
      <c r="Y7">
        <f t="shared" ref="Y7:Y70" si="9">Y6+1</f>
        <v>5</v>
      </c>
      <c r="Z7">
        <f t="shared" si="4"/>
        <v>0</v>
      </c>
    </row>
    <row r="8" spans="1:26" ht="15" thickBot="1" x14ac:dyDescent="0.35">
      <c r="A8" s="2"/>
      <c r="C8" t="s">
        <v>212</v>
      </c>
      <c r="E8" s="30" t="s">
        <v>50</v>
      </c>
      <c r="F8" s="31" t="s">
        <v>52</v>
      </c>
      <c r="G8" s="31" t="s">
        <v>54</v>
      </c>
      <c r="H8" s="31" t="s">
        <v>57</v>
      </c>
      <c r="I8" s="31" t="s">
        <v>59</v>
      </c>
      <c r="J8" s="31" t="s">
        <v>61</v>
      </c>
      <c r="K8" s="31" t="s">
        <v>63</v>
      </c>
      <c r="L8" s="31" t="s">
        <v>65</v>
      </c>
      <c r="M8" s="31" t="s">
        <v>67</v>
      </c>
      <c r="N8" s="31" t="s">
        <v>69</v>
      </c>
      <c r="O8" s="31" t="s">
        <v>71</v>
      </c>
      <c r="P8" s="31" t="s">
        <v>73</v>
      </c>
      <c r="Q8" s="32" t="s">
        <v>75</v>
      </c>
      <c r="U8" s="34">
        <v>7</v>
      </c>
      <c r="V8" s="35">
        <f t="shared" si="2"/>
        <v>28</v>
      </c>
      <c r="W8" s="36">
        <f t="shared" si="3"/>
        <v>0.17177914110429449</v>
      </c>
      <c r="X8" s="33"/>
      <c r="Y8">
        <f t="shared" si="9"/>
        <v>6</v>
      </c>
      <c r="Z8">
        <f t="shared" si="4"/>
        <v>0</v>
      </c>
    </row>
    <row r="9" spans="1:26" x14ac:dyDescent="0.3">
      <c r="A9" s="47" t="s">
        <v>46</v>
      </c>
      <c r="B9" s="47"/>
      <c r="C9" s="2" t="s">
        <v>0</v>
      </c>
      <c r="D9" s="7">
        <v>24</v>
      </c>
      <c r="E9" s="7">
        <v>35</v>
      </c>
      <c r="F9" s="7">
        <v>30</v>
      </c>
      <c r="G9" s="7">
        <v>34</v>
      </c>
      <c r="H9" s="7">
        <v>21</v>
      </c>
      <c r="I9" s="7">
        <v>27</v>
      </c>
      <c r="J9" s="7">
        <v>20</v>
      </c>
      <c r="K9" s="7">
        <v>17</v>
      </c>
      <c r="L9" s="7">
        <v>16</v>
      </c>
      <c r="M9" s="7">
        <v>13</v>
      </c>
      <c r="N9" s="7">
        <v>20</v>
      </c>
      <c r="O9" s="7">
        <v>9</v>
      </c>
      <c r="P9" s="7">
        <v>7</v>
      </c>
      <c r="Q9" s="7">
        <v>20</v>
      </c>
      <c r="R9" s="47" t="s">
        <v>76</v>
      </c>
      <c r="S9" s="47" t="s">
        <v>77</v>
      </c>
      <c r="T9" s="8" t="s">
        <v>78</v>
      </c>
      <c r="U9" s="23">
        <v>8</v>
      </c>
      <c r="V9" s="12">
        <f t="shared" si="2"/>
        <v>40</v>
      </c>
      <c r="W9" s="21">
        <f t="shared" si="3"/>
        <v>0.24539877300613497</v>
      </c>
      <c r="X9" s="33"/>
      <c r="Y9">
        <f t="shared" si="9"/>
        <v>7</v>
      </c>
      <c r="Z9">
        <f t="shared" si="4"/>
        <v>0</v>
      </c>
    </row>
    <row r="10" spans="1:26" x14ac:dyDescent="0.3">
      <c r="A10" s="47"/>
      <c r="B10" s="47"/>
      <c r="C10" s="2" t="s">
        <v>1</v>
      </c>
      <c r="D10" s="7" t="s">
        <v>47</v>
      </c>
      <c r="E10" s="7" t="s">
        <v>50</v>
      </c>
      <c r="F10" s="7" t="s">
        <v>52</v>
      </c>
      <c r="G10" s="7" t="s">
        <v>54</v>
      </c>
      <c r="H10" s="7" t="s">
        <v>56</v>
      </c>
      <c r="I10" s="7" t="s">
        <v>58</v>
      </c>
      <c r="J10" s="7" t="s">
        <v>60</v>
      </c>
      <c r="K10" s="7" t="s">
        <v>62</v>
      </c>
      <c r="L10" s="7" t="s">
        <v>64</v>
      </c>
      <c r="M10" s="7" t="s">
        <v>66</v>
      </c>
      <c r="N10" s="7" t="s">
        <v>68</v>
      </c>
      <c r="O10" s="7" t="s">
        <v>70</v>
      </c>
      <c r="P10" s="7" t="s">
        <v>72</v>
      </c>
      <c r="Q10" s="7" t="s">
        <v>74</v>
      </c>
      <c r="R10" s="47"/>
      <c r="S10" s="47"/>
      <c r="T10" s="8" t="s">
        <v>77</v>
      </c>
      <c r="U10" s="23">
        <v>9</v>
      </c>
      <c r="V10" s="12">
        <f t="shared" si="2"/>
        <v>36</v>
      </c>
      <c r="W10" s="21">
        <f t="shared" si="3"/>
        <v>0.22085889570552147</v>
      </c>
      <c r="X10" s="33"/>
      <c r="Y10">
        <f t="shared" si="9"/>
        <v>8</v>
      </c>
      <c r="Z10">
        <f t="shared" si="4"/>
        <v>0</v>
      </c>
    </row>
    <row r="11" spans="1:26" x14ac:dyDescent="0.3">
      <c r="A11" s="47"/>
      <c r="B11" s="47"/>
      <c r="C11" s="2" t="s">
        <v>2</v>
      </c>
      <c r="D11" s="7">
        <v>3.5</v>
      </c>
      <c r="E11" s="7">
        <v>-2.5</v>
      </c>
      <c r="F11" s="7">
        <v>-6.5</v>
      </c>
      <c r="G11" s="7">
        <v>-5</v>
      </c>
      <c r="H11" s="7">
        <v>7</v>
      </c>
      <c r="I11" s="7">
        <v>-2</v>
      </c>
      <c r="J11" s="7">
        <v>-8.5</v>
      </c>
      <c r="K11" s="7">
        <v>1</v>
      </c>
      <c r="L11" s="7">
        <v>3</v>
      </c>
      <c r="M11" s="7">
        <v>3</v>
      </c>
      <c r="N11" s="7">
        <v>6</v>
      </c>
      <c r="O11" s="7">
        <v>3</v>
      </c>
      <c r="P11" s="7">
        <v>3.5</v>
      </c>
      <c r="Q11" s="7">
        <v>2.5</v>
      </c>
      <c r="R11" s="47"/>
      <c r="S11" s="47"/>
      <c r="T11" s="8">
        <v>-43</v>
      </c>
      <c r="U11" s="23">
        <v>10</v>
      </c>
      <c r="V11" s="12">
        <f t="shared" si="2"/>
        <v>14</v>
      </c>
      <c r="W11" s="21">
        <f t="shared" si="3"/>
        <v>8.5889570552147243E-2</v>
      </c>
      <c r="X11" s="33"/>
      <c r="Y11">
        <f t="shared" si="9"/>
        <v>9</v>
      </c>
      <c r="Z11">
        <f t="shared" si="4"/>
        <v>0</v>
      </c>
    </row>
    <row r="12" spans="1:26" x14ac:dyDescent="0.3">
      <c r="A12" s="47"/>
      <c r="B12" s="47"/>
      <c r="C12" s="2" t="s">
        <v>3</v>
      </c>
      <c r="D12" s="7" t="s">
        <v>48</v>
      </c>
      <c r="E12" s="7" t="s">
        <v>51</v>
      </c>
      <c r="F12" s="7" t="s">
        <v>53</v>
      </c>
      <c r="G12" s="7" t="s">
        <v>55</v>
      </c>
      <c r="H12" s="7" t="s">
        <v>57</v>
      </c>
      <c r="I12" s="7" t="s">
        <v>59</v>
      </c>
      <c r="J12" s="7" t="s">
        <v>61</v>
      </c>
      <c r="K12" s="7" t="s">
        <v>63</v>
      </c>
      <c r="L12" s="7" t="s">
        <v>65</v>
      </c>
      <c r="M12" s="7" t="s">
        <v>67</v>
      </c>
      <c r="N12" s="7" t="s">
        <v>69</v>
      </c>
      <c r="O12" s="7" t="s">
        <v>71</v>
      </c>
      <c r="P12" s="7" t="s">
        <v>73</v>
      </c>
      <c r="Q12" s="7" t="s">
        <v>75</v>
      </c>
      <c r="R12" s="47"/>
      <c r="S12" s="47"/>
      <c r="T12" s="8"/>
      <c r="U12" s="23">
        <v>11</v>
      </c>
      <c r="V12" s="12">
        <f t="shared" si="2"/>
        <v>6</v>
      </c>
      <c r="W12" s="21">
        <f t="shared" si="3"/>
        <v>3.6809815950920248E-2</v>
      </c>
      <c r="X12" s="33"/>
      <c r="Y12">
        <f t="shared" si="9"/>
        <v>10</v>
      </c>
      <c r="Z12">
        <f t="shared" si="4"/>
        <v>0</v>
      </c>
    </row>
    <row r="13" spans="1:26" x14ac:dyDescent="0.3">
      <c r="A13" s="47"/>
      <c r="B13" s="47"/>
      <c r="C13" s="2" t="s">
        <v>0</v>
      </c>
      <c r="D13" s="7">
        <v>36</v>
      </c>
      <c r="E13" s="7">
        <v>16</v>
      </c>
      <c r="F13" s="7">
        <v>23</v>
      </c>
      <c r="G13" s="7">
        <v>13</v>
      </c>
      <c r="H13" s="7">
        <v>41</v>
      </c>
      <c r="I13" s="7">
        <v>51</v>
      </c>
      <c r="J13" s="7">
        <v>16</v>
      </c>
      <c r="K13" s="7">
        <v>20</v>
      </c>
      <c r="L13" s="7">
        <v>23</v>
      </c>
      <c r="M13" s="7">
        <v>32</v>
      </c>
      <c r="N13" s="7">
        <v>38</v>
      </c>
      <c r="O13" s="7">
        <v>47</v>
      </c>
      <c r="P13" s="7">
        <v>17</v>
      </c>
      <c r="Q13" s="7">
        <v>23</v>
      </c>
      <c r="R13" s="47"/>
      <c r="S13" s="47"/>
      <c r="T13" s="8"/>
      <c r="U13" s="23">
        <v>12</v>
      </c>
      <c r="V13" s="12">
        <f t="shared" si="2"/>
        <v>1</v>
      </c>
      <c r="W13" s="21">
        <f t="shared" si="3"/>
        <v>6.1349693251533744E-3</v>
      </c>
      <c r="X13" s="33"/>
      <c r="Y13">
        <f t="shared" si="9"/>
        <v>11</v>
      </c>
      <c r="Z13">
        <f t="shared" si="4"/>
        <v>0</v>
      </c>
    </row>
    <row r="14" spans="1:26" ht="15" thickBot="1" x14ac:dyDescent="0.35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47"/>
      <c r="S14" s="47"/>
      <c r="T14" s="8"/>
      <c r="U14" s="17">
        <v>13</v>
      </c>
      <c r="V14" s="14">
        <f t="shared" si="2"/>
        <v>0</v>
      </c>
      <c r="W14" s="22">
        <f t="shared" si="3"/>
        <v>0</v>
      </c>
      <c r="X14" s="33"/>
      <c r="Y14">
        <f t="shared" si="9"/>
        <v>12</v>
      </c>
      <c r="Z14">
        <f t="shared" si="4"/>
        <v>1</v>
      </c>
    </row>
    <row r="15" spans="1:26" ht="28.8" x14ac:dyDescent="0.3">
      <c r="A15" s="47"/>
      <c r="B15" s="47"/>
      <c r="C15" s="2" t="s">
        <v>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47"/>
      <c r="S15" s="47"/>
      <c r="T15" s="8"/>
      <c r="Y15">
        <f t="shared" si="9"/>
        <v>13</v>
      </c>
      <c r="Z15">
        <f t="shared" si="4"/>
        <v>0</v>
      </c>
    </row>
    <row r="16" spans="1:26" x14ac:dyDescent="0.3">
      <c r="A16" s="27">
        <v>1</v>
      </c>
      <c r="B16" s="4"/>
      <c r="C16" s="6" t="s">
        <v>110</v>
      </c>
      <c r="D16" s="5"/>
      <c r="E16" s="5" t="s">
        <v>50</v>
      </c>
      <c r="F16" s="5" t="s">
        <v>52</v>
      </c>
      <c r="G16" s="5" t="s">
        <v>55</v>
      </c>
      <c r="H16" s="5" t="s">
        <v>57</v>
      </c>
      <c r="I16" s="5" t="s">
        <v>59</v>
      </c>
      <c r="J16" s="5" t="s">
        <v>61</v>
      </c>
      <c r="K16" s="5" t="s">
        <v>63</v>
      </c>
      <c r="L16" s="5" t="s">
        <v>65</v>
      </c>
      <c r="M16" s="5" t="s">
        <v>67</v>
      </c>
      <c r="N16" s="5" t="s">
        <v>69</v>
      </c>
      <c r="O16" s="5" t="s">
        <v>71</v>
      </c>
      <c r="P16" s="5" t="s">
        <v>73</v>
      </c>
      <c r="Q16" s="5" t="s">
        <v>75</v>
      </c>
      <c r="R16" s="1">
        <v>12</v>
      </c>
      <c r="S16" s="1">
        <v>45</v>
      </c>
      <c r="T16" s="1">
        <v>48</v>
      </c>
      <c r="Y16">
        <f t="shared" si="9"/>
        <v>14</v>
      </c>
      <c r="Z16">
        <f t="shared" si="4"/>
        <v>0</v>
      </c>
    </row>
    <row r="17" spans="1:26" ht="28.8" x14ac:dyDescent="0.3">
      <c r="A17" s="27">
        <v>2</v>
      </c>
      <c r="B17" s="4"/>
      <c r="C17" s="6" t="s">
        <v>34</v>
      </c>
      <c r="D17" s="5"/>
      <c r="E17" s="5" t="s">
        <v>50</v>
      </c>
      <c r="F17" s="5" t="s">
        <v>52</v>
      </c>
      <c r="G17" s="5" t="s">
        <v>54</v>
      </c>
      <c r="H17" s="5" t="s">
        <v>57</v>
      </c>
      <c r="I17" s="5" t="s">
        <v>59</v>
      </c>
      <c r="J17" s="5" t="s">
        <v>60</v>
      </c>
      <c r="K17" s="5" t="s">
        <v>63</v>
      </c>
      <c r="L17" s="5" t="s">
        <v>64</v>
      </c>
      <c r="M17" s="5" t="s">
        <v>67</v>
      </c>
      <c r="N17" s="5" t="s">
        <v>69</v>
      </c>
      <c r="O17" s="5" t="s">
        <v>71</v>
      </c>
      <c r="P17" s="5" t="s">
        <v>73</v>
      </c>
      <c r="Q17" s="5" t="s">
        <v>75</v>
      </c>
      <c r="R17" s="1">
        <v>11</v>
      </c>
      <c r="S17" s="1">
        <v>41</v>
      </c>
      <c r="T17" s="1">
        <v>42</v>
      </c>
      <c r="Y17">
        <f t="shared" si="9"/>
        <v>15</v>
      </c>
      <c r="Z17">
        <f t="shared" si="4"/>
        <v>0</v>
      </c>
    </row>
    <row r="18" spans="1:26" x14ac:dyDescent="0.3">
      <c r="A18" s="27">
        <v>3</v>
      </c>
      <c r="B18" s="4"/>
      <c r="C18" s="6" t="s">
        <v>88</v>
      </c>
      <c r="D18" s="5"/>
      <c r="E18" s="5" t="s">
        <v>50</v>
      </c>
      <c r="F18" s="5" t="s">
        <v>52</v>
      </c>
      <c r="G18" s="5" t="s">
        <v>54</v>
      </c>
      <c r="H18" s="5" t="s">
        <v>57</v>
      </c>
      <c r="I18" s="5" t="s">
        <v>59</v>
      </c>
      <c r="J18" s="5" t="s">
        <v>60</v>
      </c>
      <c r="K18" s="5" t="s">
        <v>63</v>
      </c>
      <c r="L18" s="5" t="s">
        <v>65</v>
      </c>
      <c r="M18" s="5" t="s">
        <v>66</v>
      </c>
      <c r="N18" s="5" t="s">
        <v>69</v>
      </c>
      <c r="O18" s="5" t="s">
        <v>71</v>
      </c>
      <c r="P18" s="5" t="s">
        <v>73</v>
      </c>
      <c r="Q18" s="5" t="s">
        <v>75</v>
      </c>
      <c r="R18" s="1">
        <v>11</v>
      </c>
      <c r="S18" s="1">
        <v>45</v>
      </c>
      <c r="T18" s="1">
        <v>45</v>
      </c>
      <c r="Y18">
        <f t="shared" si="9"/>
        <v>16</v>
      </c>
      <c r="Z18">
        <f t="shared" si="4"/>
        <v>0</v>
      </c>
    </row>
    <row r="19" spans="1:26" x14ac:dyDescent="0.3">
      <c r="A19" s="27">
        <v>4</v>
      </c>
      <c r="B19" s="4"/>
      <c r="C19" s="6" t="s">
        <v>95</v>
      </c>
      <c r="D19" s="5"/>
      <c r="E19" s="5" t="s">
        <v>50</v>
      </c>
      <c r="F19" s="5" t="s">
        <v>52</v>
      </c>
      <c r="G19" s="5" t="s">
        <v>54</v>
      </c>
      <c r="H19" s="5" t="s">
        <v>57</v>
      </c>
      <c r="I19" s="5" t="s">
        <v>59</v>
      </c>
      <c r="J19" s="5" t="s">
        <v>60</v>
      </c>
      <c r="K19" s="5" t="s">
        <v>62</v>
      </c>
      <c r="L19" s="5" t="s">
        <v>65</v>
      </c>
      <c r="M19" s="5" t="s">
        <v>67</v>
      </c>
      <c r="N19" s="5" t="s">
        <v>69</v>
      </c>
      <c r="O19" s="5" t="s">
        <v>71</v>
      </c>
      <c r="P19" s="5" t="s">
        <v>73</v>
      </c>
      <c r="Q19" s="5" t="s">
        <v>75</v>
      </c>
      <c r="R19" s="1">
        <v>11</v>
      </c>
      <c r="S19" s="1">
        <v>46</v>
      </c>
      <c r="T19" s="1">
        <v>46</v>
      </c>
      <c r="Y19">
        <f t="shared" si="9"/>
        <v>17</v>
      </c>
      <c r="Z19">
        <f t="shared" si="4"/>
        <v>0</v>
      </c>
    </row>
    <row r="20" spans="1:26" x14ac:dyDescent="0.3">
      <c r="A20" s="27">
        <v>5</v>
      </c>
      <c r="B20" s="4"/>
      <c r="C20" s="6" t="s">
        <v>190</v>
      </c>
      <c r="D20" s="5"/>
      <c r="E20" s="5" t="s">
        <v>51</v>
      </c>
      <c r="F20" s="5" t="s">
        <v>52</v>
      </c>
      <c r="G20" s="5" t="s">
        <v>54</v>
      </c>
      <c r="H20" s="5" t="s">
        <v>57</v>
      </c>
      <c r="I20" s="5" t="s">
        <v>59</v>
      </c>
      <c r="J20" s="5" t="s">
        <v>60</v>
      </c>
      <c r="K20" s="5" t="s">
        <v>63</v>
      </c>
      <c r="L20" s="5" t="s">
        <v>65</v>
      </c>
      <c r="M20" s="5" t="s">
        <v>67</v>
      </c>
      <c r="N20" s="5" t="s">
        <v>69</v>
      </c>
      <c r="O20" s="5" t="s">
        <v>71</v>
      </c>
      <c r="P20" s="5" t="s">
        <v>73</v>
      </c>
      <c r="Q20" s="5" t="s">
        <v>75</v>
      </c>
      <c r="R20" s="1">
        <v>11</v>
      </c>
      <c r="S20" s="1">
        <v>43</v>
      </c>
      <c r="T20" s="1">
        <v>49</v>
      </c>
      <c r="Y20">
        <f t="shared" si="9"/>
        <v>18</v>
      </c>
      <c r="Z20">
        <f t="shared" si="4"/>
        <v>0</v>
      </c>
    </row>
    <row r="21" spans="1:26" ht="28.8" x14ac:dyDescent="0.3">
      <c r="A21" s="27">
        <v>6</v>
      </c>
      <c r="B21" s="4"/>
      <c r="C21" s="6" t="s">
        <v>9</v>
      </c>
      <c r="D21" s="5"/>
      <c r="E21" s="5" t="s">
        <v>50</v>
      </c>
      <c r="F21" s="5" t="s">
        <v>52</v>
      </c>
      <c r="G21" s="5" t="s">
        <v>54</v>
      </c>
      <c r="H21" s="5" t="s">
        <v>57</v>
      </c>
      <c r="I21" s="5" t="s">
        <v>59</v>
      </c>
      <c r="J21" s="5" t="s">
        <v>60</v>
      </c>
      <c r="K21" s="5" t="s">
        <v>62</v>
      </c>
      <c r="L21" s="5" t="s">
        <v>65</v>
      </c>
      <c r="M21" s="5" t="s">
        <v>67</v>
      </c>
      <c r="N21" s="5" t="s">
        <v>69</v>
      </c>
      <c r="O21" s="5" t="s">
        <v>71</v>
      </c>
      <c r="P21" s="5" t="s">
        <v>73</v>
      </c>
      <c r="Q21" s="5" t="s">
        <v>75</v>
      </c>
      <c r="R21" s="1">
        <v>11</v>
      </c>
      <c r="S21" s="1">
        <v>47</v>
      </c>
      <c r="T21" s="1">
        <v>34</v>
      </c>
      <c r="Y21">
        <f t="shared" si="9"/>
        <v>19</v>
      </c>
      <c r="Z21">
        <f t="shared" si="4"/>
        <v>0</v>
      </c>
    </row>
    <row r="22" spans="1:26" ht="28.8" x14ac:dyDescent="0.3">
      <c r="A22" s="27">
        <v>7</v>
      </c>
      <c r="B22" s="4"/>
      <c r="C22" s="6" t="s">
        <v>125</v>
      </c>
      <c r="D22" s="5"/>
      <c r="E22" s="5" t="s">
        <v>50</v>
      </c>
      <c r="F22" s="5" t="s">
        <v>53</v>
      </c>
      <c r="G22" s="5" t="s">
        <v>54</v>
      </c>
      <c r="H22" s="5" t="s">
        <v>57</v>
      </c>
      <c r="I22" s="5" t="s">
        <v>58</v>
      </c>
      <c r="J22" s="5" t="s">
        <v>61</v>
      </c>
      <c r="K22" s="5" t="s">
        <v>63</v>
      </c>
      <c r="L22" s="5" t="s">
        <v>65</v>
      </c>
      <c r="M22" s="5" t="s">
        <v>67</v>
      </c>
      <c r="N22" s="5" t="s">
        <v>69</v>
      </c>
      <c r="O22" s="5" t="s">
        <v>71</v>
      </c>
      <c r="P22" s="5" t="s">
        <v>73</v>
      </c>
      <c r="Q22" s="5" t="s">
        <v>75</v>
      </c>
      <c r="R22" s="1">
        <v>11</v>
      </c>
      <c r="S22" s="1">
        <v>48</v>
      </c>
      <c r="T22" s="1">
        <v>60</v>
      </c>
      <c r="Y22">
        <f t="shared" si="9"/>
        <v>20</v>
      </c>
      <c r="Z22">
        <f t="shared" si="4"/>
        <v>0</v>
      </c>
    </row>
    <row r="23" spans="1:26" x14ac:dyDescent="0.3">
      <c r="A23" s="27">
        <v>8</v>
      </c>
      <c r="B23" s="4"/>
      <c r="C23" s="6" t="s">
        <v>42</v>
      </c>
      <c r="D23" s="5"/>
      <c r="E23" s="5" t="s">
        <v>50</v>
      </c>
      <c r="F23" s="5" t="s">
        <v>52</v>
      </c>
      <c r="G23" s="5" t="s">
        <v>54</v>
      </c>
      <c r="H23" s="5" t="s">
        <v>57</v>
      </c>
      <c r="I23" s="5" t="s">
        <v>59</v>
      </c>
      <c r="J23" s="5" t="s">
        <v>60</v>
      </c>
      <c r="K23" s="5" t="s">
        <v>62</v>
      </c>
      <c r="L23" s="5" t="s">
        <v>64</v>
      </c>
      <c r="M23" s="5" t="s">
        <v>67</v>
      </c>
      <c r="N23" s="5" t="s">
        <v>69</v>
      </c>
      <c r="O23" s="5" t="s">
        <v>71</v>
      </c>
      <c r="P23" s="5" t="s">
        <v>73</v>
      </c>
      <c r="Q23" s="5" t="s">
        <v>75</v>
      </c>
      <c r="R23" s="1">
        <v>10</v>
      </c>
      <c r="S23" s="1">
        <v>44</v>
      </c>
      <c r="T23" s="1">
        <v>43</v>
      </c>
      <c r="Y23">
        <f t="shared" si="9"/>
        <v>21</v>
      </c>
      <c r="Z23">
        <f t="shared" si="4"/>
        <v>0</v>
      </c>
    </row>
    <row r="24" spans="1:26" ht="28.8" x14ac:dyDescent="0.3">
      <c r="A24" s="27">
        <v>9</v>
      </c>
      <c r="B24" s="4"/>
      <c r="C24" s="6" t="s">
        <v>30</v>
      </c>
      <c r="D24" s="5"/>
      <c r="E24" s="5" t="s">
        <v>50</v>
      </c>
      <c r="F24" s="5" t="s">
        <v>53</v>
      </c>
      <c r="G24" s="5" t="s">
        <v>54</v>
      </c>
      <c r="H24" s="5" t="s">
        <v>57</v>
      </c>
      <c r="I24" s="5" t="s">
        <v>59</v>
      </c>
      <c r="J24" s="5" t="s">
        <v>61</v>
      </c>
      <c r="K24" s="5" t="s">
        <v>63</v>
      </c>
      <c r="L24" s="5" t="s">
        <v>64</v>
      </c>
      <c r="M24" s="5" t="s">
        <v>67</v>
      </c>
      <c r="N24" s="5" t="s">
        <v>69</v>
      </c>
      <c r="O24" s="5" t="s">
        <v>70</v>
      </c>
      <c r="P24" s="5" t="s">
        <v>73</v>
      </c>
      <c r="Q24" s="5" t="s">
        <v>75</v>
      </c>
      <c r="R24" s="1">
        <v>10</v>
      </c>
      <c r="S24" s="1">
        <v>46</v>
      </c>
      <c r="T24" s="1">
        <v>41</v>
      </c>
      <c r="Y24">
        <f t="shared" si="9"/>
        <v>22</v>
      </c>
      <c r="Z24">
        <f t="shared" si="4"/>
        <v>1</v>
      </c>
    </row>
    <row r="25" spans="1:26" ht="28.8" x14ac:dyDescent="0.3">
      <c r="A25" s="27">
        <v>10</v>
      </c>
      <c r="B25" s="4"/>
      <c r="C25" s="6" t="s">
        <v>27</v>
      </c>
      <c r="D25" s="5"/>
      <c r="E25" s="5" t="s">
        <v>50</v>
      </c>
      <c r="F25" s="5" t="s">
        <v>53</v>
      </c>
      <c r="G25" s="5" t="s">
        <v>54</v>
      </c>
      <c r="H25" s="5" t="s">
        <v>57</v>
      </c>
      <c r="I25" s="5" t="s">
        <v>59</v>
      </c>
      <c r="J25" s="5" t="s">
        <v>60</v>
      </c>
      <c r="K25" s="5" t="s">
        <v>63</v>
      </c>
      <c r="L25" s="5" t="s">
        <v>64</v>
      </c>
      <c r="M25" s="5" t="s">
        <v>67</v>
      </c>
      <c r="N25" s="5" t="s">
        <v>69</v>
      </c>
      <c r="O25" s="5" t="s">
        <v>71</v>
      </c>
      <c r="P25" s="5" t="s">
        <v>73</v>
      </c>
      <c r="Q25" s="5" t="s">
        <v>75</v>
      </c>
      <c r="R25" s="1">
        <v>10</v>
      </c>
      <c r="S25" s="1">
        <v>49</v>
      </c>
      <c r="T25" s="1">
        <v>40</v>
      </c>
      <c r="Y25">
        <f t="shared" si="9"/>
        <v>23</v>
      </c>
      <c r="Z25">
        <f t="shared" si="4"/>
        <v>0</v>
      </c>
    </row>
    <row r="26" spans="1:26" ht="28.8" x14ac:dyDescent="0.3">
      <c r="A26" s="27">
        <v>11</v>
      </c>
      <c r="B26" s="4"/>
      <c r="C26" s="6" t="s">
        <v>92</v>
      </c>
      <c r="D26" s="5"/>
      <c r="E26" s="5" t="s">
        <v>50</v>
      </c>
      <c r="F26" s="5" t="s">
        <v>52</v>
      </c>
      <c r="G26" s="5" t="s">
        <v>54</v>
      </c>
      <c r="H26" s="5" t="s">
        <v>57</v>
      </c>
      <c r="I26" s="5" t="s">
        <v>59</v>
      </c>
      <c r="J26" s="5" t="s">
        <v>60</v>
      </c>
      <c r="K26" s="5" t="s">
        <v>63</v>
      </c>
      <c r="L26" s="5" t="s">
        <v>64</v>
      </c>
      <c r="M26" s="5" t="s">
        <v>67</v>
      </c>
      <c r="N26" s="5" t="s">
        <v>69</v>
      </c>
      <c r="O26" s="5" t="s">
        <v>71</v>
      </c>
      <c r="P26" s="5" t="s">
        <v>72</v>
      </c>
      <c r="Q26" s="5" t="s">
        <v>75</v>
      </c>
      <c r="R26" s="1">
        <v>10</v>
      </c>
      <c r="S26" s="1">
        <v>44</v>
      </c>
      <c r="T26" s="1">
        <v>46</v>
      </c>
      <c r="Y26">
        <f t="shared" si="9"/>
        <v>24</v>
      </c>
      <c r="Z26">
        <f t="shared" si="4"/>
        <v>0</v>
      </c>
    </row>
    <row r="27" spans="1:26" x14ac:dyDescent="0.3">
      <c r="A27" s="27">
        <v>12</v>
      </c>
      <c r="B27" s="4"/>
      <c r="C27" s="6" t="s">
        <v>93</v>
      </c>
      <c r="D27" s="5"/>
      <c r="E27" s="5" t="s">
        <v>50</v>
      </c>
      <c r="F27" s="5" t="s">
        <v>52</v>
      </c>
      <c r="G27" s="5" t="s">
        <v>54</v>
      </c>
      <c r="H27" s="5" t="s">
        <v>57</v>
      </c>
      <c r="I27" s="5" t="s">
        <v>59</v>
      </c>
      <c r="J27" s="5" t="s">
        <v>60</v>
      </c>
      <c r="K27" s="5" t="s">
        <v>62</v>
      </c>
      <c r="L27" s="5" t="s">
        <v>65</v>
      </c>
      <c r="M27" s="5" t="s">
        <v>67</v>
      </c>
      <c r="N27" s="5" t="s">
        <v>69</v>
      </c>
      <c r="O27" s="5" t="s">
        <v>71</v>
      </c>
      <c r="P27" s="5" t="s">
        <v>72</v>
      </c>
      <c r="Q27" s="5" t="s">
        <v>75</v>
      </c>
      <c r="R27" s="1">
        <v>10</v>
      </c>
      <c r="S27" s="1">
        <v>49</v>
      </c>
      <c r="T27" s="1">
        <v>46</v>
      </c>
      <c r="Y27">
        <f t="shared" si="9"/>
        <v>25</v>
      </c>
      <c r="Z27">
        <f t="shared" si="4"/>
        <v>0</v>
      </c>
    </row>
    <row r="28" spans="1:26" ht="28.8" x14ac:dyDescent="0.3">
      <c r="A28" s="27">
        <v>13</v>
      </c>
      <c r="B28" s="4"/>
      <c r="C28" s="6" t="s">
        <v>185</v>
      </c>
      <c r="D28" s="5"/>
      <c r="E28" s="5" t="s">
        <v>51</v>
      </c>
      <c r="F28" s="5" t="s">
        <v>53</v>
      </c>
      <c r="G28" s="5" t="s">
        <v>54</v>
      </c>
      <c r="H28" s="5" t="s">
        <v>57</v>
      </c>
      <c r="I28" s="5" t="s">
        <v>59</v>
      </c>
      <c r="J28" s="5" t="s">
        <v>60</v>
      </c>
      <c r="K28" s="5" t="s">
        <v>63</v>
      </c>
      <c r="L28" s="5" t="s">
        <v>65</v>
      </c>
      <c r="M28" s="5" t="s">
        <v>67</v>
      </c>
      <c r="N28" s="5" t="s">
        <v>69</v>
      </c>
      <c r="O28" s="5" t="s">
        <v>71</v>
      </c>
      <c r="P28" s="5" t="s">
        <v>73</v>
      </c>
      <c r="Q28" s="5" t="s">
        <v>75</v>
      </c>
      <c r="R28" s="1">
        <v>10</v>
      </c>
      <c r="S28" s="1">
        <v>42</v>
      </c>
      <c r="T28" s="1">
        <v>47</v>
      </c>
      <c r="Y28">
        <f t="shared" si="9"/>
        <v>26</v>
      </c>
      <c r="Z28">
        <f t="shared" si="4"/>
        <v>0</v>
      </c>
    </row>
    <row r="29" spans="1:26" ht="28.8" x14ac:dyDescent="0.3">
      <c r="A29" s="27">
        <v>14</v>
      </c>
      <c r="B29" s="4"/>
      <c r="C29" s="6" t="s">
        <v>22</v>
      </c>
      <c r="D29" s="5"/>
      <c r="E29" s="5" t="s">
        <v>50</v>
      </c>
      <c r="F29" s="5" t="s">
        <v>53</v>
      </c>
      <c r="G29" s="5" t="s">
        <v>55</v>
      </c>
      <c r="H29" s="5" t="s">
        <v>57</v>
      </c>
      <c r="I29" s="5" t="s">
        <v>59</v>
      </c>
      <c r="J29" s="5" t="s">
        <v>61</v>
      </c>
      <c r="K29" s="5" t="s">
        <v>63</v>
      </c>
      <c r="L29" s="5" t="s">
        <v>65</v>
      </c>
      <c r="M29" s="5" t="s">
        <v>67</v>
      </c>
      <c r="N29" s="5" t="s">
        <v>69</v>
      </c>
      <c r="O29" s="5" t="s">
        <v>71</v>
      </c>
      <c r="P29" s="5" t="s">
        <v>73</v>
      </c>
      <c r="Q29" s="5" t="s">
        <v>74</v>
      </c>
      <c r="R29" s="1">
        <v>10</v>
      </c>
      <c r="S29" s="1">
        <v>47</v>
      </c>
      <c r="T29" s="1">
        <v>39</v>
      </c>
      <c r="Y29">
        <f t="shared" si="9"/>
        <v>27</v>
      </c>
      <c r="Z29">
        <f t="shared" si="4"/>
        <v>1</v>
      </c>
    </row>
    <row r="30" spans="1:26" x14ac:dyDescent="0.3">
      <c r="A30" s="27">
        <v>15</v>
      </c>
      <c r="B30" s="4"/>
      <c r="C30" s="6" t="s">
        <v>97</v>
      </c>
      <c r="D30" s="5"/>
      <c r="E30" s="5" t="s">
        <v>50</v>
      </c>
      <c r="F30" s="5" t="s">
        <v>53</v>
      </c>
      <c r="G30" s="5" t="s">
        <v>54</v>
      </c>
      <c r="H30" s="5" t="s">
        <v>56</v>
      </c>
      <c r="I30" s="5" t="s">
        <v>59</v>
      </c>
      <c r="J30" s="5" t="s">
        <v>60</v>
      </c>
      <c r="K30" s="5" t="s">
        <v>63</v>
      </c>
      <c r="L30" s="5" t="s">
        <v>65</v>
      </c>
      <c r="M30" s="5" t="s">
        <v>67</v>
      </c>
      <c r="N30" s="5" t="s">
        <v>69</v>
      </c>
      <c r="O30" s="5" t="s">
        <v>71</v>
      </c>
      <c r="P30" s="5" t="s">
        <v>73</v>
      </c>
      <c r="Q30" s="5" t="s">
        <v>75</v>
      </c>
      <c r="R30" s="1">
        <v>10</v>
      </c>
      <c r="S30" s="1">
        <v>42</v>
      </c>
      <c r="T30" s="1">
        <v>47</v>
      </c>
      <c r="Y30">
        <f t="shared" si="9"/>
        <v>28</v>
      </c>
      <c r="Z30">
        <f t="shared" si="4"/>
        <v>0</v>
      </c>
    </row>
    <row r="31" spans="1:26" ht="28.8" x14ac:dyDescent="0.3">
      <c r="A31" s="27">
        <v>16</v>
      </c>
      <c r="B31" s="4"/>
      <c r="C31" s="6" t="s">
        <v>99</v>
      </c>
      <c r="D31" s="5"/>
      <c r="E31" s="5" t="s">
        <v>50</v>
      </c>
      <c r="F31" s="5" t="s">
        <v>52</v>
      </c>
      <c r="G31" s="5" t="s">
        <v>55</v>
      </c>
      <c r="H31" s="5" t="s">
        <v>57</v>
      </c>
      <c r="I31" s="5" t="s">
        <v>59</v>
      </c>
      <c r="J31" s="5" t="s">
        <v>60</v>
      </c>
      <c r="K31" s="5" t="s">
        <v>63</v>
      </c>
      <c r="L31" s="5" t="s">
        <v>65</v>
      </c>
      <c r="M31" s="5" t="s">
        <v>67</v>
      </c>
      <c r="N31" s="5" t="s">
        <v>69</v>
      </c>
      <c r="O31" s="5" t="s">
        <v>71</v>
      </c>
      <c r="P31" s="5" t="s">
        <v>72</v>
      </c>
      <c r="Q31" s="5" t="s">
        <v>75</v>
      </c>
      <c r="R31" s="1">
        <v>10</v>
      </c>
      <c r="S31" s="1">
        <v>43</v>
      </c>
      <c r="T31" s="1">
        <v>47</v>
      </c>
      <c r="Y31">
        <f t="shared" si="9"/>
        <v>29</v>
      </c>
      <c r="Z31">
        <f t="shared" si="4"/>
        <v>1</v>
      </c>
    </row>
    <row r="32" spans="1:26" ht="28.8" x14ac:dyDescent="0.3">
      <c r="A32" s="27">
        <v>17</v>
      </c>
      <c r="B32" s="4"/>
      <c r="C32" s="6" t="s">
        <v>104</v>
      </c>
      <c r="D32" s="5"/>
      <c r="E32" s="5" t="s">
        <v>50</v>
      </c>
      <c r="F32" s="5" t="s">
        <v>53</v>
      </c>
      <c r="G32" s="5" t="s">
        <v>54</v>
      </c>
      <c r="H32" s="5" t="s">
        <v>57</v>
      </c>
      <c r="I32" s="5" t="s">
        <v>59</v>
      </c>
      <c r="J32" s="5" t="s">
        <v>60</v>
      </c>
      <c r="K32" s="5" t="s">
        <v>63</v>
      </c>
      <c r="L32" s="5" t="s">
        <v>64</v>
      </c>
      <c r="M32" s="5" t="s">
        <v>67</v>
      </c>
      <c r="N32" s="5" t="s">
        <v>69</v>
      </c>
      <c r="O32" s="5" t="s">
        <v>71</v>
      </c>
      <c r="P32" s="5" t="s">
        <v>73</v>
      </c>
      <c r="Q32" s="5" t="s">
        <v>75</v>
      </c>
      <c r="R32" s="1">
        <v>10</v>
      </c>
      <c r="S32" s="1">
        <v>44</v>
      </c>
      <c r="T32" s="1">
        <v>47</v>
      </c>
      <c r="Y32">
        <f t="shared" si="9"/>
        <v>30</v>
      </c>
      <c r="Z32">
        <f t="shared" si="4"/>
        <v>0</v>
      </c>
    </row>
    <row r="33" spans="1:26" x14ac:dyDescent="0.3">
      <c r="A33" s="27">
        <v>18</v>
      </c>
      <c r="B33" s="4"/>
      <c r="C33" s="6" t="s">
        <v>16</v>
      </c>
      <c r="D33" s="5"/>
      <c r="E33" s="5" t="s">
        <v>50</v>
      </c>
      <c r="F33" s="5" t="s">
        <v>52</v>
      </c>
      <c r="G33" s="5" t="s">
        <v>54</v>
      </c>
      <c r="H33" s="5" t="s">
        <v>57</v>
      </c>
      <c r="I33" s="5" t="s">
        <v>59</v>
      </c>
      <c r="J33" s="5" t="s">
        <v>60</v>
      </c>
      <c r="K33" s="5" t="s">
        <v>63</v>
      </c>
      <c r="L33" s="5" t="s">
        <v>64</v>
      </c>
      <c r="M33" s="5" t="s">
        <v>67</v>
      </c>
      <c r="N33" s="5" t="s">
        <v>69</v>
      </c>
      <c r="O33" s="5" t="s">
        <v>71</v>
      </c>
      <c r="P33" s="5" t="s">
        <v>72</v>
      </c>
      <c r="Q33" s="5" t="s">
        <v>75</v>
      </c>
      <c r="R33" s="1">
        <v>10</v>
      </c>
      <c r="S33" s="1">
        <v>50</v>
      </c>
      <c r="T33" s="1">
        <v>38</v>
      </c>
      <c r="Y33">
        <f t="shared" si="9"/>
        <v>31</v>
      </c>
      <c r="Z33">
        <f t="shared" si="4"/>
        <v>2</v>
      </c>
    </row>
    <row r="34" spans="1:26" x14ac:dyDescent="0.3">
      <c r="A34" s="27">
        <v>19</v>
      </c>
      <c r="B34" s="4"/>
      <c r="C34" s="6" t="s">
        <v>129</v>
      </c>
      <c r="D34" s="5"/>
      <c r="E34" s="5" t="s">
        <v>51</v>
      </c>
      <c r="F34" s="5" t="s">
        <v>53</v>
      </c>
      <c r="G34" s="5" t="s">
        <v>54</v>
      </c>
      <c r="H34" s="5" t="s">
        <v>57</v>
      </c>
      <c r="I34" s="5" t="s">
        <v>59</v>
      </c>
      <c r="J34" s="5" t="s">
        <v>60</v>
      </c>
      <c r="K34" s="5" t="s">
        <v>63</v>
      </c>
      <c r="L34" s="5" t="s">
        <v>65</v>
      </c>
      <c r="M34" s="5" t="s">
        <v>67</v>
      </c>
      <c r="N34" s="5" t="s">
        <v>69</v>
      </c>
      <c r="O34" s="5" t="s">
        <v>71</v>
      </c>
      <c r="P34" s="5" t="s">
        <v>73</v>
      </c>
      <c r="Q34" s="5" t="s">
        <v>75</v>
      </c>
      <c r="R34" s="1">
        <v>10</v>
      </c>
      <c r="S34" s="1">
        <v>45</v>
      </c>
      <c r="T34" s="1">
        <v>31</v>
      </c>
      <c r="Y34">
        <f t="shared" si="9"/>
        <v>32</v>
      </c>
      <c r="Z34">
        <f t="shared" si="4"/>
        <v>0</v>
      </c>
    </row>
    <row r="35" spans="1:26" x14ac:dyDescent="0.3">
      <c r="A35" s="27">
        <v>20</v>
      </c>
      <c r="B35" s="4"/>
      <c r="C35" s="6" t="s">
        <v>121</v>
      </c>
      <c r="D35" s="5"/>
      <c r="E35" s="5" t="s">
        <v>50</v>
      </c>
      <c r="F35" s="5" t="s">
        <v>52</v>
      </c>
      <c r="G35" s="5" t="s">
        <v>54</v>
      </c>
      <c r="H35" s="5" t="s">
        <v>57</v>
      </c>
      <c r="I35" s="5" t="s">
        <v>59</v>
      </c>
      <c r="J35" s="5" t="s">
        <v>61</v>
      </c>
      <c r="K35" s="5" t="s">
        <v>62</v>
      </c>
      <c r="L35" s="5" t="s">
        <v>65</v>
      </c>
      <c r="M35" s="5" t="s">
        <v>66</v>
      </c>
      <c r="N35" s="5" t="s">
        <v>69</v>
      </c>
      <c r="O35" s="5" t="s">
        <v>71</v>
      </c>
      <c r="P35" s="5" t="s">
        <v>73</v>
      </c>
      <c r="Q35" s="5" t="s">
        <v>74</v>
      </c>
      <c r="R35" s="1">
        <v>10</v>
      </c>
      <c r="S35" s="1">
        <v>52</v>
      </c>
      <c r="T35" s="1">
        <v>55</v>
      </c>
      <c r="Y35">
        <f t="shared" si="9"/>
        <v>33</v>
      </c>
      <c r="Z35">
        <f t="shared" si="4"/>
        <v>0</v>
      </c>
    </row>
    <row r="36" spans="1:26" ht="28.8" x14ac:dyDescent="0.3">
      <c r="A36" s="27">
        <v>21</v>
      </c>
      <c r="B36" s="4"/>
      <c r="C36" s="6" t="s">
        <v>123</v>
      </c>
      <c r="D36" s="5"/>
      <c r="E36" s="5" t="s">
        <v>50</v>
      </c>
      <c r="F36" s="5" t="s">
        <v>52</v>
      </c>
      <c r="G36" s="5" t="s">
        <v>54</v>
      </c>
      <c r="H36" s="5" t="s">
        <v>57</v>
      </c>
      <c r="I36" s="5" t="s">
        <v>58</v>
      </c>
      <c r="J36" s="5" t="s">
        <v>60</v>
      </c>
      <c r="K36" s="5" t="s">
        <v>63</v>
      </c>
      <c r="L36" s="5" t="s">
        <v>65</v>
      </c>
      <c r="M36" s="5" t="s">
        <v>67</v>
      </c>
      <c r="N36" s="5" t="s">
        <v>69</v>
      </c>
      <c r="O36" s="5" t="s">
        <v>71</v>
      </c>
      <c r="P36" s="5" t="s">
        <v>72</v>
      </c>
      <c r="Q36" s="5" t="s">
        <v>75</v>
      </c>
      <c r="R36" s="1">
        <v>10</v>
      </c>
      <c r="S36" s="1">
        <v>44</v>
      </c>
      <c r="T36" s="1">
        <v>59</v>
      </c>
      <c r="Y36">
        <f t="shared" si="9"/>
        <v>34</v>
      </c>
      <c r="Z36">
        <f t="shared" si="4"/>
        <v>3</v>
      </c>
    </row>
    <row r="37" spans="1:26" x14ac:dyDescent="0.3">
      <c r="A37" s="27">
        <v>22</v>
      </c>
      <c r="B37" s="4"/>
      <c r="C37" s="6" t="s">
        <v>38</v>
      </c>
      <c r="D37" s="5"/>
      <c r="E37" s="5" t="s">
        <v>50</v>
      </c>
      <c r="F37" s="5" t="s">
        <v>52</v>
      </c>
      <c r="G37" s="5" t="s">
        <v>55</v>
      </c>
      <c r="H37" s="5" t="s">
        <v>57</v>
      </c>
      <c r="I37" s="5" t="s">
        <v>59</v>
      </c>
      <c r="J37" s="5" t="s">
        <v>60</v>
      </c>
      <c r="K37" s="5" t="s">
        <v>63</v>
      </c>
      <c r="L37" s="5" t="s">
        <v>65</v>
      </c>
      <c r="M37" s="5" t="s">
        <v>67</v>
      </c>
      <c r="N37" s="5" t="s">
        <v>68</v>
      </c>
      <c r="O37" s="5" t="s">
        <v>70</v>
      </c>
      <c r="P37" s="5" t="s">
        <v>73</v>
      </c>
      <c r="Q37" s="5" t="s">
        <v>75</v>
      </c>
      <c r="R37" s="1">
        <v>9</v>
      </c>
      <c r="S37" s="1">
        <v>45</v>
      </c>
      <c r="T37" s="1">
        <v>43</v>
      </c>
      <c r="Y37">
        <f t="shared" si="9"/>
        <v>35</v>
      </c>
      <c r="Z37">
        <f t="shared" si="4"/>
        <v>4</v>
      </c>
    </row>
    <row r="38" spans="1:26" x14ac:dyDescent="0.3">
      <c r="A38" s="27">
        <v>23</v>
      </c>
      <c r="B38" s="4"/>
      <c r="C38" s="6" t="s">
        <v>39</v>
      </c>
      <c r="D38" s="5"/>
      <c r="E38" s="5" t="s">
        <v>50</v>
      </c>
      <c r="F38" s="5" t="s">
        <v>52</v>
      </c>
      <c r="G38" s="5" t="s">
        <v>55</v>
      </c>
      <c r="H38" s="5" t="s">
        <v>57</v>
      </c>
      <c r="I38" s="5" t="s">
        <v>58</v>
      </c>
      <c r="J38" s="5" t="s">
        <v>61</v>
      </c>
      <c r="K38" s="5" t="s">
        <v>63</v>
      </c>
      <c r="L38" s="5" t="s">
        <v>64</v>
      </c>
      <c r="M38" s="5" t="s">
        <v>66</v>
      </c>
      <c r="N38" s="5" t="s">
        <v>69</v>
      </c>
      <c r="O38" s="5" t="s">
        <v>71</v>
      </c>
      <c r="P38" s="5" t="s">
        <v>73</v>
      </c>
      <c r="Q38" s="5" t="s">
        <v>75</v>
      </c>
      <c r="R38" s="1">
        <v>9</v>
      </c>
      <c r="S38" s="1">
        <v>48</v>
      </c>
      <c r="T38" s="1">
        <v>43</v>
      </c>
      <c r="Y38">
        <f t="shared" si="9"/>
        <v>36</v>
      </c>
      <c r="Z38">
        <f t="shared" si="4"/>
        <v>3</v>
      </c>
    </row>
    <row r="39" spans="1:26" x14ac:dyDescent="0.3">
      <c r="A39" s="27">
        <v>24</v>
      </c>
      <c r="B39" s="4"/>
      <c r="C39" s="6" t="s">
        <v>161</v>
      </c>
      <c r="D39" s="5"/>
      <c r="E39" s="5" t="s">
        <v>51</v>
      </c>
      <c r="F39" s="5" t="s">
        <v>52</v>
      </c>
      <c r="G39" s="5" t="s">
        <v>54</v>
      </c>
      <c r="H39" s="5" t="s">
        <v>57</v>
      </c>
      <c r="I39" s="5" t="s">
        <v>59</v>
      </c>
      <c r="J39" s="5" t="s">
        <v>61</v>
      </c>
      <c r="K39" s="5" t="s">
        <v>63</v>
      </c>
      <c r="L39" s="5" t="s">
        <v>64</v>
      </c>
      <c r="M39" s="5" t="s">
        <v>66</v>
      </c>
      <c r="N39" s="5" t="s">
        <v>69</v>
      </c>
      <c r="O39" s="5" t="s">
        <v>70</v>
      </c>
      <c r="P39" s="5" t="s">
        <v>73</v>
      </c>
      <c r="Q39" s="5" t="s">
        <v>75</v>
      </c>
      <c r="R39" s="1">
        <v>9</v>
      </c>
      <c r="S39" s="1">
        <v>44</v>
      </c>
      <c r="T39" s="1">
        <v>43</v>
      </c>
      <c r="Y39">
        <f t="shared" si="9"/>
        <v>37</v>
      </c>
      <c r="Z39">
        <f t="shared" si="4"/>
        <v>3</v>
      </c>
    </row>
    <row r="40" spans="1:26" x14ac:dyDescent="0.3">
      <c r="A40" s="27">
        <v>25</v>
      </c>
      <c r="B40" s="4"/>
      <c r="C40" s="6" t="s">
        <v>43</v>
      </c>
      <c r="D40" s="5"/>
      <c r="E40" s="5" t="s">
        <v>50</v>
      </c>
      <c r="F40" s="5" t="s">
        <v>52</v>
      </c>
      <c r="G40" s="5" t="s">
        <v>55</v>
      </c>
      <c r="H40" s="5" t="s">
        <v>57</v>
      </c>
      <c r="I40" s="5" t="s">
        <v>59</v>
      </c>
      <c r="J40" s="5" t="s">
        <v>60</v>
      </c>
      <c r="K40" s="5" t="s">
        <v>63</v>
      </c>
      <c r="L40" s="5" t="s">
        <v>64</v>
      </c>
      <c r="M40" s="5" t="s">
        <v>67</v>
      </c>
      <c r="N40" s="5" t="s">
        <v>69</v>
      </c>
      <c r="O40" s="5" t="s">
        <v>71</v>
      </c>
      <c r="P40" s="5" t="s">
        <v>73</v>
      </c>
      <c r="Q40" s="5" t="s">
        <v>74</v>
      </c>
      <c r="R40" s="1">
        <v>9</v>
      </c>
      <c r="S40" s="1">
        <v>42</v>
      </c>
      <c r="T40" s="1">
        <v>43</v>
      </c>
      <c r="Y40">
        <f t="shared" si="9"/>
        <v>38</v>
      </c>
      <c r="Z40">
        <f t="shared" si="4"/>
        <v>12</v>
      </c>
    </row>
    <row r="41" spans="1:26" x14ac:dyDescent="0.3">
      <c r="A41" s="27">
        <v>26</v>
      </c>
      <c r="B41" s="4"/>
      <c r="C41" s="6" t="s">
        <v>31</v>
      </c>
      <c r="D41" s="5"/>
      <c r="E41" s="5" t="s">
        <v>50</v>
      </c>
      <c r="F41" s="5" t="s">
        <v>53</v>
      </c>
      <c r="G41" s="5" t="s">
        <v>55</v>
      </c>
      <c r="H41" s="5" t="s">
        <v>57</v>
      </c>
      <c r="I41" s="5" t="s">
        <v>59</v>
      </c>
      <c r="J41" s="5" t="s">
        <v>60</v>
      </c>
      <c r="K41" s="5" t="s">
        <v>63</v>
      </c>
      <c r="L41" s="5" t="s">
        <v>65</v>
      </c>
      <c r="M41" s="5" t="s">
        <v>67</v>
      </c>
      <c r="N41" s="5" t="s">
        <v>68</v>
      </c>
      <c r="O41" s="5" t="s">
        <v>71</v>
      </c>
      <c r="P41" s="5" t="s">
        <v>73</v>
      </c>
      <c r="Q41" s="5" t="s">
        <v>75</v>
      </c>
      <c r="R41" s="1">
        <v>9</v>
      </c>
      <c r="S41" s="1">
        <v>38</v>
      </c>
      <c r="T41" s="1">
        <v>42</v>
      </c>
      <c r="Y41">
        <f t="shared" si="9"/>
        <v>39</v>
      </c>
      <c r="Z41">
        <f t="shared" si="4"/>
        <v>6</v>
      </c>
    </row>
    <row r="42" spans="1:26" x14ac:dyDescent="0.3">
      <c r="A42" s="27">
        <v>27</v>
      </c>
      <c r="B42" s="4"/>
      <c r="C42" s="6" t="s">
        <v>45</v>
      </c>
      <c r="D42" s="5"/>
      <c r="E42" s="5" t="s">
        <v>50</v>
      </c>
      <c r="F42" s="5" t="s">
        <v>53</v>
      </c>
      <c r="G42" s="5" t="s">
        <v>54</v>
      </c>
      <c r="H42" s="5" t="s">
        <v>57</v>
      </c>
      <c r="I42" s="5" t="s">
        <v>59</v>
      </c>
      <c r="J42" s="5" t="s">
        <v>60</v>
      </c>
      <c r="K42" s="5" t="s">
        <v>62</v>
      </c>
      <c r="L42" s="5" t="s">
        <v>64</v>
      </c>
      <c r="M42" s="5" t="s">
        <v>67</v>
      </c>
      <c r="N42" s="5" t="s">
        <v>69</v>
      </c>
      <c r="O42" s="5" t="s">
        <v>71</v>
      </c>
      <c r="P42" s="5" t="s">
        <v>73</v>
      </c>
      <c r="Q42" s="5" t="s">
        <v>75</v>
      </c>
      <c r="R42" s="1">
        <v>9</v>
      </c>
      <c r="S42" s="1">
        <v>40</v>
      </c>
      <c r="T42" s="1">
        <v>44</v>
      </c>
      <c r="Y42">
        <f t="shared" si="9"/>
        <v>40</v>
      </c>
      <c r="Z42">
        <f t="shared" si="4"/>
        <v>5</v>
      </c>
    </row>
    <row r="43" spans="1:26" x14ac:dyDescent="0.3">
      <c r="A43" s="27">
        <v>28</v>
      </c>
      <c r="B43" s="4"/>
      <c r="C43" s="6" t="s">
        <v>79</v>
      </c>
      <c r="D43" s="5"/>
      <c r="E43" s="5" t="s">
        <v>50</v>
      </c>
      <c r="F43" s="5" t="s">
        <v>52</v>
      </c>
      <c r="G43" s="5" t="s">
        <v>55</v>
      </c>
      <c r="H43" s="5" t="s">
        <v>56</v>
      </c>
      <c r="I43" s="5" t="s">
        <v>59</v>
      </c>
      <c r="J43" s="5" t="s">
        <v>61</v>
      </c>
      <c r="K43" s="5" t="s">
        <v>63</v>
      </c>
      <c r="L43" s="5" t="s">
        <v>65</v>
      </c>
      <c r="M43" s="5" t="s">
        <v>67</v>
      </c>
      <c r="N43" s="5" t="s">
        <v>68</v>
      </c>
      <c r="O43" s="5" t="s">
        <v>70</v>
      </c>
      <c r="P43" s="5" t="s">
        <v>73</v>
      </c>
      <c r="Q43" s="5" t="s">
        <v>75</v>
      </c>
      <c r="R43" s="1">
        <v>9</v>
      </c>
      <c r="S43" s="1">
        <v>37</v>
      </c>
      <c r="T43" s="1">
        <v>44</v>
      </c>
      <c r="Y43">
        <f t="shared" si="9"/>
        <v>41</v>
      </c>
      <c r="Z43">
        <f t="shared" si="4"/>
        <v>12</v>
      </c>
    </row>
    <row r="44" spans="1:26" ht="28.8" x14ac:dyDescent="0.3">
      <c r="A44" s="27">
        <v>29</v>
      </c>
      <c r="B44" s="4"/>
      <c r="C44" s="6" t="s">
        <v>158</v>
      </c>
      <c r="D44" s="5"/>
      <c r="E44" s="5" t="s">
        <v>51</v>
      </c>
      <c r="F44" s="5" t="s">
        <v>52</v>
      </c>
      <c r="G44" s="5" t="s">
        <v>55</v>
      </c>
      <c r="H44" s="5" t="s">
        <v>57</v>
      </c>
      <c r="I44" s="5" t="s">
        <v>59</v>
      </c>
      <c r="J44" s="5" t="s">
        <v>61</v>
      </c>
      <c r="K44" s="5" t="s">
        <v>62</v>
      </c>
      <c r="L44" s="5" t="s">
        <v>64</v>
      </c>
      <c r="M44" s="5" t="s">
        <v>67</v>
      </c>
      <c r="N44" s="5" t="s">
        <v>69</v>
      </c>
      <c r="O44" s="5" t="s">
        <v>71</v>
      </c>
      <c r="P44" s="5" t="s">
        <v>73</v>
      </c>
      <c r="Q44" s="5" t="s">
        <v>75</v>
      </c>
      <c r="R44" s="1">
        <v>9</v>
      </c>
      <c r="S44" s="1">
        <v>44</v>
      </c>
      <c r="T44" s="1">
        <v>42</v>
      </c>
      <c r="Y44">
        <f t="shared" si="9"/>
        <v>42</v>
      </c>
      <c r="Z44">
        <f t="shared" si="4"/>
        <v>11</v>
      </c>
    </row>
    <row r="45" spans="1:26" ht="28.8" x14ac:dyDescent="0.3">
      <c r="A45" s="27">
        <v>30</v>
      </c>
      <c r="B45" s="4"/>
      <c r="C45" s="6" t="s">
        <v>81</v>
      </c>
      <c r="D45" s="5"/>
      <c r="E45" s="5" t="s">
        <v>50</v>
      </c>
      <c r="F45" s="5" t="s">
        <v>52</v>
      </c>
      <c r="G45" s="5" t="s">
        <v>55</v>
      </c>
      <c r="H45" s="5" t="s">
        <v>56</v>
      </c>
      <c r="I45" s="5" t="s">
        <v>59</v>
      </c>
      <c r="J45" s="5" t="s">
        <v>60</v>
      </c>
      <c r="K45" s="5" t="s">
        <v>62</v>
      </c>
      <c r="L45" s="5" t="s">
        <v>65</v>
      </c>
      <c r="M45" s="5" t="s">
        <v>67</v>
      </c>
      <c r="N45" s="5" t="s">
        <v>69</v>
      </c>
      <c r="O45" s="5" t="s">
        <v>71</v>
      </c>
      <c r="P45" s="5" t="s">
        <v>73</v>
      </c>
      <c r="Q45" s="5" t="s">
        <v>75</v>
      </c>
      <c r="R45" s="1">
        <v>9</v>
      </c>
      <c r="S45" s="1">
        <v>50</v>
      </c>
      <c r="T45" s="1">
        <v>44</v>
      </c>
      <c r="Y45">
        <f t="shared" si="9"/>
        <v>43</v>
      </c>
      <c r="Z45">
        <f t="shared" si="4"/>
        <v>11</v>
      </c>
    </row>
    <row r="46" spans="1:26" x14ac:dyDescent="0.3">
      <c r="A46" s="27">
        <v>31</v>
      </c>
      <c r="B46" s="4"/>
      <c r="C46" s="6" t="s">
        <v>84</v>
      </c>
      <c r="D46" s="5"/>
      <c r="E46" s="5" t="s">
        <v>50</v>
      </c>
      <c r="F46" s="5" t="s">
        <v>53</v>
      </c>
      <c r="G46" s="5" t="s">
        <v>55</v>
      </c>
      <c r="H46" s="5" t="s">
        <v>57</v>
      </c>
      <c r="I46" s="5" t="s">
        <v>58</v>
      </c>
      <c r="J46" s="5" t="s">
        <v>61</v>
      </c>
      <c r="K46" s="5" t="s">
        <v>63</v>
      </c>
      <c r="L46" s="5" t="s">
        <v>65</v>
      </c>
      <c r="M46" s="5" t="s">
        <v>67</v>
      </c>
      <c r="N46" s="5" t="s">
        <v>69</v>
      </c>
      <c r="O46" s="5" t="s">
        <v>70</v>
      </c>
      <c r="P46" s="5" t="s">
        <v>73</v>
      </c>
      <c r="Q46" s="5" t="s">
        <v>75</v>
      </c>
      <c r="R46" s="1">
        <v>9</v>
      </c>
      <c r="S46" s="1">
        <v>44</v>
      </c>
      <c r="T46" s="1">
        <v>45</v>
      </c>
      <c r="Y46">
        <f t="shared" si="9"/>
        <v>44</v>
      </c>
      <c r="Z46">
        <f t="shared" si="4"/>
        <v>16</v>
      </c>
    </row>
    <row r="47" spans="1:26" ht="28.8" x14ac:dyDescent="0.3">
      <c r="A47" s="27">
        <v>32</v>
      </c>
      <c r="B47" s="4"/>
      <c r="C47" s="6" t="s">
        <v>89</v>
      </c>
      <c r="D47" s="5"/>
      <c r="E47" s="5" t="s">
        <v>50</v>
      </c>
      <c r="F47" s="5" t="s">
        <v>52</v>
      </c>
      <c r="G47" s="5" t="s">
        <v>55</v>
      </c>
      <c r="H47" s="5" t="s">
        <v>56</v>
      </c>
      <c r="I47" s="5" t="s">
        <v>59</v>
      </c>
      <c r="J47" s="5" t="s">
        <v>60</v>
      </c>
      <c r="K47" s="5" t="s">
        <v>63</v>
      </c>
      <c r="L47" s="5" t="s">
        <v>64</v>
      </c>
      <c r="M47" s="5" t="s">
        <v>67</v>
      </c>
      <c r="N47" s="5" t="s">
        <v>69</v>
      </c>
      <c r="O47" s="5" t="s">
        <v>71</v>
      </c>
      <c r="P47" s="5" t="s">
        <v>73</v>
      </c>
      <c r="Q47" s="5" t="s">
        <v>75</v>
      </c>
      <c r="R47" s="1">
        <v>9</v>
      </c>
      <c r="S47" s="1">
        <v>46</v>
      </c>
      <c r="T47" s="1">
        <v>45</v>
      </c>
      <c r="Y47">
        <f t="shared" si="9"/>
        <v>45</v>
      </c>
      <c r="Z47">
        <f t="shared" si="4"/>
        <v>17</v>
      </c>
    </row>
    <row r="48" spans="1:26" x14ac:dyDescent="0.3">
      <c r="A48" s="27">
        <v>33</v>
      </c>
      <c r="B48" s="4"/>
      <c r="C48" s="6" t="s">
        <v>180</v>
      </c>
      <c r="D48" s="5"/>
      <c r="E48" s="5" t="s">
        <v>51</v>
      </c>
      <c r="F48" s="5" t="s">
        <v>52</v>
      </c>
      <c r="G48" s="5" t="s">
        <v>55</v>
      </c>
      <c r="H48" s="5" t="s">
        <v>57</v>
      </c>
      <c r="I48" s="5" t="s">
        <v>59</v>
      </c>
      <c r="J48" s="5" t="s">
        <v>60</v>
      </c>
      <c r="K48" s="5" t="s">
        <v>63</v>
      </c>
      <c r="L48" s="5" t="s">
        <v>65</v>
      </c>
      <c r="M48" s="5" t="s">
        <v>67</v>
      </c>
      <c r="N48" s="5" t="s">
        <v>69</v>
      </c>
      <c r="O48" s="5" t="s">
        <v>70</v>
      </c>
      <c r="P48" s="5" t="s">
        <v>73</v>
      </c>
      <c r="Q48" s="5" t="s">
        <v>75</v>
      </c>
      <c r="R48" s="1">
        <v>9</v>
      </c>
      <c r="S48" s="1">
        <v>42</v>
      </c>
      <c r="T48" s="1">
        <v>45</v>
      </c>
      <c r="Y48">
        <f t="shared" si="9"/>
        <v>46</v>
      </c>
      <c r="Z48">
        <f t="shared" si="4"/>
        <v>7</v>
      </c>
    </row>
    <row r="49" spans="1:26" x14ac:dyDescent="0.3">
      <c r="A49" s="27">
        <v>34</v>
      </c>
      <c r="B49" s="4"/>
      <c r="C49" s="6" t="s">
        <v>150</v>
      </c>
      <c r="D49" s="5"/>
      <c r="E49" s="5" t="s">
        <v>51</v>
      </c>
      <c r="F49" s="5" t="s">
        <v>52</v>
      </c>
      <c r="G49" s="5" t="s">
        <v>54</v>
      </c>
      <c r="H49" s="5" t="s">
        <v>57</v>
      </c>
      <c r="I49" s="5" t="s">
        <v>59</v>
      </c>
      <c r="J49" s="5" t="s">
        <v>60</v>
      </c>
      <c r="K49" s="5" t="s">
        <v>62</v>
      </c>
      <c r="L49" s="5" t="s">
        <v>65</v>
      </c>
      <c r="M49" s="5" t="s">
        <v>67</v>
      </c>
      <c r="N49" s="5" t="s">
        <v>68</v>
      </c>
      <c r="O49" s="5" t="s">
        <v>71</v>
      </c>
      <c r="P49" s="5" t="s">
        <v>73</v>
      </c>
      <c r="Q49" s="5" t="s">
        <v>75</v>
      </c>
      <c r="R49" s="1">
        <v>9</v>
      </c>
      <c r="S49" s="1">
        <v>40</v>
      </c>
      <c r="T49" s="1">
        <v>41</v>
      </c>
      <c r="Y49">
        <f t="shared" si="9"/>
        <v>47</v>
      </c>
      <c r="Z49">
        <f t="shared" si="4"/>
        <v>13</v>
      </c>
    </row>
    <row r="50" spans="1:26" x14ac:dyDescent="0.3">
      <c r="A50" s="27">
        <v>35</v>
      </c>
      <c r="B50" s="4"/>
      <c r="C50" s="6" t="s">
        <v>181</v>
      </c>
      <c r="D50" s="5"/>
      <c r="E50" s="5" t="s">
        <v>51</v>
      </c>
      <c r="F50" s="5" t="s">
        <v>53</v>
      </c>
      <c r="G50" s="5" t="s">
        <v>54</v>
      </c>
      <c r="H50" s="5" t="s">
        <v>57</v>
      </c>
      <c r="I50" s="5" t="s">
        <v>59</v>
      </c>
      <c r="J50" s="5" t="s">
        <v>60</v>
      </c>
      <c r="K50" s="5" t="s">
        <v>63</v>
      </c>
      <c r="L50" s="5" t="s">
        <v>65</v>
      </c>
      <c r="M50" s="5" t="s">
        <v>67</v>
      </c>
      <c r="N50" s="5" t="s">
        <v>69</v>
      </c>
      <c r="O50" s="5" t="s">
        <v>70</v>
      </c>
      <c r="P50" s="5" t="s">
        <v>73</v>
      </c>
      <c r="Q50" s="5" t="s">
        <v>75</v>
      </c>
      <c r="R50" s="1">
        <v>9</v>
      </c>
      <c r="S50" s="1">
        <v>43</v>
      </c>
      <c r="T50" s="1">
        <v>45</v>
      </c>
      <c r="Y50">
        <f t="shared" si="9"/>
        <v>48</v>
      </c>
      <c r="Z50">
        <f t="shared" si="4"/>
        <v>8</v>
      </c>
    </row>
    <row r="51" spans="1:26" ht="28.8" x14ac:dyDescent="0.3">
      <c r="A51" s="27">
        <v>36</v>
      </c>
      <c r="B51" s="4"/>
      <c r="C51" s="6" t="s">
        <v>90</v>
      </c>
      <c r="D51" s="5"/>
      <c r="E51" s="5" t="s">
        <v>50</v>
      </c>
      <c r="F51" s="5" t="s">
        <v>52</v>
      </c>
      <c r="G51" s="5" t="s">
        <v>55</v>
      </c>
      <c r="H51" s="5" t="s">
        <v>57</v>
      </c>
      <c r="I51" s="5" t="s">
        <v>59</v>
      </c>
      <c r="J51" s="5" t="s">
        <v>60</v>
      </c>
      <c r="K51" s="5" t="s">
        <v>63</v>
      </c>
      <c r="L51" s="5" t="s">
        <v>64</v>
      </c>
      <c r="M51" s="5" t="s">
        <v>67</v>
      </c>
      <c r="N51" s="5" t="s">
        <v>69</v>
      </c>
      <c r="O51" s="5" t="s">
        <v>71</v>
      </c>
      <c r="P51" s="5" t="s">
        <v>73</v>
      </c>
      <c r="Q51" s="5" t="s">
        <v>74</v>
      </c>
      <c r="R51" s="1">
        <v>9</v>
      </c>
      <c r="S51" s="1">
        <v>47</v>
      </c>
      <c r="T51" s="1">
        <v>45</v>
      </c>
      <c r="Y51">
        <f t="shared" si="9"/>
        <v>49</v>
      </c>
      <c r="Z51">
        <f t="shared" si="4"/>
        <v>4</v>
      </c>
    </row>
    <row r="52" spans="1:26" ht="28.8" x14ac:dyDescent="0.3">
      <c r="A52" s="27">
        <v>37</v>
      </c>
      <c r="B52" s="4"/>
      <c r="C52" s="6" t="s">
        <v>154</v>
      </c>
      <c r="D52" s="5"/>
      <c r="E52" s="5" t="s">
        <v>51</v>
      </c>
      <c r="F52" s="5" t="s">
        <v>52</v>
      </c>
      <c r="G52" s="5" t="s">
        <v>55</v>
      </c>
      <c r="H52" s="5" t="s">
        <v>57</v>
      </c>
      <c r="I52" s="5" t="s">
        <v>59</v>
      </c>
      <c r="J52" s="5" t="s">
        <v>60</v>
      </c>
      <c r="K52" s="5" t="s">
        <v>62</v>
      </c>
      <c r="L52" s="5" t="s">
        <v>65</v>
      </c>
      <c r="M52" s="5" t="s">
        <v>67</v>
      </c>
      <c r="N52" s="5" t="s">
        <v>69</v>
      </c>
      <c r="O52" s="5" t="s">
        <v>71</v>
      </c>
      <c r="P52" s="5" t="s">
        <v>73</v>
      </c>
      <c r="Q52" s="5" t="s">
        <v>75</v>
      </c>
      <c r="R52" s="1">
        <v>9</v>
      </c>
      <c r="S52" s="1">
        <v>45</v>
      </c>
      <c r="T52" s="1">
        <v>41</v>
      </c>
      <c r="Y52">
        <f t="shared" si="9"/>
        <v>50</v>
      </c>
      <c r="Z52">
        <f t="shared" si="4"/>
        <v>0</v>
      </c>
    </row>
    <row r="53" spans="1:26" x14ac:dyDescent="0.3">
      <c r="A53" s="27">
        <v>38</v>
      </c>
      <c r="B53" s="4"/>
      <c r="C53" s="6" t="s">
        <v>94</v>
      </c>
      <c r="D53" s="5"/>
      <c r="E53" s="5" t="s">
        <v>50</v>
      </c>
      <c r="F53" s="5" t="s">
        <v>53</v>
      </c>
      <c r="G53" s="5" t="s">
        <v>55</v>
      </c>
      <c r="H53" s="5" t="s">
        <v>57</v>
      </c>
      <c r="I53" s="5" t="s">
        <v>59</v>
      </c>
      <c r="J53" s="5" t="s">
        <v>60</v>
      </c>
      <c r="K53" s="5" t="s">
        <v>63</v>
      </c>
      <c r="L53" s="5" t="s">
        <v>65</v>
      </c>
      <c r="M53" s="5" t="s">
        <v>67</v>
      </c>
      <c r="N53" s="5" t="s">
        <v>69</v>
      </c>
      <c r="O53" s="5" t="s">
        <v>71</v>
      </c>
      <c r="P53" s="5" t="s">
        <v>73</v>
      </c>
      <c r="Q53" s="5" t="s">
        <v>74</v>
      </c>
      <c r="R53" s="1">
        <v>9</v>
      </c>
      <c r="S53" s="1">
        <v>51</v>
      </c>
      <c r="T53" s="1">
        <v>46</v>
      </c>
      <c r="Y53">
        <f t="shared" si="9"/>
        <v>51</v>
      </c>
      <c r="Z53">
        <f t="shared" si="4"/>
        <v>3</v>
      </c>
    </row>
    <row r="54" spans="1:26" x14ac:dyDescent="0.3">
      <c r="A54" s="27">
        <v>39</v>
      </c>
      <c r="B54" s="4"/>
      <c r="C54" s="6" t="s">
        <v>96</v>
      </c>
      <c r="D54" s="5"/>
      <c r="E54" s="5" t="s">
        <v>50</v>
      </c>
      <c r="F54" s="5" t="s">
        <v>53</v>
      </c>
      <c r="G54" s="5" t="s">
        <v>54</v>
      </c>
      <c r="H54" s="5" t="s">
        <v>57</v>
      </c>
      <c r="I54" s="5" t="s">
        <v>58</v>
      </c>
      <c r="J54" s="5" t="s">
        <v>61</v>
      </c>
      <c r="K54" s="5" t="s">
        <v>63</v>
      </c>
      <c r="L54" s="5" t="s">
        <v>65</v>
      </c>
      <c r="M54" s="5" t="s">
        <v>67</v>
      </c>
      <c r="N54" s="5" t="s">
        <v>69</v>
      </c>
      <c r="O54" s="5" t="s">
        <v>70</v>
      </c>
      <c r="P54" s="5" t="s">
        <v>72</v>
      </c>
      <c r="Q54" s="5" t="s">
        <v>75</v>
      </c>
      <c r="R54" s="1">
        <v>9</v>
      </c>
      <c r="S54" s="1">
        <v>41</v>
      </c>
      <c r="T54" s="1">
        <v>47</v>
      </c>
      <c r="Y54">
        <f t="shared" si="9"/>
        <v>52</v>
      </c>
      <c r="Z54">
        <f t="shared" si="4"/>
        <v>8</v>
      </c>
    </row>
    <row r="55" spans="1:26" ht="28.8" x14ac:dyDescent="0.3">
      <c r="A55" s="27">
        <v>40</v>
      </c>
      <c r="B55" s="4"/>
      <c r="C55" s="6" t="s">
        <v>17</v>
      </c>
      <c r="D55" s="5"/>
      <c r="E55" s="5" t="s">
        <v>50</v>
      </c>
      <c r="F55" s="5" t="s">
        <v>52</v>
      </c>
      <c r="G55" s="5" t="s">
        <v>54</v>
      </c>
      <c r="H55" s="5" t="s">
        <v>56</v>
      </c>
      <c r="I55" s="5" t="s">
        <v>59</v>
      </c>
      <c r="J55" s="5" t="s">
        <v>61</v>
      </c>
      <c r="K55" s="5" t="s">
        <v>62</v>
      </c>
      <c r="L55" s="5" t="s">
        <v>64</v>
      </c>
      <c r="M55" s="5" t="s">
        <v>66</v>
      </c>
      <c r="N55" s="5" t="s">
        <v>69</v>
      </c>
      <c r="O55" s="5" t="s">
        <v>71</v>
      </c>
      <c r="P55" s="5" t="s">
        <v>73</v>
      </c>
      <c r="Q55" s="5" t="s">
        <v>75</v>
      </c>
      <c r="R55" s="1">
        <v>9</v>
      </c>
      <c r="S55" s="1">
        <v>51</v>
      </c>
      <c r="T55" s="1">
        <v>38</v>
      </c>
      <c r="Y55">
        <f t="shared" si="9"/>
        <v>53</v>
      </c>
      <c r="Z55">
        <f t="shared" si="4"/>
        <v>0</v>
      </c>
    </row>
    <row r="56" spans="1:26" x14ac:dyDescent="0.3">
      <c r="A56" s="27">
        <v>41</v>
      </c>
      <c r="B56" s="4"/>
      <c r="C56" s="6" t="s">
        <v>105</v>
      </c>
      <c r="D56" s="5"/>
      <c r="E56" s="5" t="s">
        <v>50</v>
      </c>
      <c r="F56" s="5" t="s">
        <v>52</v>
      </c>
      <c r="G56" s="5" t="s">
        <v>54</v>
      </c>
      <c r="H56" s="5" t="s">
        <v>57</v>
      </c>
      <c r="I56" s="5" t="s">
        <v>58</v>
      </c>
      <c r="J56" s="5" t="s">
        <v>60</v>
      </c>
      <c r="K56" s="5" t="s">
        <v>63</v>
      </c>
      <c r="L56" s="5" t="s">
        <v>64</v>
      </c>
      <c r="M56" s="5" t="s">
        <v>67</v>
      </c>
      <c r="N56" s="5" t="s">
        <v>69</v>
      </c>
      <c r="O56" s="5" t="s">
        <v>71</v>
      </c>
      <c r="P56" s="5" t="s">
        <v>72</v>
      </c>
      <c r="Q56" s="5" t="s">
        <v>75</v>
      </c>
      <c r="R56" s="1">
        <v>9</v>
      </c>
      <c r="S56" s="1">
        <v>42</v>
      </c>
      <c r="T56" s="1">
        <v>48</v>
      </c>
      <c r="Y56">
        <f t="shared" si="9"/>
        <v>54</v>
      </c>
      <c r="Z56">
        <f t="shared" si="4"/>
        <v>1</v>
      </c>
    </row>
    <row r="57" spans="1:26" ht="28.8" x14ac:dyDescent="0.3">
      <c r="A57" s="27">
        <v>42</v>
      </c>
      <c r="B57" s="4"/>
      <c r="C57" s="6" t="s">
        <v>20</v>
      </c>
      <c r="D57" s="5"/>
      <c r="E57" s="5" t="s">
        <v>50</v>
      </c>
      <c r="F57" s="5" t="s">
        <v>53</v>
      </c>
      <c r="G57" s="5" t="s">
        <v>55</v>
      </c>
      <c r="H57" s="5" t="s">
        <v>57</v>
      </c>
      <c r="I57" s="5" t="s">
        <v>59</v>
      </c>
      <c r="J57" s="5" t="s">
        <v>61</v>
      </c>
      <c r="K57" s="5" t="s">
        <v>63</v>
      </c>
      <c r="L57" s="5" t="s">
        <v>64</v>
      </c>
      <c r="M57" s="5" t="s">
        <v>67</v>
      </c>
      <c r="N57" s="5" t="s">
        <v>69</v>
      </c>
      <c r="O57" s="5" t="s">
        <v>71</v>
      </c>
      <c r="P57" s="5" t="s">
        <v>72</v>
      </c>
      <c r="Q57" s="5" t="s">
        <v>75</v>
      </c>
      <c r="R57" s="1">
        <v>9</v>
      </c>
      <c r="S57" s="1">
        <v>43</v>
      </c>
      <c r="T57" s="1">
        <v>38</v>
      </c>
      <c r="Y57">
        <f t="shared" si="9"/>
        <v>55</v>
      </c>
      <c r="Z57">
        <f t="shared" si="4"/>
        <v>1</v>
      </c>
    </row>
    <row r="58" spans="1:26" x14ac:dyDescent="0.3">
      <c r="A58" s="27">
        <v>43</v>
      </c>
      <c r="B58" s="4"/>
      <c r="C58" s="6" t="s">
        <v>138</v>
      </c>
      <c r="D58" s="5"/>
      <c r="E58" s="5" t="s">
        <v>51</v>
      </c>
      <c r="F58" s="5" t="s">
        <v>52</v>
      </c>
      <c r="G58" s="5" t="s">
        <v>54</v>
      </c>
      <c r="H58" s="5" t="s">
        <v>56</v>
      </c>
      <c r="I58" s="5" t="s">
        <v>59</v>
      </c>
      <c r="J58" s="5" t="s">
        <v>60</v>
      </c>
      <c r="K58" s="5" t="s">
        <v>62</v>
      </c>
      <c r="L58" s="5" t="s">
        <v>65</v>
      </c>
      <c r="M58" s="5" t="s">
        <v>67</v>
      </c>
      <c r="N58" s="5" t="s">
        <v>69</v>
      </c>
      <c r="O58" s="5" t="s">
        <v>71</v>
      </c>
      <c r="P58" s="5" t="s">
        <v>73</v>
      </c>
      <c r="Q58" s="5" t="s">
        <v>75</v>
      </c>
      <c r="R58" s="1">
        <v>9</v>
      </c>
      <c r="S58" s="1">
        <v>47</v>
      </c>
      <c r="T58" s="1">
        <v>38</v>
      </c>
      <c r="Y58">
        <f t="shared" si="9"/>
        <v>56</v>
      </c>
      <c r="Z58">
        <f t="shared" si="4"/>
        <v>1</v>
      </c>
    </row>
    <row r="59" spans="1:26" x14ac:dyDescent="0.3">
      <c r="A59" s="27">
        <v>44</v>
      </c>
      <c r="B59" s="4"/>
      <c r="C59" s="6" t="s">
        <v>21</v>
      </c>
      <c r="D59" s="5"/>
      <c r="E59" s="5" t="s">
        <v>50</v>
      </c>
      <c r="F59" s="5" t="s">
        <v>53</v>
      </c>
      <c r="G59" s="5" t="s">
        <v>54</v>
      </c>
      <c r="H59" s="5" t="s">
        <v>57</v>
      </c>
      <c r="I59" s="5" t="s">
        <v>59</v>
      </c>
      <c r="J59" s="5" t="s">
        <v>61</v>
      </c>
      <c r="K59" s="5" t="s">
        <v>62</v>
      </c>
      <c r="L59" s="5" t="s">
        <v>64</v>
      </c>
      <c r="M59" s="5" t="s">
        <v>67</v>
      </c>
      <c r="N59" s="5" t="s">
        <v>69</v>
      </c>
      <c r="O59" s="5" t="s">
        <v>71</v>
      </c>
      <c r="P59" s="5" t="s">
        <v>73</v>
      </c>
      <c r="Q59" s="5" t="s">
        <v>74</v>
      </c>
      <c r="R59" s="1">
        <v>9</v>
      </c>
      <c r="S59" s="1">
        <v>44</v>
      </c>
      <c r="T59" s="1">
        <v>38</v>
      </c>
      <c r="Y59">
        <f t="shared" si="9"/>
        <v>57</v>
      </c>
      <c r="Z59">
        <f t="shared" si="4"/>
        <v>0</v>
      </c>
    </row>
    <row r="60" spans="1:26" ht="28.8" x14ac:dyDescent="0.3">
      <c r="A60" s="27">
        <v>45</v>
      </c>
      <c r="B60" s="4"/>
      <c r="C60" s="6" t="s">
        <v>139</v>
      </c>
      <c r="D60" s="5"/>
      <c r="E60" s="5" t="s">
        <v>51</v>
      </c>
      <c r="F60" s="5" t="s">
        <v>53</v>
      </c>
      <c r="G60" s="5" t="s">
        <v>54</v>
      </c>
      <c r="H60" s="5" t="s">
        <v>57</v>
      </c>
      <c r="I60" s="5" t="s">
        <v>59</v>
      </c>
      <c r="J60" s="5" t="s">
        <v>61</v>
      </c>
      <c r="K60" s="5" t="s">
        <v>63</v>
      </c>
      <c r="L60" s="5" t="s">
        <v>64</v>
      </c>
      <c r="M60" s="5" t="s">
        <v>67</v>
      </c>
      <c r="N60" s="5" t="s">
        <v>69</v>
      </c>
      <c r="O60" s="5" t="s">
        <v>71</v>
      </c>
      <c r="P60" s="5" t="s">
        <v>73</v>
      </c>
      <c r="Q60" s="5" t="s">
        <v>74</v>
      </c>
      <c r="R60" s="1">
        <v>9</v>
      </c>
      <c r="S60" s="1">
        <v>50</v>
      </c>
      <c r="T60" s="1">
        <v>38</v>
      </c>
      <c r="Y60">
        <f t="shared" si="9"/>
        <v>58</v>
      </c>
      <c r="Z60">
        <f t="shared" si="4"/>
        <v>0</v>
      </c>
    </row>
    <row r="61" spans="1:26" x14ac:dyDescent="0.3">
      <c r="A61" s="27">
        <v>46</v>
      </c>
      <c r="B61" s="4"/>
      <c r="C61" s="6" t="s">
        <v>14</v>
      </c>
      <c r="D61" s="5"/>
      <c r="E61" s="5" t="s">
        <v>50</v>
      </c>
      <c r="F61" s="5" t="s">
        <v>52</v>
      </c>
      <c r="G61" s="5" t="s">
        <v>54</v>
      </c>
      <c r="H61" s="5" t="s">
        <v>56</v>
      </c>
      <c r="I61" s="5" t="s">
        <v>59</v>
      </c>
      <c r="J61" s="5" t="s">
        <v>60</v>
      </c>
      <c r="K61" s="5" t="s">
        <v>63</v>
      </c>
      <c r="L61" s="5" t="s">
        <v>64</v>
      </c>
      <c r="M61" s="5" t="s">
        <v>67</v>
      </c>
      <c r="N61" s="5" t="s">
        <v>69</v>
      </c>
      <c r="O61" s="5" t="s">
        <v>70</v>
      </c>
      <c r="P61" s="5" t="s">
        <v>73</v>
      </c>
      <c r="Q61" s="5" t="s">
        <v>75</v>
      </c>
      <c r="R61" s="1">
        <v>9</v>
      </c>
      <c r="S61" s="1">
        <v>46</v>
      </c>
      <c r="T61" s="1">
        <v>37</v>
      </c>
      <c r="Y61">
        <f t="shared" si="9"/>
        <v>59</v>
      </c>
      <c r="Z61">
        <f t="shared" si="4"/>
        <v>2</v>
      </c>
    </row>
    <row r="62" spans="1:26" ht="28.8" x14ac:dyDescent="0.3">
      <c r="A62" s="27">
        <v>47</v>
      </c>
      <c r="B62" s="4"/>
      <c r="C62" s="6" t="s">
        <v>112</v>
      </c>
      <c r="D62" s="5"/>
      <c r="E62" s="5" t="s">
        <v>50</v>
      </c>
      <c r="F62" s="5" t="s">
        <v>53</v>
      </c>
      <c r="G62" s="5" t="s">
        <v>55</v>
      </c>
      <c r="H62" s="5" t="s">
        <v>57</v>
      </c>
      <c r="I62" s="5" t="s">
        <v>59</v>
      </c>
      <c r="J62" s="5" t="s">
        <v>60</v>
      </c>
      <c r="K62" s="5" t="s">
        <v>63</v>
      </c>
      <c r="L62" s="5" t="s">
        <v>64</v>
      </c>
      <c r="M62" s="5" t="s">
        <v>67</v>
      </c>
      <c r="N62" s="5" t="s">
        <v>69</v>
      </c>
      <c r="O62" s="5" t="s">
        <v>71</v>
      </c>
      <c r="P62" s="5" t="s">
        <v>73</v>
      </c>
      <c r="Q62" s="5" t="s">
        <v>75</v>
      </c>
      <c r="R62" s="1">
        <v>9</v>
      </c>
      <c r="S62" s="1">
        <v>47</v>
      </c>
      <c r="T62" s="1">
        <v>49</v>
      </c>
      <c r="Y62">
        <f t="shared" si="9"/>
        <v>60</v>
      </c>
      <c r="Z62">
        <f t="shared" si="4"/>
        <v>1</v>
      </c>
    </row>
    <row r="63" spans="1:26" ht="28.8" x14ac:dyDescent="0.3">
      <c r="A63" s="27">
        <v>48</v>
      </c>
      <c r="B63" s="4"/>
      <c r="C63" s="6" t="s">
        <v>114</v>
      </c>
      <c r="D63" s="5"/>
      <c r="E63" s="5" t="s">
        <v>50</v>
      </c>
      <c r="F63" s="5" t="s">
        <v>53</v>
      </c>
      <c r="G63" s="5" t="s">
        <v>54</v>
      </c>
      <c r="H63" s="5" t="s">
        <v>56</v>
      </c>
      <c r="I63" s="5" t="s">
        <v>59</v>
      </c>
      <c r="J63" s="5" t="s">
        <v>61</v>
      </c>
      <c r="K63" s="5" t="s">
        <v>63</v>
      </c>
      <c r="L63" s="5" t="s">
        <v>65</v>
      </c>
      <c r="M63" s="5" t="s">
        <v>67</v>
      </c>
      <c r="N63" s="5" t="s">
        <v>68</v>
      </c>
      <c r="O63" s="5" t="s">
        <v>70</v>
      </c>
      <c r="P63" s="5" t="s">
        <v>73</v>
      </c>
      <c r="Q63" s="5" t="s">
        <v>75</v>
      </c>
      <c r="R63" s="1">
        <v>9</v>
      </c>
      <c r="S63" s="1">
        <v>45</v>
      </c>
      <c r="T63" s="1">
        <v>51</v>
      </c>
      <c r="Y63">
        <f t="shared" si="9"/>
        <v>61</v>
      </c>
      <c r="Z63">
        <f t="shared" si="4"/>
        <v>0</v>
      </c>
    </row>
    <row r="64" spans="1:26" x14ac:dyDescent="0.3">
      <c r="A64" s="27">
        <v>49</v>
      </c>
      <c r="B64" s="4"/>
      <c r="C64" s="6" t="s">
        <v>130</v>
      </c>
      <c r="D64" s="5"/>
      <c r="E64" s="5" t="s">
        <v>51</v>
      </c>
      <c r="F64" s="5" t="s">
        <v>52</v>
      </c>
      <c r="G64" s="5" t="s">
        <v>54</v>
      </c>
      <c r="H64" s="5" t="s">
        <v>56</v>
      </c>
      <c r="I64" s="5" t="s">
        <v>59</v>
      </c>
      <c r="J64" s="5" t="s">
        <v>61</v>
      </c>
      <c r="K64" s="5" t="s">
        <v>63</v>
      </c>
      <c r="L64" s="5" t="s">
        <v>64</v>
      </c>
      <c r="M64" s="5" t="s">
        <v>67</v>
      </c>
      <c r="N64" s="5" t="s">
        <v>69</v>
      </c>
      <c r="O64" s="5" t="s">
        <v>70</v>
      </c>
      <c r="P64" s="5" t="s">
        <v>73</v>
      </c>
      <c r="Q64" s="5" t="s">
        <v>75</v>
      </c>
      <c r="R64" s="1">
        <v>9</v>
      </c>
      <c r="S64" s="1">
        <v>44</v>
      </c>
      <c r="T64" s="1">
        <v>35</v>
      </c>
      <c r="Y64">
        <f t="shared" si="9"/>
        <v>62</v>
      </c>
      <c r="Z64">
        <f t="shared" si="4"/>
        <v>1</v>
      </c>
    </row>
    <row r="65" spans="1:26" ht="28.8" x14ac:dyDescent="0.3">
      <c r="A65" s="27">
        <v>50</v>
      </c>
      <c r="B65" s="4"/>
      <c r="C65" s="6" t="s">
        <v>115</v>
      </c>
      <c r="D65" s="5"/>
      <c r="E65" s="5" t="s">
        <v>50</v>
      </c>
      <c r="F65" s="5" t="s">
        <v>53</v>
      </c>
      <c r="G65" s="5" t="s">
        <v>55</v>
      </c>
      <c r="H65" s="5" t="s">
        <v>57</v>
      </c>
      <c r="I65" s="5" t="s">
        <v>59</v>
      </c>
      <c r="J65" s="5" t="s">
        <v>61</v>
      </c>
      <c r="K65" s="5" t="s">
        <v>63</v>
      </c>
      <c r="L65" s="5" t="s">
        <v>65</v>
      </c>
      <c r="M65" s="5" t="s">
        <v>66</v>
      </c>
      <c r="N65" s="5" t="s">
        <v>69</v>
      </c>
      <c r="O65" s="5" t="s">
        <v>70</v>
      </c>
      <c r="P65" s="5" t="s">
        <v>73</v>
      </c>
      <c r="Q65" s="5" t="s">
        <v>75</v>
      </c>
      <c r="R65" s="1">
        <v>9</v>
      </c>
      <c r="S65" s="1">
        <v>40</v>
      </c>
      <c r="T65" s="1">
        <v>51</v>
      </c>
      <c r="Y65">
        <f t="shared" si="9"/>
        <v>63</v>
      </c>
      <c r="Z65">
        <f t="shared" si="4"/>
        <v>1</v>
      </c>
    </row>
    <row r="66" spans="1:26" x14ac:dyDescent="0.3">
      <c r="A66" s="27">
        <v>51</v>
      </c>
      <c r="B66" s="4"/>
      <c r="C66" s="6" t="s">
        <v>11</v>
      </c>
      <c r="D66" s="5"/>
      <c r="E66" s="5" t="s">
        <v>50</v>
      </c>
      <c r="F66" s="5" t="s">
        <v>52</v>
      </c>
      <c r="G66" s="5" t="s">
        <v>54</v>
      </c>
      <c r="H66" s="5" t="s">
        <v>57</v>
      </c>
      <c r="I66" s="5" t="s">
        <v>58</v>
      </c>
      <c r="J66" s="5" t="s">
        <v>60</v>
      </c>
      <c r="K66" s="5" t="s">
        <v>63</v>
      </c>
      <c r="L66" s="5" t="s">
        <v>64</v>
      </c>
      <c r="M66" s="5" t="s">
        <v>67</v>
      </c>
      <c r="N66" s="5" t="s">
        <v>69</v>
      </c>
      <c r="O66" s="5" t="s">
        <v>70</v>
      </c>
      <c r="P66" s="5" t="s">
        <v>73</v>
      </c>
      <c r="Q66" s="5" t="s">
        <v>75</v>
      </c>
      <c r="R66" s="1">
        <v>9</v>
      </c>
      <c r="S66" s="1">
        <v>46</v>
      </c>
      <c r="T66" s="1">
        <v>35</v>
      </c>
      <c r="Y66">
        <f t="shared" si="9"/>
        <v>64</v>
      </c>
      <c r="Z66">
        <f t="shared" si="4"/>
        <v>0</v>
      </c>
    </row>
    <row r="67" spans="1:26" x14ac:dyDescent="0.3">
      <c r="A67" s="27">
        <v>52</v>
      </c>
      <c r="B67" s="4"/>
      <c r="C67" s="6" t="s">
        <v>12</v>
      </c>
      <c r="D67" s="5"/>
      <c r="E67" s="5" t="s">
        <v>50</v>
      </c>
      <c r="F67" s="5" t="s">
        <v>53</v>
      </c>
      <c r="G67" s="5" t="s">
        <v>54</v>
      </c>
      <c r="H67" s="5" t="s">
        <v>56</v>
      </c>
      <c r="I67" s="5" t="s">
        <v>59</v>
      </c>
      <c r="J67" s="5" t="s">
        <v>60</v>
      </c>
      <c r="K67" s="5" t="s">
        <v>63</v>
      </c>
      <c r="L67" s="5" t="s">
        <v>64</v>
      </c>
      <c r="M67" s="5" t="s">
        <v>67</v>
      </c>
      <c r="N67" s="5" t="s">
        <v>69</v>
      </c>
      <c r="O67" s="5" t="s">
        <v>71</v>
      </c>
      <c r="P67" s="5" t="s">
        <v>73</v>
      </c>
      <c r="Q67" s="5" t="s">
        <v>75</v>
      </c>
      <c r="R67" s="1">
        <v>9</v>
      </c>
      <c r="S67" s="1">
        <v>43</v>
      </c>
      <c r="T67" s="1">
        <v>35</v>
      </c>
      <c r="Y67">
        <f t="shared" si="9"/>
        <v>65</v>
      </c>
      <c r="Z67">
        <f t="shared" ref="Z67:Z120" si="10">COUNTIF(T$16:T$179,Y67)</f>
        <v>0</v>
      </c>
    </row>
    <row r="68" spans="1:26" ht="28.8" x14ac:dyDescent="0.3">
      <c r="A68" s="27">
        <v>53</v>
      </c>
      <c r="B68" s="4"/>
      <c r="C68" s="6" t="s">
        <v>192</v>
      </c>
      <c r="D68" s="5"/>
      <c r="E68" s="5" t="s">
        <v>51</v>
      </c>
      <c r="F68" s="5" t="s">
        <v>52</v>
      </c>
      <c r="G68" s="5" t="s">
        <v>54</v>
      </c>
      <c r="H68" s="5" t="s">
        <v>56</v>
      </c>
      <c r="I68" s="5" t="s">
        <v>59</v>
      </c>
      <c r="J68" s="5" t="s">
        <v>61</v>
      </c>
      <c r="K68" s="5" t="s">
        <v>63</v>
      </c>
      <c r="L68" s="5" t="s">
        <v>64</v>
      </c>
      <c r="M68" s="5" t="s">
        <v>67</v>
      </c>
      <c r="N68" s="5" t="s">
        <v>68</v>
      </c>
      <c r="O68" s="5" t="s">
        <v>71</v>
      </c>
      <c r="P68" s="5" t="s">
        <v>73</v>
      </c>
      <c r="Q68" s="5" t="s">
        <v>75</v>
      </c>
      <c r="R68" s="1">
        <v>9</v>
      </c>
      <c r="S68" s="1">
        <v>45</v>
      </c>
      <c r="T68" s="1">
        <v>52</v>
      </c>
      <c r="Y68">
        <f t="shared" si="9"/>
        <v>66</v>
      </c>
      <c r="Z68">
        <f t="shared" si="10"/>
        <v>0</v>
      </c>
    </row>
    <row r="69" spans="1:26" ht="28.8" x14ac:dyDescent="0.3">
      <c r="A69" s="27">
        <v>54</v>
      </c>
      <c r="B69" s="4"/>
      <c r="C69" s="6" t="s">
        <v>117</v>
      </c>
      <c r="D69" s="5"/>
      <c r="E69" s="5" t="s">
        <v>50</v>
      </c>
      <c r="F69" s="5" t="s">
        <v>52</v>
      </c>
      <c r="G69" s="5" t="s">
        <v>54</v>
      </c>
      <c r="H69" s="5" t="s">
        <v>57</v>
      </c>
      <c r="I69" s="5" t="s">
        <v>59</v>
      </c>
      <c r="J69" s="5" t="s">
        <v>61</v>
      </c>
      <c r="K69" s="5" t="s">
        <v>62</v>
      </c>
      <c r="L69" s="5" t="s">
        <v>64</v>
      </c>
      <c r="M69" s="5" t="s">
        <v>67</v>
      </c>
      <c r="N69" s="5" t="s">
        <v>69</v>
      </c>
      <c r="O69" s="5" t="s">
        <v>70</v>
      </c>
      <c r="P69" s="5" t="s">
        <v>72</v>
      </c>
      <c r="Q69" s="5" t="s">
        <v>75</v>
      </c>
      <c r="R69" s="1">
        <v>9</v>
      </c>
      <c r="S69" s="1">
        <v>49</v>
      </c>
      <c r="T69" s="1">
        <v>52</v>
      </c>
      <c r="Y69">
        <f t="shared" si="9"/>
        <v>67</v>
      </c>
      <c r="Z69">
        <f t="shared" si="10"/>
        <v>0</v>
      </c>
    </row>
    <row r="70" spans="1:26" ht="28.8" x14ac:dyDescent="0.3">
      <c r="A70" s="27">
        <v>55</v>
      </c>
      <c r="B70" s="4"/>
      <c r="C70" s="6" t="s">
        <v>193</v>
      </c>
      <c r="D70" s="5"/>
      <c r="E70" s="5" t="s">
        <v>51</v>
      </c>
      <c r="F70" s="5" t="s">
        <v>53</v>
      </c>
      <c r="G70" s="5" t="s">
        <v>55</v>
      </c>
      <c r="H70" s="5" t="s">
        <v>57</v>
      </c>
      <c r="I70" s="5" t="s">
        <v>59</v>
      </c>
      <c r="J70" s="5" t="s">
        <v>60</v>
      </c>
      <c r="K70" s="5" t="s">
        <v>63</v>
      </c>
      <c r="L70" s="5" t="s">
        <v>65</v>
      </c>
      <c r="M70" s="5" t="s">
        <v>67</v>
      </c>
      <c r="N70" s="5" t="s">
        <v>69</v>
      </c>
      <c r="O70" s="5" t="s">
        <v>71</v>
      </c>
      <c r="P70" s="5" t="s">
        <v>73</v>
      </c>
      <c r="Q70" s="5" t="s">
        <v>75</v>
      </c>
      <c r="R70" s="1">
        <v>9</v>
      </c>
      <c r="S70" s="1">
        <v>41</v>
      </c>
      <c r="T70" s="1">
        <v>52</v>
      </c>
      <c r="Y70">
        <f t="shared" si="9"/>
        <v>68</v>
      </c>
      <c r="Z70">
        <f t="shared" si="10"/>
        <v>0</v>
      </c>
    </row>
    <row r="71" spans="1:26" x14ac:dyDescent="0.3">
      <c r="A71" s="27">
        <v>56</v>
      </c>
      <c r="B71" s="4"/>
      <c r="C71" s="6" t="s">
        <v>119</v>
      </c>
      <c r="D71" s="5"/>
      <c r="E71" s="5" t="s">
        <v>50</v>
      </c>
      <c r="F71" s="5" t="s">
        <v>53</v>
      </c>
      <c r="G71" s="5" t="s">
        <v>55</v>
      </c>
      <c r="H71" s="5" t="s">
        <v>57</v>
      </c>
      <c r="I71" s="5" t="s">
        <v>59</v>
      </c>
      <c r="J71" s="5" t="s">
        <v>60</v>
      </c>
      <c r="K71" s="5" t="s">
        <v>63</v>
      </c>
      <c r="L71" s="5" t="s">
        <v>64</v>
      </c>
      <c r="M71" s="5" t="s">
        <v>67</v>
      </c>
      <c r="N71" s="5" t="s">
        <v>69</v>
      </c>
      <c r="O71" s="5" t="s">
        <v>71</v>
      </c>
      <c r="P71" s="5" t="s">
        <v>73</v>
      </c>
      <c r="Q71" s="5" t="s">
        <v>75</v>
      </c>
      <c r="R71" s="1">
        <v>9</v>
      </c>
      <c r="S71" s="1">
        <v>46</v>
      </c>
      <c r="T71" s="1">
        <v>52</v>
      </c>
      <c r="Y71">
        <f t="shared" ref="Y71:Y120" si="11">Y70+1</f>
        <v>69</v>
      </c>
      <c r="Z71">
        <f t="shared" si="10"/>
        <v>0</v>
      </c>
    </row>
    <row r="72" spans="1:26" x14ac:dyDescent="0.3">
      <c r="A72" s="27">
        <v>57</v>
      </c>
      <c r="B72" s="4"/>
      <c r="C72" s="6" t="s">
        <v>126</v>
      </c>
      <c r="D72" s="5"/>
      <c r="E72" s="5" t="s">
        <v>50</v>
      </c>
      <c r="F72" s="5" t="s">
        <v>53</v>
      </c>
      <c r="G72" s="5" t="s">
        <v>54</v>
      </c>
      <c r="H72" s="5" t="s">
        <v>56</v>
      </c>
      <c r="I72" s="5" t="s">
        <v>59</v>
      </c>
      <c r="J72" s="5" t="s">
        <v>61</v>
      </c>
      <c r="K72" s="5" t="s">
        <v>62</v>
      </c>
      <c r="L72" s="5" t="s">
        <v>65</v>
      </c>
      <c r="M72" s="5" t="s">
        <v>67</v>
      </c>
      <c r="N72" s="5" t="s">
        <v>69</v>
      </c>
      <c r="O72" s="5" t="s">
        <v>70</v>
      </c>
      <c r="P72" s="5" t="s">
        <v>73</v>
      </c>
      <c r="Q72" s="5" t="s">
        <v>75</v>
      </c>
      <c r="R72" s="1">
        <v>9</v>
      </c>
      <c r="S72" s="1">
        <v>42</v>
      </c>
      <c r="T72" s="1">
        <v>62</v>
      </c>
      <c r="Y72">
        <f t="shared" si="11"/>
        <v>70</v>
      </c>
      <c r="Z72">
        <f t="shared" si="10"/>
        <v>0</v>
      </c>
    </row>
    <row r="73" spans="1:26" x14ac:dyDescent="0.3">
      <c r="A73" s="27">
        <v>58</v>
      </c>
      <c r="B73" s="4"/>
      <c r="C73" s="6" t="s">
        <v>40</v>
      </c>
      <c r="D73" s="5"/>
      <c r="E73" s="5" t="s">
        <v>50</v>
      </c>
      <c r="F73" s="5" t="s">
        <v>53</v>
      </c>
      <c r="G73" s="5" t="s">
        <v>54</v>
      </c>
      <c r="H73" s="5" t="s">
        <v>57</v>
      </c>
      <c r="I73" s="5" t="s">
        <v>59</v>
      </c>
      <c r="J73" s="5" t="s">
        <v>61</v>
      </c>
      <c r="K73" s="5" t="s">
        <v>62</v>
      </c>
      <c r="L73" s="5" t="s">
        <v>64</v>
      </c>
      <c r="M73" s="5" t="s">
        <v>67</v>
      </c>
      <c r="N73" s="5" t="s">
        <v>69</v>
      </c>
      <c r="O73" s="5" t="s">
        <v>71</v>
      </c>
      <c r="P73" s="5" t="s">
        <v>72</v>
      </c>
      <c r="Q73" s="5" t="s">
        <v>74</v>
      </c>
      <c r="R73" s="1">
        <v>8</v>
      </c>
      <c r="S73" s="1">
        <v>46</v>
      </c>
      <c r="T73" s="1">
        <v>43</v>
      </c>
      <c r="Y73">
        <f t="shared" si="11"/>
        <v>71</v>
      </c>
      <c r="Z73">
        <f t="shared" si="10"/>
        <v>0</v>
      </c>
    </row>
    <row r="74" spans="1:26" ht="28.8" x14ac:dyDescent="0.3">
      <c r="A74" s="27">
        <v>59</v>
      </c>
      <c r="B74" s="4"/>
      <c r="C74" s="6" t="s">
        <v>163</v>
      </c>
      <c r="D74" s="5"/>
      <c r="E74" s="5" t="s">
        <v>51</v>
      </c>
      <c r="F74" s="5" t="s">
        <v>52</v>
      </c>
      <c r="G74" s="5" t="s">
        <v>55</v>
      </c>
      <c r="H74" s="5" t="s">
        <v>57</v>
      </c>
      <c r="I74" s="5" t="s">
        <v>59</v>
      </c>
      <c r="J74" s="5" t="s">
        <v>61</v>
      </c>
      <c r="K74" s="5" t="s">
        <v>62</v>
      </c>
      <c r="L74" s="5" t="s">
        <v>64</v>
      </c>
      <c r="M74" s="5" t="s">
        <v>67</v>
      </c>
      <c r="N74" s="5" t="s">
        <v>68</v>
      </c>
      <c r="O74" s="5" t="s">
        <v>71</v>
      </c>
      <c r="P74" s="5" t="s">
        <v>73</v>
      </c>
      <c r="Q74" s="5" t="s">
        <v>75</v>
      </c>
      <c r="R74" s="1">
        <v>8</v>
      </c>
      <c r="S74" s="1">
        <v>42</v>
      </c>
      <c r="T74" s="1">
        <v>43</v>
      </c>
      <c r="Y74">
        <f t="shared" si="11"/>
        <v>72</v>
      </c>
      <c r="Z74">
        <f t="shared" si="10"/>
        <v>0</v>
      </c>
    </row>
    <row r="75" spans="1:26" x14ac:dyDescent="0.3">
      <c r="A75" s="27">
        <v>60</v>
      </c>
      <c r="B75" s="4"/>
      <c r="C75" s="6" t="s">
        <v>44</v>
      </c>
      <c r="D75" s="5"/>
      <c r="E75" s="5" t="s">
        <v>50</v>
      </c>
      <c r="F75" s="5" t="s">
        <v>52</v>
      </c>
      <c r="G75" s="5" t="s">
        <v>55</v>
      </c>
      <c r="H75" s="5" t="s">
        <v>57</v>
      </c>
      <c r="I75" s="5" t="s">
        <v>59</v>
      </c>
      <c r="J75" s="5" t="s">
        <v>60</v>
      </c>
      <c r="K75" s="5" t="s">
        <v>63</v>
      </c>
      <c r="L75" s="5" t="s">
        <v>64</v>
      </c>
      <c r="M75" s="5" t="s">
        <v>66</v>
      </c>
      <c r="N75" s="5" t="s">
        <v>69</v>
      </c>
      <c r="O75" s="5" t="s">
        <v>70</v>
      </c>
      <c r="P75" s="5" t="s">
        <v>73</v>
      </c>
      <c r="Q75" s="5" t="s">
        <v>75</v>
      </c>
      <c r="R75" s="1">
        <v>8</v>
      </c>
      <c r="S75" s="1">
        <v>52</v>
      </c>
      <c r="T75" s="1">
        <v>44</v>
      </c>
      <c r="Y75">
        <f t="shared" si="11"/>
        <v>73</v>
      </c>
      <c r="Z75">
        <f t="shared" si="10"/>
        <v>0</v>
      </c>
    </row>
    <row r="76" spans="1:26" x14ac:dyDescent="0.3">
      <c r="A76" s="27">
        <v>61</v>
      </c>
      <c r="B76" s="4"/>
      <c r="C76" s="6" t="s">
        <v>169</v>
      </c>
      <c r="D76" s="5"/>
      <c r="E76" s="5" t="s">
        <v>51</v>
      </c>
      <c r="F76" s="5" t="s">
        <v>52</v>
      </c>
      <c r="G76" s="5" t="s">
        <v>54</v>
      </c>
      <c r="H76" s="5" t="s">
        <v>56</v>
      </c>
      <c r="I76" s="5" t="s">
        <v>59</v>
      </c>
      <c r="J76" s="5" t="s">
        <v>60</v>
      </c>
      <c r="K76" s="5" t="s">
        <v>63</v>
      </c>
      <c r="L76" s="5" t="s">
        <v>64</v>
      </c>
      <c r="M76" s="5" t="s">
        <v>67</v>
      </c>
      <c r="N76" s="5" t="s">
        <v>69</v>
      </c>
      <c r="O76" s="5" t="s">
        <v>70</v>
      </c>
      <c r="P76" s="5" t="s">
        <v>73</v>
      </c>
      <c r="Q76" s="5" t="s">
        <v>75</v>
      </c>
      <c r="R76" s="1">
        <v>8</v>
      </c>
      <c r="S76" s="1">
        <v>41</v>
      </c>
      <c r="T76" s="1">
        <v>44</v>
      </c>
      <c r="Y76">
        <f t="shared" si="11"/>
        <v>74</v>
      </c>
      <c r="Z76">
        <f t="shared" si="10"/>
        <v>0</v>
      </c>
    </row>
    <row r="77" spans="1:26" ht="28.8" x14ac:dyDescent="0.3">
      <c r="A77" s="27">
        <v>62</v>
      </c>
      <c r="B77" s="4"/>
      <c r="C77" s="6" t="s">
        <v>32</v>
      </c>
      <c r="D77" s="5"/>
      <c r="E77" s="5" t="s">
        <v>50</v>
      </c>
      <c r="F77" s="5" t="s">
        <v>52</v>
      </c>
      <c r="G77" s="5" t="s">
        <v>54</v>
      </c>
      <c r="H77" s="5" t="s">
        <v>57</v>
      </c>
      <c r="I77" s="5" t="s">
        <v>58</v>
      </c>
      <c r="J77" s="5" t="s">
        <v>61</v>
      </c>
      <c r="K77" s="5" t="s">
        <v>62</v>
      </c>
      <c r="L77" s="5" t="s">
        <v>64</v>
      </c>
      <c r="M77" s="5" t="s">
        <v>67</v>
      </c>
      <c r="N77" s="5" t="s">
        <v>68</v>
      </c>
      <c r="O77" s="5" t="s">
        <v>71</v>
      </c>
      <c r="P77" s="5" t="s">
        <v>72</v>
      </c>
      <c r="Q77" s="5" t="s">
        <v>75</v>
      </c>
      <c r="R77" s="1">
        <v>8</v>
      </c>
      <c r="S77" s="1">
        <v>40</v>
      </c>
      <c r="T77" s="1">
        <v>42</v>
      </c>
      <c r="Y77">
        <f t="shared" si="11"/>
        <v>75</v>
      </c>
      <c r="Z77">
        <f t="shared" si="10"/>
        <v>0</v>
      </c>
    </row>
    <row r="78" spans="1:26" x14ac:dyDescent="0.3">
      <c r="A78" s="27">
        <v>63</v>
      </c>
      <c r="B78" s="4"/>
      <c r="C78" s="6" t="s">
        <v>33</v>
      </c>
      <c r="D78" s="5"/>
      <c r="E78" s="5" t="s">
        <v>50</v>
      </c>
      <c r="F78" s="5" t="s">
        <v>53</v>
      </c>
      <c r="G78" s="5" t="s">
        <v>54</v>
      </c>
      <c r="H78" s="5" t="s">
        <v>57</v>
      </c>
      <c r="I78" s="5" t="s">
        <v>58</v>
      </c>
      <c r="J78" s="5" t="s">
        <v>61</v>
      </c>
      <c r="K78" s="5" t="s">
        <v>62</v>
      </c>
      <c r="L78" s="5" t="s">
        <v>64</v>
      </c>
      <c r="M78" s="5" t="s">
        <v>67</v>
      </c>
      <c r="N78" s="5" t="s">
        <v>69</v>
      </c>
      <c r="O78" s="5" t="s">
        <v>70</v>
      </c>
      <c r="P78" s="5" t="s">
        <v>73</v>
      </c>
      <c r="Q78" s="5" t="s">
        <v>75</v>
      </c>
      <c r="R78" s="1">
        <v>8</v>
      </c>
      <c r="S78" s="1">
        <v>44</v>
      </c>
      <c r="T78" s="1">
        <v>42</v>
      </c>
      <c r="Y78">
        <f t="shared" si="11"/>
        <v>76</v>
      </c>
      <c r="Z78">
        <f t="shared" si="10"/>
        <v>0</v>
      </c>
    </row>
    <row r="79" spans="1:26" x14ac:dyDescent="0.3">
      <c r="A79" s="27">
        <v>64</v>
      </c>
      <c r="B79" s="4"/>
      <c r="C79" s="6" t="s">
        <v>35</v>
      </c>
      <c r="D79" s="5"/>
      <c r="E79" s="5" t="s">
        <v>50</v>
      </c>
      <c r="F79" s="5" t="s">
        <v>53</v>
      </c>
      <c r="G79" s="5" t="s">
        <v>54</v>
      </c>
      <c r="H79" s="5" t="s">
        <v>57</v>
      </c>
      <c r="I79" s="5" t="s">
        <v>59</v>
      </c>
      <c r="J79" s="5" t="s">
        <v>60</v>
      </c>
      <c r="K79" s="5" t="s">
        <v>62</v>
      </c>
      <c r="L79" s="5" t="s">
        <v>64</v>
      </c>
      <c r="M79" s="5" t="s">
        <v>66</v>
      </c>
      <c r="N79" s="5" t="s">
        <v>69</v>
      </c>
      <c r="O79" s="5" t="s">
        <v>71</v>
      </c>
      <c r="P79" s="5" t="s">
        <v>73</v>
      </c>
      <c r="Q79" s="5" t="s">
        <v>75</v>
      </c>
      <c r="R79" s="1">
        <v>8</v>
      </c>
      <c r="S79" s="1">
        <v>40</v>
      </c>
      <c r="T79" s="1">
        <v>42</v>
      </c>
      <c r="Y79">
        <f t="shared" si="11"/>
        <v>77</v>
      </c>
      <c r="Z79">
        <f t="shared" si="10"/>
        <v>0</v>
      </c>
    </row>
    <row r="80" spans="1:26" ht="28.8" x14ac:dyDescent="0.3">
      <c r="A80" s="27">
        <v>65</v>
      </c>
      <c r="B80" s="4"/>
      <c r="C80" s="6" t="s">
        <v>172</v>
      </c>
      <c r="D80" s="5"/>
      <c r="E80" s="5" t="s">
        <v>51</v>
      </c>
      <c r="F80" s="5" t="s">
        <v>53</v>
      </c>
      <c r="G80" s="5" t="s">
        <v>55</v>
      </c>
      <c r="H80" s="5" t="s">
        <v>57</v>
      </c>
      <c r="I80" s="5" t="s">
        <v>59</v>
      </c>
      <c r="J80" s="5" t="s">
        <v>61</v>
      </c>
      <c r="K80" s="5" t="s">
        <v>62</v>
      </c>
      <c r="L80" s="5" t="s">
        <v>65</v>
      </c>
      <c r="M80" s="5" t="s">
        <v>66</v>
      </c>
      <c r="N80" s="5" t="s">
        <v>69</v>
      </c>
      <c r="O80" s="5" t="s">
        <v>71</v>
      </c>
      <c r="P80" s="5" t="s">
        <v>73</v>
      </c>
      <c r="Q80" s="5" t="s">
        <v>75</v>
      </c>
      <c r="R80" s="1">
        <v>8</v>
      </c>
      <c r="S80" s="1">
        <v>41</v>
      </c>
      <c r="T80" s="1">
        <v>44</v>
      </c>
      <c r="Y80">
        <f t="shared" si="11"/>
        <v>78</v>
      </c>
      <c r="Z80">
        <f t="shared" si="10"/>
        <v>0</v>
      </c>
    </row>
    <row r="81" spans="1:26" x14ac:dyDescent="0.3">
      <c r="A81" s="27">
        <v>66</v>
      </c>
      <c r="B81" s="4"/>
      <c r="C81" s="6" t="s">
        <v>173</v>
      </c>
      <c r="D81" s="5"/>
      <c r="E81" s="5" t="s">
        <v>51</v>
      </c>
      <c r="F81" s="5" t="s">
        <v>52</v>
      </c>
      <c r="G81" s="5" t="s">
        <v>54</v>
      </c>
      <c r="H81" s="5" t="s">
        <v>56</v>
      </c>
      <c r="I81" s="5" t="s">
        <v>58</v>
      </c>
      <c r="J81" s="5" t="s">
        <v>61</v>
      </c>
      <c r="K81" s="5" t="s">
        <v>63</v>
      </c>
      <c r="L81" s="5" t="s">
        <v>65</v>
      </c>
      <c r="M81" s="5" t="s">
        <v>67</v>
      </c>
      <c r="N81" s="5" t="s">
        <v>69</v>
      </c>
      <c r="O81" s="5" t="s">
        <v>71</v>
      </c>
      <c r="P81" s="5" t="s">
        <v>72</v>
      </c>
      <c r="Q81" s="5" t="s">
        <v>74</v>
      </c>
      <c r="R81" s="1">
        <v>8</v>
      </c>
      <c r="S81" s="1">
        <v>44</v>
      </c>
      <c r="T81" s="1">
        <v>44</v>
      </c>
      <c r="Y81">
        <f t="shared" si="11"/>
        <v>79</v>
      </c>
      <c r="Z81">
        <f t="shared" si="10"/>
        <v>0</v>
      </c>
    </row>
    <row r="82" spans="1:26" ht="28.8" x14ac:dyDescent="0.3">
      <c r="A82" s="27">
        <v>67</v>
      </c>
      <c r="B82" s="4"/>
      <c r="C82" s="6" t="s">
        <v>80</v>
      </c>
      <c r="D82" s="5"/>
      <c r="E82" s="5" t="s">
        <v>50</v>
      </c>
      <c r="F82" s="5" t="s">
        <v>52</v>
      </c>
      <c r="G82" s="5" t="s">
        <v>55</v>
      </c>
      <c r="H82" s="5" t="s">
        <v>56</v>
      </c>
      <c r="I82" s="5" t="s">
        <v>58</v>
      </c>
      <c r="J82" s="5" t="s">
        <v>60</v>
      </c>
      <c r="K82" s="5" t="s">
        <v>63</v>
      </c>
      <c r="L82" s="5" t="s">
        <v>65</v>
      </c>
      <c r="M82" s="5" t="s">
        <v>67</v>
      </c>
      <c r="N82" s="5" t="s">
        <v>68</v>
      </c>
      <c r="O82" s="5" t="s">
        <v>71</v>
      </c>
      <c r="P82" s="5" t="s">
        <v>73</v>
      </c>
      <c r="Q82" s="5" t="s">
        <v>75</v>
      </c>
      <c r="R82" s="1">
        <v>8</v>
      </c>
      <c r="S82" s="1">
        <v>44</v>
      </c>
      <c r="T82" s="1">
        <v>44</v>
      </c>
      <c r="Y82">
        <f t="shared" si="11"/>
        <v>80</v>
      </c>
      <c r="Z82">
        <f t="shared" si="10"/>
        <v>0</v>
      </c>
    </row>
    <row r="83" spans="1:26" x14ac:dyDescent="0.3">
      <c r="A83" s="27">
        <v>68</v>
      </c>
      <c r="B83" s="4"/>
      <c r="C83" s="6" t="s">
        <v>82</v>
      </c>
      <c r="D83" s="5"/>
      <c r="E83" s="5" t="s">
        <v>50</v>
      </c>
      <c r="F83" s="5" t="s">
        <v>53</v>
      </c>
      <c r="G83" s="5" t="s">
        <v>55</v>
      </c>
      <c r="H83" s="5" t="s">
        <v>57</v>
      </c>
      <c r="I83" s="5" t="s">
        <v>58</v>
      </c>
      <c r="J83" s="5" t="s">
        <v>60</v>
      </c>
      <c r="K83" s="5" t="s">
        <v>63</v>
      </c>
      <c r="L83" s="5" t="s">
        <v>65</v>
      </c>
      <c r="M83" s="5" t="s">
        <v>67</v>
      </c>
      <c r="N83" s="5" t="s">
        <v>69</v>
      </c>
      <c r="O83" s="5" t="s">
        <v>71</v>
      </c>
      <c r="P83" s="5" t="s">
        <v>73</v>
      </c>
      <c r="Q83" s="5" t="s">
        <v>74</v>
      </c>
      <c r="R83" s="1">
        <v>8</v>
      </c>
      <c r="S83" s="1">
        <v>43</v>
      </c>
      <c r="T83" s="1">
        <v>44</v>
      </c>
      <c r="Y83">
        <f t="shared" si="11"/>
        <v>81</v>
      </c>
      <c r="Z83">
        <f t="shared" si="10"/>
        <v>0</v>
      </c>
    </row>
    <row r="84" spans="1:26" ht="28.8" x14ac:dyDescent="0.3">
      <c r="A84" s="27">
        <v>69</v>
      </c>
      <c r="B84" s="4"/>
      <c r="C84" s="6" t="s">
        <v>174</v>
      </c>
      <c r="D84" s="5"/>
      <c r="E84" s="5" t="s">
        <v>51</v>
      </c>
      <c r="F84" s="5" t="s">
        <v>53</v>
      </c>
      <c r="G84" s="5" t="s">
        <v>54</v>
      </c>
      <c r="H84" s="5" t="s">
        <v>57</v>
      </c>
      <c r="I84" s="5" t="s">
        <v>59</v>
      </c>
      <c r="J84" s="5" t="s">
        <v>61</v>
      </c>
      <c r="K84" s="5" t="s">
        <v>62</v>
      </c>
      <c r="L84" s="5" t="s">
        <v>64</v>
      </c>
      <c r="M84" s="5" t="s">
        <v>67</v>
      </c>
      <c r="N84" s="5" t="s">
        <v>69</v>
      </c>
      <c r="O84" s="5" t="s">
        <v>70</v>
      </c>
      <c r="P84" s="5" t="s">
        <v>73</v>
      </c>
      <c r="Q84" s="5" t="s">
        <v>75</v>
      </c>
      <c r="R84" s="1">
        <v>8</v>
      </c>
      <c r="S84" s="1">
        <v>44</v>
      </c>
      <c r="T84" s="1">
        <v>45</v>
      </c>
      <c r="Y84">
        <f t="shared" si="11"/>
        <v>82</v>
      </c>
      <c r="Z84">
        <f t="shared" si="10"/>
        <v>0</v>
      </c>
    </row>
    <row r="85" spans="1:26" x14ac:dyDescent="0.3">
      <c r="A85" s="27">
        <v>70</v>
      </c>
      <c r="B85" s="4"/>
      <c r="C85" s="6" t="s">
        <v>145</v>
      </c>
      <c r="D85" s="5"/>
      <c r="E85" s="5" t="s">
        <v>51</v>
      </c>
      <c r="F85" s="5" t="s">
        <v>53</v>
      </c>
      <c r="G85" s="5" t="s">
        <v>54</v>
      </c>
      <c r="H85" s="5" t="s">
        <v>57</v>
      </c>
      <c r="I85" s="5" t="s">
        <v>59</v>
      </c>
      <c r="J85" s="5" t="s">
        <v>61</v>
      </c>
      <c r="K85" s="5" t="s">
        <v>63</v>
      </c>
      <c r="L85" s="5" t="s">
        <v>64</v>
      </c>
      <c r="M85" s="5" t="s">
        <v>67</v>
      </c>
      <c r="N85" s="5" t="s">
        <v>69</v>
      </c>
      <c r="O85" s="5" t="s">
        <v>71</v>
      </c>
      <c r="P85" s="5" t="s">
        <v>72</v>
      </c>
      <c r="Q85" s="5" t="s">
        <v>74</v>
      </c>
      <c r="R85" s="1">
        <v>8</v>
      </c>
      <c r="S85" s="1">
        <v>46</v>
      </c>
      <c r="T85" s="1">
        <v>41</v>
      </c>
      <c r="Y85">
        <f t="shared" si="11"/>
        <v>83</v>
      </c>
      <c r="Z85">
        <f t="shared" si="10"/>
        <v>0</v>
      </c>
    </row>
    <row r="86" spans="1:26" x14ac:dyDescent="0.3">
      <c r="A86" s="27">
        <v>71</v>
      </c>
      <c r="B86" s="4"/>
      <c r="C86" s="6" t="s">
        <v>83</v>
      </c>
      <c r="D86" s="5"/>
      <c r="E86" s="5" t="s">
        <v>50</v>
      </c>
      <c r="F86" s="5" t="s">
        <v>53</v>
      </c>
      <c r="G86" s="5" t="s">
        <v>55</v>
      </c>
      <c r="H86" s="5" t="s">
        <v>57</v>
      </c>
      <c r="I86" s="5" t="s">
        <v>58</v>
      </c>
      <c r="J86" s="5" t="s">
        <v>61</v>
      </c>
      <c r="K86" s="5" t="s">
        <v>63</v>
      </c>
      <c r="L86" s="5" t="s">
        <v>65</v>
      </c>
      <c r="M86" s="5" t="s">
        <v>67</v>
      </c>
      <c r="N86" s="5" t="s">
        <v>69</v>
      </c>
      <c r="O86" s="5" t="s">
        <v>70</v>
      </c>
      <c r="P86" s="5" t="s">
        <v>73</v>
      </c>
      <c r="Q86" s="5" t="s">
        <v>74</v>
      </c>
      <c r="R86" s="1">
        <v>8</v>
      </c>
      <c r="S86" s="1">
        <v>48</v>
      </c>
      <c r="T86" s="1">
        <v>45</v>
      </c>
      <c r="Y86">
        <f t="shared" si="11"/>
        <v>84</v>
      </c>
      <c r="Z86">
        <f t="shared" si="10"/>
        <v>0</v>
      </c>
    </row>
    <row r="87" spans="1:26" ht="28.8" x14ac:dyDescent="0.3">
      <c r="A87" s="27">
        <v>72</v>
      </c>
      <c r="B87" s="4"/>
      <c r="C87" s="6" t="s">
        <v>176</v>
      </c>
      <c r="D87" s="5"/>
      <c r="E87" s="5" t="s">
        <v>51</v>
      </c>
      <c r="F87" s="5" t="s">
        <v>53</v>
      </c>
      <c r="G87" s="5" t="s">
        <v>54</v>
      </c>
      <c r="H87" s="5" t="s">
        <v>57</v>
      </c>
      <c r="I87" s="5" t="s">
        <v>59</v>
      </c>
      <c r="J87" s="5" t="s">
        <v>60</v>
      </c>
      <c r="K87" s="5" t="s">
        <v>63</v>
      </c>
      <c r="L87" s="5" t="s">
        <v>64</v>
      </c>
      <c r="M87" s="5" t="s">
        <v>67</v>
      </c>
      <c r="N87" s="5" t="s">
        <v>69</v>
      </c>
      <c r="O87" s="5" t="s">
        <v>71</v>
      </c>
      <c r="P87" s="5" t="s">
        <v>73</v>
      </c>
      <c r="Q87" s="5" t="s">
        <v>74</v>
      </c>
      <c r="R87" s="1">
        <v>8</v>
      </c>
      <c r="S87" s="1">
        <v>43</v>
      </c>
      <c r="T87" s="1">
        <v>45</v>
      </c>
      <c r="Y87">
        <f t="shared" si="11"/>
        <v>85</v>
      </c>
      <c r="Z87">
        <f t="shared" si="10"/>
        <v>0</v>
      </c>
    </row>
    <row r="88" spans="1:26" ht="28.8" x14ac:dyDescent="0.3">
      <c r="A88" s="27">
        <v>73</v>
      </c>
      <c r="B88" s="4"/>
      <c r="C88" s="6" t="s">
        <v>87</v>
      </c>
      <c r="D88" s="5"/>
      <c r="E88" s="5" t="s">
        <v>50</v>
      </c>
      <c r="F88" s="5" t="s">
        <v>52</v>
      </c>
      <c r="G88" s="5" t="s">
        <v>54</v>
      </c>
      <c r="H88" s="5" t="s">
        <v>56</v>
      </c>
      <c r="I88" s="5" t="s">
        <v>59</v>
      </c>
      <c r="J88" s="5" t="s">
        <v>60</v>
      </c>
      <c r="K88" s="5" t="s">
        <v>63</v>
      </c>
      <c r="L88" s="5" t="s">
        <v>65</v>
      </c>
      <c r="M88" s="5" t="s">
        <v>67</v>
      </c>
      <c r="N88" s="5" t="s">
        <v>68</v>
      </c>
      <c r="O88" s="5" t="s">
        <v>70</v>
      </c>
      <c r="P88" s="5" t="s">
        <v>73</v>
      </c>
      <c r="Q88" s="5" t="s">
        <v>74</v>
      </c>
      <c r="R88" s="1">
        <v>8</v>
      </c>
      <c r="S88" s="1">
        <v>34</v>
      </c>
      <c r="T88" s="1">
        <v>45</v>
      </c>
      <c r="Y88">
        <f t="shared" si="11"/>
        <v>86</v>
      </c>
      <c r="Z88">
        <f t="shared" si="10"/>
        <v>0</v>
      </c>
    </row>
    <row r="89" spans="1:26" x14ac:dyDescent="0.3">
      <c r="A89" s="27">
        <v>74</v>
      </c>
      <c r="B89" s="4"/>
      <c r="C89" s="6" t="s">
        <v>178</v>
      </c>
      <c r="D89" s="5"/>
      <c r="E89" s="5" t="s">
        <v>51</v>
      </c>
      <c r="F89" s="5" t="s">
        <v>52</v>
      </c>
      <c r="G89" s="5" t="s">
        <v>54</v>
      </c>
      <c r="H89" s="5" t="s">
        <v>56</v>
      </c>
      <c r="I89" s="5" t="s">
        <v>59</v>
      </c>
      <c r="J89" s="5" t="s">
        <v>61</v>
      </c>
      <c r="K89" s="5" t="s">
        <v>62</v>
      </c>
      <c r="L89" s="5" t="s">
        <v>65</v>
      </c>
      <c r="M89" s="5" t="s">
        <v>66</v>
      </c>
      <c r="N89" s="5" t="s">
        <v>69</v>
      </c>
      <c r="O89" s="5" t="s">
        <v>71</v>
      </c>
      <c r="P89" s="5" t="s">
        <v>72</v>
      </c>
      <c r="Q89" s="5" t="s">
        <v>75</v>
      </c>
      <c r="R89" s="1">
        <v>8</v>
      </c>
      <c r="S89" s="1">
        <v>45</v>
      </c>
      <c r="T89" s="1">
        <v>45</v>
      </c>
      <c r="Y89">
        <f t="shared" si="11"/>
        <v>87</v>
      </c>
      <c r="Z89">
        <f t="shared" si="10"/>
        <v>0</v>
      </c>
    </row>
    <row r="90" spans="1:26" ht="28.8" x14ac:dyDescent="0.3">
      <c r="A90" s="27">
        <v>75</v>
      </c>
      <c r="B90" s="4"/>
      <c r="C90" s="6" t="s">
        <v>153</v>
      </c>
      <c r="D90" s="5"/>
      <c r="E90" s="5" t="s">
        <v>51</v>
      </c>
      <c r="F90" s="5" t="s">
        <v>52</v>
      </c>
      <c r="G90" s="5" t="s">
        <v>54</v>
      </c>
      <c r="H90" s="5" t="s">
        <v>56</v>
      </c>
      <c r="I90" s="5" t="s">
        <v>59</v>
      </c>
      <c r="J90" s="5" t="s">
        <v>60</v>
      </c>
      <c r="K90" s="5" t="s">
        <v>62</v>
      </c>
      <c r="L90" s="5" t="s">
        <v>64</v>
      </c>
      <c r="M90" s="5" t="s">
        <v>67</v>
      </c>
      <c r="N90" s="5" t="s">
        <v>69</v>
      </c>
      <c r="O90" s="5" t="s">
        <v>71</v>
      </c>
      <c r="P90" s="5" t="s">
        <v>73</v>
      </c>
      <c r="Q90" s="5" t="s">
        <v>75</v>
      </c>
      <c r="R90" s="1">
        <v>8</v>
      </c>
      <c r="S90" s="1">
        <v>40</v>
      </c>
      <c r="T90" s="1">
        <v>41</v>
      </c>
      <c r="Y90">
        <f t="shared" si="11"/>
        <v>88</v>
      </c>
      <c r="Z90">
        <f t="shared" si="10"/>
        <v>0</v>
      </c>
    </row>
    <row r="91" spans="1:26" ht="28.8" x14ac:dyDescent="0.3">
      <c r="A91" s="27">
        <v>76</v>
      </c>
      <c r="B91" s="4"/>
      <c r="C91" s="6" t="s">
        <v>182</v>
      </c>
      <c r="D91" s="5"/>
      <c r="E91" s="5" t="s">
        <v>51</v>
      </c>
      <c r="F91" s="5" t="s">
        <v>52</v>
      </c>
      <c r="G91" s="5" t="s">
        <v>54</v>
      </c>
      <c r="H91" s="5" t="s">
        <v>57</v>
      </c>
      <c r="I91" s="5" t="s">
        <v>58</v>
      </c>
      <c r="J91" s="5" t="s">
        <v>60</v>
      </c>
      <c r="K91" s="5" t="s">
        <v>63</v>
      </c>
      <c r="L91" s="5" t="s">
        <v>65</v>
      </c>
      <c r="M91" s="5" t="s">
        <v>67</v>
      </c>
      <c r="N91" s="5" t="s">
        <v>69</v>
      </c>
      <c r="O91" s="5" t="s">
        <v>71</v>
      </c>
      <c r="P91" s="5" t="s">
        <v>72</v>
      </c>
      <c r="Q91" s="5" t="s">
        <v>74</v>
      </c>
      <c r="R91" s="1">
        <v>8</v>
      </c>
      <c r="S91" s="1">
        <v>36</v>
      </c>
      <c r="T91" s="1">
        <v>46</v>
      </c>
      <c r="Y91">
        <f t="shared" si="11"/>
        <v>89</v>
      </c>
      <c r="Z91">
        <f t="shared" si="10"/>
        <v>0</v>
      </c>
    </row>
    <row r="92" spans="1:26" ht="28.8" x14ac:dyDescent="0.3">
      <c r="A92" s="27">
        <v>77</v>
      </c>
      <c r="B92" s="4"/>
      <c r="C92" s="6" t="s">
        <v>29</v>
      </c>
      <c r="D92" s="5"/>
      <c r="E92" s="5" t="s">
        <v>50</v>
      </c>
      <c r="F92" s="5" t="s">
        <v>53</v>
      </c>
      <c r="G92" s="5" t="s">
        <v>55</v>
      </c>
      <c r="H92" s="5" t="s">
        <v>57</v>
      </c>
      <c r="I92" s="5" t="s">
        <v>59</v>
      </c>
      <c r="J92" s="5" t="s">
        <v>60</v>
      </c>
      <c r="K92" s="5" t="s">
        <v>62</v>
      </c>
      <c r="L92" s="5" t="s">
        <v>64</v>
      </c>
      <c r="M92" s="5" t="s">
        <v>67</v>
      </c>
      <c r="N92" s="5" t="s">
        <v>69</v>
      </c>
      <c r="O92" s="5" t="s">
        <v>71</v>
      </c>
      <c r="P92" s="5" t="s">
        <v>73</v>
      </c>
      <c r="Q92" s="5" t="s">
        <v>75</v>
      </c>
      <c r="R92" s="1">
        <v>8</v>
      </c>
      <c r="S92" s="1">
        <v>39</v>
      </c>
      <c r="T92" s="1">
        <v>40</v>
      </c>
      <c r="Y92">
        <f t="shared" si="11"/>
        <v>90</v>
      </c>
      <c r="Z92">
        <f t="shared" si="10"/>
        <v>0</v>
      </c>
    </row>
    <row r="93" spans="1:26" x14ac:dyDescent="0.3">
      <c r="A93" s="27">
        <v>78</v>
      </c>
      <c r="B93" s="4"/>
      <c r="C93" s="6" t="s">
        <v>23</v>
      </c>
      <c r="D93" s="5"/>
      <c r="E93" s="5" t="s">
        <v>50</v>
      </c>
      <c r="F93" s="5" t="s">
        <v>53</v>
      </c>
      <c r="G93" s="5" t="s">
        <v>54</v>
      </c>
      <c r="H93" s="5" t="s">
        <v>57</v>
      </c>
      <c r="I93" s="5" t="s">
        <v>59</v>
      </c>
      <c r="J93" s="5" t="s">
        <v>60</v>
      </c>
      <c r="K93" s="5" t="s">
        <v>63</v>
      </c>
      <c r="L93" s="5" t="s">
        <v>64</v>
      </c>
      <c r="M93" s="5" t="s">
        <v>67</v>
      </c>
      <c r="N93" s="5" t="s">
        <v>69</v>
      </c>
      <c r="O93" s="5" t="s">
        <v>71</v>
      </c>
      <c r="P93" s="5" t="s">
        <v>72</v>
      </c>
      <c r="Q93" s="5" t="s">
        <v>74</v>
      </c>
      <c r="R93" s="1">
        <v>8</v>
      </c>
      <c r="S93" s="1">
        <v>47</v>
      </c>
      <c r="T93" s="1">
        <v>39</v>
      </c>
      <c r="Y93">
        <f t="shared" si="11"/>
        <v>91</v>
      </c>
      <c r="Z93">
        <f t="shared" si="10"/>
        <v>0</v>
      </c>
    </row>
    <row r="94" spans="1:26" x14ac:dyDescent="0.3">
      <c r="A94" s="27">
        <v>79</v>
      </c>
      <c r="B94" s="4"/>
      <c r="C94" s="6" t="s">
        <v>98</v>
      </c>
      <c r="D94" s="5"/>
      <c r="E94" s="5" t="s">
        <v>50</v>
      </c>
      <c r="F94" s="5" t="s">
        <v>53</v>
      </c>
      <c r="G94" s="5" t="s">
        <v>54</v>
      </c>
      <c r="H94" s="5" t="s">
        <v>57</v>
      </c>
      <c r="I94" s="5" t="s">
        <v>59</v>
      </c>
      <c r="J94" s="5" t="s">
        <v>60</v>
      </c>
      <c r="K94" s="5" t="s">
        <v>62</v>
      </c>
      <c r="L94" s="5" t="s">
        <v>64</v>
      </c>
      <c r="M94" s="5" t="s">
        <v>66</v>
      </c>
      <c r="N94" s="5" t="s">
        <v>69</v>
      </c>
      <c r="O94" s="5" t="s">
        <v>71</v>
      </c>
      <c r="P94" s="5" t="s">
        <v>73</v>
      </c>
      <c r="Q94" s="5" t="s">
        <v>75</v>
      </c>
      <c r="R94" s="1">
        <v>8</v>
      </c>
      <c r="S94" s="1">
        <v>47</v>
      </c>
      <c r="T94" s="1">
        <v>47</v>
      </c>
      <c r="Y94">
        <f t="shared" si="11"/>
        <v>92</v>
      </c>
      <c r="Z94">
        <f t="shared" si="10"/>
        <v>0</v>
      </c>
    </row>
    <row r="95" spans="1:26" ht="28.8" x14ac:dyDescent="0.3">
      <c r="A95" s="27">
        <v>80</v>
      </c>
      <c r="B95" s="4"/>
      <c r="C95" s="6" t="s">
        <v>24</v>
      </c>
      <c r="D95" s="5"/>
      <c r="E95" s="5" t="s">
        <v>50</v>
      </c>
      <c r="F95" s="5" t="s">
        <v>53</v>
      </c>
      <c r="G95" s="5" t="s">
        <v>54</v>
      </c>
      <c r="H95" s="5" t="s">
        <v>56</v>
      </c>
      <c r="I95" s="5" t="s">
        <v>59</v>
      </c>
      <c r="J95" s="5" t="s">
        <v>60</v>
      </c>
      <c r="K95" s="5" t="s">
        <v>63</v>
      </c>
      <c r="L95" s="5" t="s">
        <v>64</v>
      </c>
      <c r="M95" s="5" t="s">
        <v>67</v>
      </c>
      <c r="N95" s="5" t="s">
        <v>69</v>
      </c>
      <c r="O95" s="5" t="s">
        <v>71</v>
      </c>
      <c r="P95" s="5" t="s">
        <v>73</v>
      </c>
      <c r="Q95" s="5" t="s">
        <v>74</v>
      </c>
      <c r="R95" s="1">
        <v>8</v>
      </c>
      <c r="S95" s="1">
        <v>43</v>
      </c>
      <c r="T95" s="1">
        <v>39</v>
      </c>
      <c r="Y95">
        <f t="shared" si="11"/>
        <v>93</v>
      </c>
      <c r="Z95">
        <f t="shared" si="10"/>
        <v>0</v>
      </c>
    </row>
    <row r="96" spans="1:26" x14ac:dyDescent="0.3">
      <c r="A96" s="27">
        <v>81</v>
      </c>
      <c r="B96" s="4"/>
      <c r="C96" s="6" t="s">
        <v>100</v>
      </c>
      <c r="D96" s="5"/>
      <c r="E96" s="5" t="s">
        <v>50</v>
      </c>
      <c r="F96" s="5" t="s">
        <v>53</v>
      </c>
      <c r="G96" s="5" t="s">
        <v>55</v>
      </c>
      <c r="H96" s="5" t="s">
        <v>56</v>
      </c>
      <c r="I96" s="5" t="s">
        <v>59</v>
      </c>
      <c r="J96" s="5" t="s">
        <v>61</v>
      </c>
      <c r="K96" s="5" t="s">
        <v>63</v>
      </c>
      <c r="L96" s="5" t="s">
        <v>64</v>
      </c>
      <c r="M96" s="5" t="s">
        <v>67</v>
      </c>
      <c r="N96" s="5" t="s">
        <v>69</v>
      </c>
      <c r="O96" s="5" t="s">
        <v>70</v>
      </c>
      <c r="P96" s="5" t="s">
        <v>73</v>
      </c>
      <c r="Q96" s="5" t="s">
        <v>75</v>
      </c>
      <c r="R96" s="1">
        <v>8</v>
      </c>
      <c r="S96" s="1">
        <v>45</v>
      </c>
      <c r="T96" s="1">
        <v>47</v>
      </c>
      <c r="Y96">
        <f t="shared" si="11"/>
        <v>94</v>
      </c>
      <c r="Z96">
        <f t="shared" si="10"/>
        <v>0</v>
      </c>
    </row>
    <row r="97" spans="1:26" ht="28.8" x14ac:dyDescent="0.3">
      <c r="A97" s="27">
        <v>82</v>
      </c>
      <c r="B97" s="4"/>
      <c r="C97" s="6" t="s">
        <v>25</v>
      </c>
      <c r="D97" s="5"/>
      <c r="E97" s="5" t="s">
        <v>50</v>
      </c>
      <c r="F97" s="5" t="s">
        <v>53</v>
      </c>
      <c r="G97" s="5" t="s">
        <v>55</v>
      </c>
      <c r="H97" s="5" t="s">
        <v>56</v>
      </c>
      <c r="I97" s="5" t="s">
        <v>59</v>
      </c>
      <c r="J97" s="5" t="s">
        <v>60</v>
      </c>
      <c r="K97" s="5" t="s">
        <v>63</v>
      </c>
      <c r="L97" s="5" t="s">
        <v>64</v>
      </c>
      <c r="M97" s="5" t="s">
        <v>67</v>
      </c>
      <c r="N97" s="5" t="s">
        <v>69</v>
      </c>
      <c r="O97" s="5" t="s">
        <v>71</v>
      </c>
      <c r="P97" s="5" t="s">
        <v>73</v>
      </c>
      <c r="Q97" s="5" t="s">
        <v>75</v>
      </c>
      <c r="R97" s="1">
        <v>8</v>
      </c>
      <c r="S97" s="1">
        <v>45</v>
      </c>
      <c r="T97" s="1">
        <v>39</v>
      </c>
      <c r="Y97">
        <f t="shared" si="11"/>
        <v>95</v>
      </c>
      <c r="Z97">
        <f t="shared" si="10"/>
        <v>0</v>
      </c>
    </row>
    <row r="98" spans="1:26" ht="28.8" x14ac:dyDescent="0.3">
      <c r="A98" s="27">
        <v>83</v>
      </c>
      <c r="B98" s="4"/>
      <c r="C98" s="6" t="s">
        <v>103</v>
      </c>
      <c r="D98" s="5"/>
      <c r="E98" s="5" t="s">
        <v>50</v>
      </c>
      <c r="F98" s="5" t="s">
        <v>53</v>
      </c>
      <c r="G98" s="5" t="s">
        <v>54</v>
      </c>
      <c r="H98" s="5" t="s">
        <v>57</v>
      </c>
      <c r="I98" s="5" t="s">
        <v>59</v>
      </c>
      <c r="J98" s="5" t="s">
        <v>60</v>
      </c>
      <c r="K98" s="5" t="s">
        <v>62</v>
      </c>
      <c r="L98" s="5" t="s">
        <v>64</v>
      </c>
      <c r="M98" s="5" t="s">
        <v>67</v>
      </c>
      <c r="N98" s="5" t="s">
        <v>69</v>
      </c>
      <c r="O98" s="5" t="s">
        <v>70</v>
      </c>
      <c r="P98" s="5" t="s">
        <v>73</v>
      </c>
      <c r="Q98" s="5" t="s">
        <v>75</v>
      </c>
      <c r="R98" s="1">
        <v>8</v>
      </c>
      <c r="S98" s="1">
        <v>42</v>
      </c>
      <c r="T98" s="1">
        <v>47</v>
      </c>
      <c r="Y98">
        <f t="shared" si="11"/>
        <v>96</v>
      </c>
      <c r="Z98">
        <f t="shared" si="10"/>
        <v>0</v>
      </c>
    </row>
    <row r="99" spans="1:26" x14ac:dyDescent="0.3">
      <c r="A99" s="27">
        <v>84</v>
      </c>
      <c r="B99" s="4"/>
      <c r="C99" s="6" t="s">
        <v>19</v>
      </c>
      <c r="D99" s="5"/>
      <c r="E99" s="5" t="s">
        <v>50</v>
      </c>
      <c r="F99" s="5" t="s">
        <v>53</v>
      </c>
      <c r="G99" s="5" t="s">
        <v>54</v>
      </c>
      <c r="H99" s="5" t="s">
        <v>57</v>
      </c>
      <c r="I99" s="5" t="s">
        <v>58</v>
      </c>
      <c r="J99" s="5" t="s">
        <v>60</v>
      </c>
      <c r="K99" s="5" t="s">
        <v>62</v>
      </c>
      <c r="L99" s="5" t="s">
        <v>65</v>
      </c>
      <c r="M99" s="5" t="s">
        <v>66</v>
      </c>
      <c r="N99" s="5" t="s">
        <v>69</v>
      </c>
      <c r="O99" s="5" t="s">
        <v>71</v>
      </c>
      <c r="P99" s="5" t="s">
        <v>73</v>
      </c>
      <c r="Q99" s="5" t="s">
        <v>75</v>
      </c>
      <c r="R99" s="1">
        <v>8</v>
      </c>
      <c r="S99" s="1">
        <v>47</v>
      </c>
      <c r="T99" s="1">
        <v>38</v>
      </c>
      <c r="Y99">
        <f t="shared" si="11"/>
        <v>97</v>
      </c>
      <c r="Z99">
        <f t="shared" si="10"/>
        <v>0</v>
      </c>
    </row>
    <row r="100" spans="1:26" ht="28.8" x14ac:dyDescent="0.3">
      <c r="A100" s="27">
        <v>85</v>
      </c>
      <c r="B100" s="4"/>
      <c r="C100" s="6" t="s">
        <v>107</v>
      </c>
      <c r="D100" s="5"/>
      <c r="E100" s="5" t="s">
        <v>50</v>
      </c>
      <c r="F100" s="5" t="s">
        <v>53</v>
      </c>
      <c r="G100" s="5" t="s">
        <v>55</v>
      </c>
      <c r="H100" s="5" t="s">
        <v>57</v>
      </c>
      <c r="I100" s="5" t="s">
        <v>58</v>
      </c>
      <c r="J100" s="5" t="s">
        <v>60</v>
      </c>
      <c r="K100" s="5" t="s">
        <v>63</v>
      </c>
      <c r="L100" s="5" t="s">
        <v>64</v>
      </c>
      <c r="M100" s="5" t="s">
        <v>67</v>
      </c>
      <c r="N100" s="5" t="s">
        <v>69</v>
      </c>
      <c r="O100" s="5" t="s">
        <v>71</v>
      </c>
      <c r="P100" s="5" t="s">
        <v>73</v>
      </c>
      <c r="Q100" s="5" t="s">
        <v>75</v>
      </c>
      <c r="R100" s="1">
        <v>8</v>
      </c>
      <c r="S100" s="1">
        <v>43</v>
      </c>
      <c r="T100" s="1">
        <v>48</v>
      </c>
      <c r="Y100">
        <f t="shared" si="11"/>
        <v>98</v>
      </c>
      <c r="Z100">
        <f t="shared" si="10"/>
        <v>0</v>
      </c>
    </row>
    <row r="101" spans="1:26" x14ac:dyDescent="0.3">
      <c r="A101" s="27">
        <v>86</v>
      </c>
      <c r="B101" s="4"/>
      <c r="C101" s="6" t="s">
        <v>109</v>
      </c>
      <c r="D101" s="5"/>
      <c r="E101" s="5" t="s">
        <v>50</v>
      </c>
      <c r="F101" s="5" t="s">
        <v>52</v>
      </c>
      <c r="G101" s="5" t="s">
        <v>55</v>
      </c>
      <c r="H101" s="5" t="s">
        <v>57</v>
      </c>
      <c r="I101" s="5" t="s">
        <v>59</v>
      </c>
      <c r="J101" s="5" t="s">
        <v>61</v>
      </c>
      <c r="K101" s="5" t="s">
        <v>63</v>
      </c>
      <c r="L101" s="5" t="s">
        <v>65</v>
      </c>
      <c r="M101" s="5" t="s">
        <v>66</v>
      </c>
      <c r="N101" s="5" t="s">
        <v>69</v>
      </c>
      <c r="O101" s="5" t="s">
        <v>70</v>
      </c>
      <c r="P101" s="5" t="s">
        <v>72</v>
      </c>
      <c r="Q101" s="5" t="s">
        <v>74</v>
      </c>
      <c r="R101" s="1">
        <v>8</v>
      </c>
      <c r="S101" s="1">
        <v>47</v>
      </c>
      <c r="T101" s="1">
        <v>48</v>
      </c>
      <c r="Y101">
        <f t="shared" si="11"/>
        <v>99</v>
      </c>
      <c r="Z101">
        <f t="shared" si="10"/>
        <v>0</v>
      </c>
    </row>
    <row r="102" spans="1:26" ht="28.8" x14ac:dyDescent="0.3">
      <c r="A102" s="27">
        <v>87</v>
      </c>
      <c r="B102" s="4"/>
      <c r="C102" s="6" t="s">
        <v>113</v>
      </c>
      <c r="D102" s="5"/>
      <c r="E102" s="5" t="s">
        <v>50</v>
      </c>
      <c r="F102" s="5" t="s">
        <v>53</v>
      </c>
      <c r="G102" s="5" t="s">
        <v>55</v>
      </c>
      <c r="H102" s="5" t="s">
        <v>57</v>
      </c>
      <c r="I102" s="5" t="s">
        <v>58</v>
      </c>
      <c r="J102" s="5" t="s">
        <v>60</v>
      </c>
      <c r="K102" s="5" t="s">
        <v>63</v>
      </c>
      <c r="L102" s="5" t="s">
        <v>64</v>
      </c>
      <c r="M102" s="5" t="s">
        <v>67</v>
      </c>
      <c r="N102" s="5" t="s">
        <v>69</v>
      </c>
      <c r="O102" s="5" t="s">
        <v>71</v>
      </c>
      <c r="P102" s="5" t="s">
        <v>73</v>
      </c>
      <c r="Q102" s="5" t="s">
        <v>75</v>
      </c>
      <c r="R102" s="1">
        <v>8</v>
      </c>
      <c r="S102" s="1">
        <v>44</v>
      </c>
      <c r="T102" s="1">
        <v>49</v>
      </c>
      <c r="Y102">
        <f t="shared" si="11"/>
        <v>100</v>
      </c>
      <c r="Z102">
        <f t="shared" si="10"/>
        <v>0</v>
      </c>
    </row>
    <row r="103" spans="1:26" ht="28.8" x14ac:dyDescent="0.3">
      <c r="A103" s="27">
        <v>88</v>
      </c>
      <c r="B103" s="4"/>
      <c r="C103" s="6" t="s">
        <v>15</v>
      </c>
      <c r="D103" s="5"/>
      <c r="E103" s="5" t="s">
        <v>50</v>
      </c>
      <c r="F103" s="5" t="s">
        <v>53</v>
      </c>
      <c r="G103" s="5" t="s">
        <v>54</v>
      </c>
      <c r="H103" s="5" t="s">
        <v>57</v>
      </c>
      <c r="I103" s="5" t="s">
        <v>59</v>
      </c>
      <c r="J103" s="5" t="s">
        <v>60</v>
      </c>
      <c r="K103" s="5" t="s">
        <v>63</v>
      </c>
      <c r="L103" s="5" t="s">
        <v>64</v>
      </c>
      <c r="M103" s="5" t="s">
        <v>67</v>
      </c>
      <c r="N103" s="5" t="s">
        <v>69</v>
      </c>
      <c r="O103" s="5" t="s">
        <v>71</v>
      </c>
      <c r="P103" s="5" t="s">
        <v>72</v>
      </c>
      <c r="Q103" s="5" t="s">
        <v>74</v>
      </c>
      <c r="R103" s="1">
        <v>8</v>
      </c>
      <c r="S103" s="1">
        <v>38</v>
      </c>
      <c r="T103" s="1">
        <v>37</v>
      </c>
      <c r="Y103">
        <f t="shared" si="11"/>
        <v>101</v>
      </c>
      <c r="Z103">
        <f t="shared" si="10"/>
        <v>0</v>
      </c>
    </row>
    <row r="104" spans="1:26" ht="43.2" x14ac:dyDescent="0.3">
      <c r="A104" s="27">
        <v>89</v>
      </c>
      <c r="B104" s="4"/>
      <c r="C104" s="6" t="s">
        <v>132</v>
      </c>
      <c r="D104" s="5"/>
      <c r="E104" s="5" t="s">
        <v>51</v>
      </c>
      <c r="F104" s="5" t="s">
        <v>53</v>
      </c>
      <c r="G104" s="5" t="s">
        <v>54</v>
      </c>
      <c r="H104" s="5" t="s">
        <v>57</v>
      </c>
      <c r="I104" s="5" t="s">
        <v>59</v>
      </c>
      <c r="J104" s="5" t="s">
        <v>60</v>
      </c>
      <c r="K104" s="5" t="s">
        <v>63</v>
      </c>
      <c r="L104" s="5" t="s">
        <v>64</v>
      </c>
      <c r="M104" s="5" t="s">
        <v>67</v>
      </c>
      <c r="N104" s="5" t="s">
        <v>69</v>
      </c>
      <c r="O104" s="5" t="s">
        <v>71</v>
      </c>
      <c r="P104" s="5" t="s">
        <v>72</v>
      </c>
      <c r="Q104" s="5" t="s">
        <v>75</v>
      </c>
      <c r="R104" s="1">
        <v>8</v>
      </c>
      <c r="S104" s="1">
        <v>41</v>
      </c>
      <c r="T104" s="1">
        <v>36</v>
      </c>
      <c r="Y104">
        <f t="shared" si="11"/>
        <v>102</v>
      </c>
      <c r="Z104">
        <f t="shared" si="10"/>
        <v>0</v>
      </c>
    </row>
    <row r="105" spans="1:26" ht="28.8" x14ac:dyDescent="0.3">
      <c r="A105" s="27">
        <v>90</v>
      </c>
      <c r="B105" s="4"/>
      <c r="C105" s="6" t="s">
        <v>133</v>
      </c>
      <c r="D105" s="5"/>
      <c r="E105" s="5" t="s">
        <v>51</v>
      </c>
      <c r="F105" s="5" t="s">
        <v>53</v>
      </c>
      <c r="G105" s="5" t="s">
        <v>55</v>
      </c>
      <c r="H105" s="5" t="s">
        <v>57</v>
      </c>
      <c r="I105" s="5" t="s">
        <v>59</v>
      </c>
      <c r="J105" s="5" t="s">
        <v>61</v>
      </c>
      <c r="K105" s="5" t="s">
        <v>62</v>
      </c>
      <c r="L105" s="5" t="s">
        <v>65</v>
      </c>
      <c r="M105" s="5" t="s">
        <v>67</v>
      </c>
      <c r="N105" s="5" t="s">
        <v>69</v>
      </c>
      <c r="O105" s="5" t="s">
        <v>70</v>
      </c>
      <c r="P105" s="5" t="s">
        <v>73</v>
      </c>
      <c r="Q105" s="5" t="s">
        <v>75</v>
      </c>
      <c r="R105" s="1">
        <v>8</v>
      </c>
      <c r="S105" s="1">
        <v>35</v>
      </c>
      <c r="T105" s="1">
        <v>36</v>
      </c>
      <c r="Y105">
        <f t="shared" si="11"/>
        <v>103</v>
      </c>
      <c r="Z105">
        <f t="shared" si="10"/>
        <v>0</v>
      </c>
    </row>
    <row r="106" spans="1:26" x14ac:dyDescent="0.3">
      <c r="A106" s="27">
        <v>91</v>
      </c>
      <c r="B106" s="4"/>
      <c r="C106" s="6" t="s">
        <v>13</v>
      </c>
      <c r="D106" s="5"/>
      <c r="E106" s="5" t="s">
        <v>50</v>
      </c>
      <c r="F106" s="5" t="s">
        <v>53</v>
      </c>
      <c r="G106" s="5" t="s">
        <v>54</v>
      </c>
      <c r="H106" s="5" t="s">
        <v>57</v>
      </c>
      <c r="I106" s="5" t="s">
        <v>59</v>
      </c>
      <c r="J106" s="5" t="s">
        <v>60</v>
      </c>
      <c r="K106" s="5" t="s">
        <v>62</v>
      </c>
      <c r="L106" s="5" t="s">
        <v>64</v>
      </c>
      <c r="M106" s="5" t="s">
        <v>67</v>
      </c>
      <c r="N106" s="5" t="s">
        <v>69</v>
      </c>
      <c r="O106" s="5" t="s">
        <v>70</v>
      </c>
      <c r="P106" s="5" t="s">
        <v>73</v>
      </c>
      <c r="Q106" s="5" t="s">
        <v>75</v>
      </c>
      <c r="R106" s="1">
        <v>8</v>
      </c>
      <c r="S106" s="1">
        <v>48</v>
      </c>
      <c r="T106" s="1">
        <v>36</v>
      </c>
      <c r="Y106">
        <f t="shared" si="11"/>
        <v>104</v>
      </c>
      <c r="Z106">
        <f t="shared" si="10"/>
        <v>0</v>
      </c>
    </row>
    <row r="107" spans="1:26" ht="28.8" x14ac:dyDescent="0.3">
      <c r="A107" s="27">
        <v>92</v>
      </c>
      <c r="B107" s="4"/>
      <c r="C107" s="6" t="s">
        <v>8</v>
      </c>
      <c r="D107" s="5"/>
      <c r="E107" s="5" t="s">
        <v>50</v>
      </c>
      <c r="F107" s="5" t="s">
        <v>53</v>
      </c>
      <c r="G107" s="5" t="s">
        <v>55</v>
      </c>
      <c r="H107" s="5" t="s">
        <v>57</v>
      </c>
      <c r="I107" s="5" t="s">
        <v>58</v>
      </c>
      <c r="J107" s="5" t="s">
        <v>60</v>
      </c>
      <c r="K107" s="5" t="s">
        <v>63</v>
      </c>
      <c r="L107" s="5" t="s">
        <v>65</v>
      </c>
      <c r="M107" s="5" t="s">
        <v>67</v>
      </c>
      <c r="N107" s="5" t="s">
        <v>69</v>
      </c>
      <c r="O107" s="5" t="s">
        <v>70</v>
      </c>
      <c r="P107" s="5" t="s">
        <v>73</v>
      </c>
      <c r="Q107" s="5" t="s">
        <v>75</v>
      </c>
      <c r="R107" s="1">
        <v>8</v>
      </c>
      <c r="S107" s="1">
        <v>45</v>
      </c>
      <c r="T107" s="1">
        <v>34</v>
      </c>
      <c r="Y107">
        <f t="shared" si="11"/>
        <v>105</v>
      </c>
      <c r="Z107">
        <f t="shared" si="10"/>
        <v>0</v>
      </c>
    </row>
    <row r="108" spans="1:26" ht="28.8" x14ac:dyDescent="0.3">
      <c r="A108" s="27">
        <v>93</v>
      </c>
      <c r="B108" s="4"/>
      <c r="C108" s="6" t="s">
        <v>116</v>
      </c>
      <c r="D108" s="5"/>
      <c r="E108" s="5" t="s">
        <v>50</v>
      </c>
      <c r="F108" s="5" t="s">
        <v>53</v>
      </c>
      <c r="G108" s="5" t="s">
        <v>55</v>
      </c>
      <c r="H108" s="5" t="s">
        <v>56</v>
      </c>
      <c r="I108" s="5" t="s">
        <v>59</v>
      </c>
      <c r="J108" s="5" t="s">
        <v>61</v>
      </c>
      <c r="K108" s="5" t="s">
        <v>63</v>
      </c>
      <c r="L108" s="5" t="s">
        <v>65</v>
      </c>
      <c r="M108" s="5" t="s">
        <v>67</v>
      </c>
      <c r="N108" s="5" t="s">
        <v>68</v>
      </c>
      <c r="O108" s="5" t="s">
        <v>71</v>
      </c>
      <c r="P108" s="5" t="s">
        <v>72</v>
      </c>
      <c r="Q108" s="5" t="s">
        <v>75</v>
      </c>
      <c r="R108" s="1">
        <v>8</v>
      </c>
      <c r="S108" s="1">
        <v>40</v>
      </c>
      <c r="T108" s="1">
        <v>52</v>
      </c>
      <c r="Y108">
        <f t="shared" si="11"/>
        <v>106</v>
      </c>
      <c r="Z108">
        <f t="shared" si="10"/>
        <v>0</v>
      </c>
    </row>
    <row r="109" spans="1:26" ht="28.8" x14ac:dyDescent="0.3">
      <c r="A109" s="27">
        <v>94</v>
      </c>
      <c r="B109" s="4"/>
      <c r="C109" s="6" t="s">
        <v>10</v>
      </c>
      <c r="D109" s="5"/>
      <c r="E109" s="5" t="s">
        <v>50</v>
      </c>
      <c r="F109" s="5" t="s">
        <v>53</v>
      </c>
      <c r="G109" s="5" t="s">
        <v>54</v>
      </c>
      <c r="H109" s="5" t="s">
        <v>57</v>
      </c>
      <c r="I109" s="5" t="s">
        <v>58</v>
      </c>
      <c r="J109" s="5" t="s">
        <v>60</v>
      </c>
      <c r="K109" s="5" t="s">
        <v>63</v>
      </c>
      <c r="L109" s="5" t="s">
        <v>65</v>
      </c>
      <c r="M109" s="5" t="s">
        <v>66</v>
      </c>
      <c r="N109" s="5" t="s">
        <v>69</v>
      </c>
      <c r="O109" s="5" t="s">
        <v>70</v>
      </c>
      <c r="P109" s="5" t="s">
        <v>73</v>
      </c>
      <c r="Q109" s="5" t="s">
        <v>75</v>
      </c>
      <c r="R109" s="1">
        <v>8</v>
      </c>
      <c r="S109" s="1">
        <v>42</v>
      </c>
      <c r="T109" s="1">
        <v>34</v>
      </c>
      <c r="Y109">
        <f t="shared" si="11"/>
        <v>107</v>
      </c>
      <c r="Z109">
        <f t="shared" si="10"/>
        <v>0</v>
      </c>
    </row>
    <row r="110" spans="1:26" x14ac:dyDescent="0.3">
      <c r="A110" s="27">
        <v>95</v>
      </c>
      <c r="B110" s="4"/>
      <c r="C110" s="6" t="s">
        <v>120</v>
      </c>
      <c r="D110" s="5"/>
      <c r="E110" s="5" t="s">
        <v>50</v>
      </c>
      <c r="F110" s="5" t="s">
        <v>52</v>
      </c>
      <c r="G110" s="5" t="s">
        <v>54</v>
      </c>
      <c r="H110" s="5" t="s">
        <v>57</v>
      </c>
      <c r="I110" s="5" t="s">
        <v>58</v>
      </c>
      <c r="J110" s="5" t="s">
        <v>61</v>
      </c>
      <c r="K110" s="5" t="s">
        <v>62</v>
      </c>
      <c r="L110" s="5" t="s">
        <v>64</v>
      </c>
      <c r="M110" s="5" t="s">
        <v>66</v>
      </c>
      <c r="N110" s="5" t="s">
        <v>69</v>
      </c>
      <c r="O110" s="5" t="s">
        <v>71</v>
      </c>
      <c r="P110" s="5" t="s">
        <v>72</v>
      </c>
      <c r="Q110" s="5" t="s">
        <v>75</v>
      </c>
      <c r="R110" s="1">
        <v>8</v>
      </c>
      <c r="S110" s="1">
        <v>42</v>
      </c>
      <c r="T110" s="1">
        <v>52</v>
      </c>
      <c r="Y110">
        <f t="shared" si="11"/>
        <v>108</v>
      </c>
      <c r="Z110">
        <f t="shared" si="10"/>
        <v>0</v>
      </c>
    </row>
    <row r="111" spans="1:26" ht="28.8" x14ac:dyDescent="0.3">
      <c r="A111" s="27">
        <v>96</v>
      </c>
      <c r="B111" s="4"/>
      <c r="C111" s="6" t="s">
        <v>122</v>
      </c>
      <c r="D111" s="5"/>
      <c r="E111" s="5" t="s">
        <v>50</v>
      </c>
      <c r="F111" s="5" t="s">
        <v>52</v>
      </c>
      <c r="G111" s="5" t="s">
        <v>55</v>
      </c>
      <c r="H111" s="5" t="s">
        <v>57</v>
      </c>
      <c r="I111" s="5" t="s">
        <v>59</v>
      </c>
      <c r="J111" s="5" t="s">
        <v>60</v>
      </c>
      <c r="K111" s="5" t="s">
        <v>63</v>
      </c>
      <c r="L111" s="5" t="s">
        <v>64</v>
      </c>
      <c r="M111" s="5" t="s">
        <v>66</v>
      </c>
      <c r="N111" s="5" t="s">
        <v>68</v>
      </c>
      <c r="O111" s="5" t="s">
        <v>71</v>
      </c>
      <c r="P111" s="5" t="s">
        <v>73</v>
      </c>
      <c r="Q111" s="5" t="s">
        <v>75</v>
      </c>
      <c r="R111" s="1">
        <v>8</v>
      </c>
      <c r="S111" s="1">
        <v>38</v>
      </c>
      <c r="T111" s="1">
        <v>56</v>
      </c>
      <c r="Y111">
        <f t="shared" si="11"/>
        <v>109</v>
      </c>
      <c r="Z111">
        <f t="shared" si="10"/>
        <v>0</v>
      </c>
    </row>
    <row r="112" spans="1:26" ht="28.8" x14ac:dyDescent="0.3">
      <c r="A112" s="27">
        <v>97</v>
      </c>
      <c r="B112" s="4"/>
      <c r="C112" s="6" t="s">
        <v>6</v>
      </c>
      <c r="D112" s="5"/>
      <c r="E112" s="5" t="s">
        <v>50</v>
      </c>
      <c r="F112" s="5" t="s">
        <v>53</v>
      </c>
      <c r="G112" s="5" t="s">
        <v>54</v>
      </c>
      <c r="H112" s="5" t="s">
        <v>57</v>
      </c>
      <c r="I112" s="5" t="s">
        <v>59</v>
      </c>
      <c r="J112" s="5" t="s">
        <v>60</v>
      </c>
      <c r="K112" s="5" t="s">
        <v>63</v>
      </c>
      <c r="L112" s="5" t="s">
        <v>64</v>
      </c>
      <c r="M112" s="5" t="s">
        <v>67</v>
      </c>
      <c r="N112" s="5" t="s">
        <v>69</v>
      </c>
      <c r="O112" s="5" t="s">
        <v>70</v>
      </c>
      <c r="P112" s="5" t="s">
        <v>72</v>
      </c>
      <c r="Q112" s="5" t="s">
        <v>75</v>
      </c>
      <c r="R112" s="1">
        <v>8</v>
      </c>
      <c r="S112" s="1">
        <v>43</v>
      </c>
      <c r="T112" s="1">
        <v>27</v>
      </c>
      <c r="Y112">
        <f t="shared" si="11"/>
        <v>110</v>
      </c>
      <c r="Z112">
        <f t="shared" si="10"/>
        <v>0</v>
      </c>
    </row>
    <row r="113" spans="1:26" ht="28.8" x14ac:dyDescent="0.3">
      <c r="A113" s="27">
        <v>98</v>
      </c>
      <c r="B113" s="4"/>
      <c r="C113" s="6" t="s">
        <v>160</v>
      </c>
      <c r="D113" s="5"/>
      <c r="E113" s="5" t="s">
        <v>51</v>
      </c>
      <c r="F113" s="5" t="s">
        <v>52</v>
      </c>
      <c r="G113" s="5" t="s">
        <v>55</v>
      </c>
      <c r="H113" s="5" t="s">
        <v>56</v>
      </c>
      <c r="I113" s="5" t="s">
        <v>59</v>
      </c>
      <c r="J113" s="5" t="s">
        <v>61</v>
      </c>
      <c r="K113" s="5" t="s">
        <v>62</v>
      </c>
      <c r="L113" s="5" t="s">
        <v>65</v>
      </c>
      <c r="M113" s="5" t="s">
        <v>66</v>
      </c>
      <c r="N113" s="5" t="s">
        <v>69</v>
      </c>
      <c r="O113" s="5" t="s">
        <v>71</v>
      </c>
      <c r="P113" s="5" t="s">
        <v>72</v>
      </c>
      <c r="Q113" s="5" t="s">
        <v>75</v>
      </c>
      <c r="R113" s="1">
        <v>7</v>
      </c>
      <c r="S113" s="1">
        <v>33</v>
      </c>
      <c r="T113" s="1">
        <v>43</v>
      </c>
      <c r="Y113">
        <f t="shared" si="11"/>
        <v>111</v>
      </c>
      <c r="Z113">
        <f t="shared" si="10"/>
        <v>0</v>
      </c>
    </row>
    <row r="114" spans="1:26" ht="28.8" x14ac:dyDescent="0.3">
      <c r="A114" s="27">
        <v>99</v>
      </c>
      <c r="B114" s="4"/>
      <c r="C114" s="6" t="s">
        <v>41</v>
      </c>
      <c r="D114" s="5"/>
      <c r="E114" s="5" t="s">
        <v>50</v>
      </c>
      <c r="F114" s="5" t="s">
        <v>52</v>
      </c>
      <c r="G114" s="5" t="s">
        <v>55</v>
      </c>
      <c r="H114" s="5" t="s">
        <v>57</v>
      </c>
      <c r="I114" s="5" t="s">
        <v>59</v>
      </c>
      <c r="J114" s="5" t="s">
        <v>60</v>
      </c>
      <c r="K114" s="5" t="s">
        <v>62</v>
      </c>
      <c r="L114" s="5" t="s">
        <v>64</v>
      </c>
      <c r="M114" s="5" t="s">
        <v>67</v>
      </c>
      <c r="N114" s="5" t="s">
        <v>69</v>
      </c>
      <c r="O114" s="5" t="s">
        <v>70</v>
      </c>
      <c r="P114" s="5" t="s">
        <v>72</v>
      </c>
      <c r="Q114" s="5" t="s">
        <v>75</v>
      </c>
      <c r="R114" s="1">
        <v>7</v>
      </c>
      <c r="S114" s="1">
        <v>42</v>
      </c>
      <c r="T114" s="1">
        <v>43</v>
      </c>
      <c r="Y114">
        <f t="shared" si="11"/>
        <v>112</v>
      </c>
      <c r="Z114">
        <f t="shared" si="10"/>
        <v>0</v>
      </c>
    </row>
    <row r="115" spans="1:26" x14ac:dyDescent="0.3">
      <c r="A115" s="27">
        <v>100</v>
      </c>
      <c r="B115" s="4"/>
      <c r="C115" s="6" t="s">
        <v>156</v>
      </c>
      <c r="D115" s="5"/>
      <c r="E115" s="5" t="s">
        <v>51</v>
      </c>
      <c r="F115" s="5" t="s">
        <v>53</v>
      </c>
      <c r="G115" s="5" t="s">
        <v>54</v>
      </c>
      <c r="H115" s="5" t="s">
        <v>56</v>
      </c>
      <c r="I115" s="5" t="s">
        <v>58</v>
      </c>
      <c r="J115" s="5" t="s">
        <v>60</v>
      </c>
      <c r="K115" s="5" t="s">
        <v>63</v>
      </c>
      <c r="L115" s="5" t="s">
        <v>64</v>
      </c>
      <c r="M115" s="5" t="s">
        <v>67</v>
      </c>
      <c r="N115" s="5" t="s">
        <v>69</v>
      </c>
      <c r="O115" s="5" t="s">
        <v>71</v>
      </c>
      <c r="P115" s="5" t="s">
        <v>73</v>
      </c>
      <c r="Q115" s="5" t="s">
        <v>75</v>
      </c>
      <c r="R115" s="1">
        <v>7</v>
      </c>
      <c r="S115" s="1">
        <v>43</v>
      </c>
      <c r="T115" s="1">
        <v>42</v>
      </c>
      <c r="Y115">
        <f t="shared" si="11"/>
        <v>113</v>
      </c>
      <c r="Z115">
        <f t="shared" si="10"/>
        <v>0</v>
      </c>
    </row>
    <row r="116" spans="1:26" ht="28.8" x14ac:dyDescent="0.3">
      <c r="A116" s="27">
        <v>101</v>
      </c>
      <c r="B116" s="4"/>
      <c r="C116" s="6" t="s">
        <v>36</v>
      </c>
      <c r="D116" s="5"/>
      <c r="E116" s="5" t="s">
        <v>50</v>
      </c>
      <c r="F116" s="5" t="s">
        <v>53</v>
      </c>
      <c r="G116" s="5" t="s">
        <v>54</v>
      </c>
      <c r="H116" s="5" t="s">
        <v>56</v>
      </c>
      <c r="I116" s="5" t="s">
        <v>59</v>
      </c>
      <c r="J116" s="5" t="s">
        <v>60</v>
      </c>
      <c r="K116" s="5" t="s">
        <v>63</v>
      </c>
      <c r="L116" s="5" t="s">
        <v>65</v>
      </c>
      <c r="M116" s="5" t="s">
        <v>67</v>
      </c>
      <c r="N116" s="5" t="s">
        <v>69</v>
      </c>
      <c r="O116" s="5" t="s">
        <v>70</v>
      </c>
      <c r="P116" s="5" t="s">
        <v>72</v>
      </c>
      <c r="Q116" s="5" t="s">
        <v>74</v>
      </c>
      <c r="R116" s="1">
        <v>7</v>
      </c>
      <c r="S116" s="1">
        <v>43</v>
      </c>
      <c r="T116" s="1">
        <v>42</v>
      </c>
      <c r="Y116">
        <f t="shared" si="11"/>
        <v>114</v>
      </c>
      <c r="Z116">
        <f t="shared" si="10"/>
        <v>0</v>
      </c>
    </row>
    <row r="117" spans="1:26" ht="28.8" x14ac:dyDescent="0.3">
      <c r="A117" s="27">
        <v>102</v>
      </c>
      <c r="B117" s="4"/>
      <c r="C117" s="6" t="s">
        <v>159</v>
      </c>
      <c r="D117" s="5"/>
      <c r="E117" s="5" t="s">
        <v>51</v>
      </c>
      <c r="F117" s="5" t="s">
        <v>53</v>
      </c>
      <c r="G117" s="5" t="s">
        <v>54</v>
      </c>
      <c r="H117" s="5" t="s">
        <v>56</v>
      </c>
      <c r="I117" s="5" t="s">
        <v>58</v>
      </c>
      <c r="J117" s="5" t="s">
        <v>60</v>
      </c>
      <c r="K117" s="5" t="s">
        <v>62</v>
      </c>
      <c r="L117" s="5" t="s">
        <v>65</v>
      </c>
      <c r="M117" s="5" t="s">
        <v>67</v>
      </c>
      <c r="N117" s="5" t="s">
        <v>69</v>
      </c>
      <c r="O117" s="5" t="s">
        <v>71</v>
      </c>
      <c r="P117" s="5" t="s">
        <v>73</v>
      </c>
      <c r="Q117" s="5" t="s">
        <v>75</v>
      </c>
      <c r="R117" s="1">
        <v>7</v>
      </c>
      <c r="S117" s="1">
        <v>35</v>
      </c>
      <c r="T117" s="1">
        <v>42</v>
      </c>
      <c r="Y117">
        <f t="shared" si="11"/>
        <v>115</v>
      </c>
      <c r="Z117">
        <f t="shared" si="10"/>
        <v>0</v>
      </c>
    </row>
    <row r="118" spans="1:26" x14ac:dyDescent="0.3">
      <c r="A118" s="27">
        <v>103</v>
      </c>
      <c r="B118" s="4"/>
      <c r="C118" s="6" t="s">
        <v>144</v>
      </c>
      <c r="D118" s="5"/>
      <c r="E118" s="5" t="s">
        <v>51</v>
      </c>
      <c r="F118" s="5" t="s">
        <v>53</v>
      </c>
      <c r="G118" s="5" t="s">
        <v>54</v>
      </c>
      <c r="H118" s="5" t="s">
        <v>57</v>
      </c>
      <c r="I118" s="5" t="s">
        <v>59</v>
      </c>
      <c r="J118" s="5" t="s">
        <v>61</v>
      </c>
      <c r="K118" s="5" t="s">
        <v>62</v>
      </c>
      <c r="L118" s="5" t="s">
        <v>64</v>
      </c>
      <c r="M118" s="5" t="s">
        <v>67</v>
      </c>
      <c r="N118" s="5" t="s">
        <v>68</v>
      </c>
      <c r="O118" s="5" t="s">
        <v>71</v>
      </c>
      <c r="P118" s="5" t="s">
        <v>72</v>
      </c>
      <c r="Q118" s="5" t="s">
        <v>75</v>
      </c>
      <c r="R118" s="1">
        <v>7</v>
      </c>
      <c r="S118" s="1">
        <v>46</v>
      </c>
      <c r="T118" s="1">
        <v>41</v>
      </c>
      <c r="Y118">
        <f t="shared" si="11"/>
        <v>116</v>
      </c>
      <c r="Z118">
        <f t="shared" si="10"/>
        <v>0</v>
      </c>
    </row>
    <row r="119" spans="1:26" ht="28.8" x14ac:dyDescent="0.3">
      <c r="A119" s="27">
        <v>104</v>
      </c>
      <c r="B119" s="4"/>
      <c r="C119" s="6" t="s">
        <v>146</v>
      </c>
      <c r="D119" s="5"/>
      <c r="E119" s="5" t="s">
        <v>51</v>
      </c>
      <c r="F119" s="5" t="s">
        <v>53</v>
      </c>
      <c r="G119" s="5" t="s">
        <v>55</v>
      </c>
      <c r="H119" s="5" t="s">
        <v>56</v>
      </c>
      <c r="I119" s="5" t="s">
        <v>59</v>
      </c>
      <c r="J119" s="5" t="s">
        <v>60</v>
      </c>
      <c r="K119" s="5" t="s">
        <v>63</v>
      </c>
      <c r="L119" s="5" t="s">
        <v>64</v>
      </c>
      <c r="M119" s="5" t="s">
        <v>67</v>
      </c>
      <c r="N119" s="5" t="s">
        <v>69</v>
      </c>
      <c r="O119" s="5" t="s">
        <v>71</v>
      </c>
      <c r="P119" s="5" t="s">
        <v>73</v>
      </c>
      <c r="Q119" s="5" t="s">
        <v>75</v>
      </c>
      <c r="R119" s="1">
        <v>7</v>
      </c>
      <c r="S119" s="1">
        <v>39</v>
      </c>
      <c r="T119" s="1">
        <v>41</v>
      </c>
      <c r="Y119">
        <f t="shared" si="11"/>
        <v>117</v>
      </c>
      <c r="Z119">
        <f t="shared" si="10"/>
        <v>0</v>
      </c>
    </row>
    <row r="120" spans="1:26" x14ac:dyDescent="0.3">
      <c r="A120" s="27">
        <v>105</v>
      </c>
      <c r="B120" s="4"/>
      <c r="C120" s="6" t="s">
        <v>85</v>
      </c>
      <c r="D120" s="5"/>
      <c r="E120" s="5" t="s">
        <v>50</v>
      </c>
      <c r="F120" s="5" t="s">
        <v>53</v>
      </c>
      <c r="G120" s="5" t="s">
        <v>55</v>
      </c>
      <c r="H120" s="5" t="s">
        <v>56</v>
      </c>
      <c r="I120" s="5" t="s">
        <v>59</v>
      </c>
      <c r="J120" s="5" t="s">
        <v>61</v>
      </c>
      <c r="K120" s="5" t="s">
        <v>63</v>
      </c>
      <c r="L120" s="5" t="s">
        <v>64</v>
      </c>
      <c r="M120" s="5" t="s">
        <v>66</v>
      </c>
      <c r="N120" s="5" t="s">
        <v>69</v>
      </c>
      <c r="O120" s="5" t="s">
        <v>70</v>
      </c>
      <c r="P120" s="5" t="s">
        <v>73</v>
      </c>
      <c r="Q120" s="5" t="s">
        <v>75</v>
      </c>
      <c r="R120" s="1">
        <v>7</v>
      </c>
      <c r="S120" s="1">
        <v>49</v>
      </c>
      <c r="T120" s="1">
        <v>45</v>
      </c>
      <c r="Y120">
        <f t="shared" si="11"/>
        <v>118</v>
      </c>
      <c r="Z120">
        <f t="shared" si="10"/>
        <v>0</v>
      </c>
    </row>
    <row r="121" spans="1:26" ht="28.8" x14ac:dyDescent="0.3">
      <c r="A121" s="27">
        <v>106</v>
      </c>
      <c r="B121" s="4"/>
      <c r="C121" s="6" t="s">
        <v>175</v>
      </c>
      <c r="D121" s="5"/>
      <c r="E121" s="5" t="s">
        <v>51</v>
      </c>
      <c r="F121" s="5" t="s">
        <v>52</v>
      </c>
      <c r="G121" s="5" t="s">
        <v>54</v>
      </c>
      <c r="H121" s="5" t="s">
        <v>56</v>
      </c>
      <c r="I121" s="5" t="s">
        <v>59</v>
      </c>
      <c r="J121" s="5" t="s">
        <v>60</v>
      </c>
      <c r="K121" s="5" t="s">
        <v>62</v>
      </c>
      <c r="L121" s="5" t="s">
        <v>64</v>
      </c>
      <c r="M121" s="5" t="s">
        <v>67</v>
      </c>
      <c r="N121" s="5" t="s">
        <v>69</v>
      </c>
      <c r="O121" s="5" t="s">
        <v>70</v>
      </c>
      <c r="P121" s="5" t="s">
        <v>73</v>
      </c>
      <c r="Q121" s="5" t="s">
        <v>75</v>
      </c>
      <c r="R121" s="1">
        <v>7</v>
      </c>
      <c r="S121" s="1">
        <v>31</v>
      </c>
      <c r="T121" s="1">
        <v>45</v>
      </c>
    </row>
    <row r="122" spans="1:26" x14ac:dyDescent="0.3">
      <c r="A122" s="27">
        <v>107</v>
      </c>
      <c r="B122" s="4"/>
      <c r="C122" s="6" t="s">
        <v>86</v>
      </c>
      <c r="D122" s="5"/>
      <c r="E122" s="5" t="s">
        <v>50</v>
      </c>
      <c r="F122" s="5" t="s">
        <v>53</v>
      </c>
      <c r="G122" s="5" t="s">
        <v>55</v>
      </c>
      <c r="H122" s="5" t="s">
        <v>57</v>
      </c>
      <c r="I122" s="5" t="s">
        <v>58</v>
      </c>
      <c r="J122" s="5" t="s">
        <v>60</v>
      </c>
      <c r="K122" s="5" t="s">
        <v>63</v>
      </c>
      <c r="L122" s="5" t="s">
        <v>64</v>
      </c>
      <c r="M122" s="5" t="s">
        <v>67</v>
      </c>
      <c r="N122" s="5" t="s">
        <v>69</v>
      </c>
      <c r="O122" s="5" t="s">
        <v>70</v>
      </c>
      <c r="P122" s="5" t="s">
        <v>73</v>
      </c>
      <c r="Q122" s="5" t="s">
        <v>75</v>
      </c>
      <c r="R122" s="1">
        <v>7</v>
      </c>
      <c r="S122" s="1">
        <v>41</v>
      </c>
      <c r="T122" s="1">
        <v>45</v>
      </c>
    </row>
    <row r="123" spans="1:26" ht="28.8" x14ac:dyDescent="0.3">
      <c r="A123" s="27">
        <v>108</v>
      </c>
      <c r="B123" s="4"/>
      <c r="C123" s="6" t="s">
        <v>177</v>
      </c>
      <c r="D123" s="5"/>
      <c r="E123" s="5" t="s">
        <v>51</v>
      </c>
      <c r="F123" s="5" t="s">
        <v>53</v>
      </c>
      <c r="G123" s="5" t="s">
        <v>54</v>
      </c>
      <c r="H123" s="5" t="s">
        <v>57</v>
      </c>
      <c r="I123" s="5" t="s">
        <v>58</v>
      </c>
      <c r="J123" s="5" t="s">
        <v>60</v>
      </c>
      <c r="K123" s="5" t="s">
        <v>63</v>
      </c>
      <c r="L123" s="5" t="s">
        <v>64</v>
      </c>
      <c r="M123" s="5" t="s">
        <v>67</v>
      </c>
      <c r="N123" s="5" t="s">
        <v>69</v>
      </c>
      <c r="O123" s="5" t="s">
        <v>70</v>
      </c>
      <c r="P123" s="5" t="s">
        <v>73</v>
      </c>
      <c r="Q123" s="5" t="s">
        <v>75</v>
      </c>
      <c r="R123" s="1">
        <v>7</v>
      </c>
      <c r="S123" s="1">
        <v>46</v>
      </c>
      <c r="T123" s="1">
        <v>45</v>
      </c>
    </row>
    <row r="124" spans="1:26" ht="28.8" x14ac:dyDescent="0.3">
      <c r="A124" s="27">
        <v>109</v>
      </c>
      <c r="B124" s="4"/>
      <c r="C124" s="6" t="s">
        <v>179</v>
      </c>
      <c r="D124" s="5"/>
      <c r="E124" s="5" t="s">
        <v>51</v>
      </c>
      <c r="F124" s="5" t="s">
        <v>53</v>
      </c>
      <c r="G124" s="5" t="s">
        <v>55</v>
      </c>
      <c r="H124" s="5" t="s">
        <v>56</v>
      </c>
      <c r="I124" s="5" t="s">
        <v>59</v>
      </c>
      <c r="J124" s="5" t="s">
        <v>60</v>
      </c>
      <c r="K124" s="5" t="s">
        <v>63</v>
      </c>
      <c r="L124" s="5" t="s">
        <v>64</v>
      </c>
      <c r="M124" s="5" t="s">
        <v>67</v>
      </c>
      <c r="N124" s="5" t="s">
        <v>69</v>
      </c>
      <c r="O124" s="5" t="s">
        <v>71</v>
      </c>
      <c r="P124" s="5" t="s">
        <v>73</v>
      </c>
      <c r="Q124" s="5" t="s">
        <v>75</v>
      </c>
      <c r="R124" s="1">
        <v>7</v>
      </c>
      <c r="S124" s="1">
        <v>39</v>
      </c>
      <c r="T124" s="1">
        <v>45</v>
      </c>
    </row>
    <row r="125" spans="1:26" x14ac:dyDescent="0.3">
      <c r="A125" s="27">
        <v>110</v>
      </c>
      <c r="B125" s="4"/>
      <c r="C125" s="6" t="s">
        <v>151</v>
      </c>
      <c r="D125" s="5"/>
      <c r="E125" s="5" t="s">
        <v>51</v>
      </c>
      <c r="F125" s="5" t="s">
        <v>52</v>
      </c>
      <c r="G125" s="5" t="s">
        <v>54</v>
      </c>
      <c r="H125" s="5" t="s">
        <v>56</v>
      </c>
      <c r="I125" s="5" t="s">
        <v>59</v>
      </c>
      <c r="J125" s="5" t="s">
        <v>61</v>
      </c>
      <c r="K125" s="5" t="s">
        <v>62</v>
      </c>
      <c r="L125" s="5" t="s">
        <v>64</v>
      </c>
      <c r="M125" s="5" t="s">
        <v>67</v>
      </c>
      <c r="N125" s="5" t="s">
        <v>68</v>
      </c>
      <c r="O125" s="5" t="s">
        <v>71</v>
      </c>
      <c r="P125" s="5" t="s">
        <v>73</v>
      </c>
      <c r="Q125" s="5" t="s">
        <v>74</v>
      </c>
      <c r="R125" s="1">
        <v>7</v>
      </c>
      <c r="S125" s="1">
        <v>42</v>
      </c>
      <c r="T125" s="1">
        <v>41</v>
      </c>
    </row>
    <row r="126" spans="1:26" x14ac:dyDescent="0.3">
      <c r="A126" s="27">
        <v>111</v>
      </c>
      <c r="B126" s="4"/>
      <c r="C126" s="6" t="s">
        <v>152</v>
      </c>
      <c r="D126" s="5"/>
      <c r="E126" s="5" t="s">
        <v>51</v>
      </c>
      <c r="F126" s="5" t="s">
        <v>53</v>
      </c>
      <c r="G126" s="5" t="s">
        <v>55</v>
      </c>
      <c r="H126" s="5" t="s">
        <v>57</v>
      </c>
      <c r="I126" s="5" t="s">
        <v>59</v>
      </c>
      <c r="J126" s="5" t="s">
        <v>61</v>
      </c>
      <c r="K126" s="5" t="s">
        <v>63</v>
      </c>
      <c r="L126" s="5" t="s">
        <v>64</v>
      </c>
      <c r="M126" s="5" t="s">
        <v>67</v>
      </c>
      <c r="N126" s="5" t="s">
        <v>68</v>
      </c>
      <c r="O126" s="5" t="s">
        <v>70</v>
      </c>
      <c r="P126" s="5" t="s">
        <v>73</v>
      </c>
      <c r="Q126" s="5" t="s">
        <v>75</v>
      </c>
      <c r="R126" s="1">
        <v>7</v>
      </c>
      <c r="S126" s="1">
        <v>48</v>
      </c>
      <c r="T126" s="1">
        <v>41</v>
      </c>
    </row>
    <row r="127" spans="1:26" ht="28.8" x14ac:dyDescent="0.3">
      <c r="A127" s="27">
        <v>112</v>
      </c>
      <c r="B127" s="4"/>
      <c r="C127" s="6" t="s">
        <v>28</v>
      </c>
      <c r="D127" s="5"/>
      <c r="E127" s="5" t="s">
        <v>50</v>
      </c>
      <c r="F127" s="5" t="s">
        <v>52</v>
      </c>
      <c r="G127" s="5" t="s">
        <v>54</v>
      </c>
      <c r="H127" s="5" t="s">
        <v>57</v>
      </c>
      <c r="I127" s="5" t="s">
        <v>58</v>
      </c>
      <c r="J127" s="5" t="s">
        <v>61</v>
      </c>
      <c r="K127" s="5" t="s">
        <v>62</v>
      </c>
      <c r="L127" s="5" t="s">
        <v>64</v>
      </c>
      <c r="M127" s="5" t="s">
        <v>66</v>
      </c>
      <c r="N127" s="5" t="s">
        <v>69</v>
      </c>
      <c r="O127" s="5" t="s">
        <v>71</v>
      </c>
      <c r="P127" s="5" t="s">
        <v>72</v>
      </c>
      <c r="Q127" s="5" t="s">
        <v>74</v>
      </c>
      <c r="R127" s="1">
        <v>7</v>
      </c>
      <c r="S127" s="1">
        <v>41</v>
      </c>
      <c r="T127" s="1">
        <v>40</v>
      </c>
    </row>
    <row r="128" spans="1:26" x14ac:dyDescent="0.3">
      <c r="A128" s="27">
        <v>113</v>
      </c>
      <c r="B128" s="4"/>
      <c r="C128" s="6" t="s">
        <v>183</v>
      </c>
      <c r="D128" s="5"/>
      <c r="E128" s="5" t="s">
        <v>51</v>
      </c>
      <c r="F128" s="5" t="s">
        <v>52</v>
      </c>
      <c r="G128" s="5" t="s">
        <v>54</v>
      </c>
      <c r="H128" s="5" t="s">
        <v>57</v>
      </c>
      <c r="I128" s="5" t="s">
        <v>59</v>
      </c>
      <c r="J128" s="5" t="s">
        <v>61</v>
      </c>
      <c r="K128" s="5" t="s">
        <v>62</v>
      </c>
      <c r="L128" s="5" t="s">
        <v>64</v>
      </c>
      <c r="M128" s="5" t="s">
        <v>67</v>
      </c>
      <c r="N128" s="5" t="s">
        <v>68</v>
      </c>
      <c r="O128" s="5" t="s">
        <v>70</v>
      </c>
      <c r="P128" s="5" t="s">
        <v>73</v>
      </c>
      <c r="Q128" s="5" t="s">
        <v>74</v>
      </c>
      <c r="R128" s="1">
        <v>7</v>
      </c>
      <c r="S128" s="1">
        <v>50</v>
      </c>
      <c r="T128" s="1">
        <v>46</v>
      </c>
    </row>
    <row r="129" spans="1:20" ht="28.8" x14ac:dyDescent="0.3">
      <c r="A129" s="27">
        <v>114</v>
      </c>
      <c r="B129" s="4"/>
      <c r="C129" s="6" t="s">
        <v>184</v>
      </c>
      <c r="D129" s="5"/>
      <c r="E129" s="5" t="s">
        <v>51</v>
      </c>
      <c r="F129" s="5" t="s">
        <v>52</v>
      </c>
      <c r="G129" s="5" t="s">
        <v>54</v>
      </c>
      <c r="H129" s="5" t="s">
        <v>56</v>
      </c>
      <c r="I129" s="5" t="s">
        <v>59</v>
      </c>
      <c r="J129" s="5" t="s">
        <v>60</v>
      </c>
      <c r="K129" s="5" t="s">
        <v>62</v>
      </c>
      <c r="L129" s="5" t="s">
        <v>64</v>
      </c>
      <c r="M129" s="5" t="s">
        <v>67</v>
      </c>
      <c r="N129" s="5" t="s">
        <v>69</v>
      </c>
      <c r="O129" s="5" t="s">
        <v>71</v>
      </c>
      <c r="P129" s="5" t="s">
        <v>73</v>
      </c>
      <c r="Q129" s="5" t="s">
        <v>74</v>
      </c>
      <c r="R129" s="1">
        <v>7</v>
      </c>
      <c r="S129" s="1">
        <v>44</v>
      </c>
      <c r="T129" s="1">
        <v>46</v>
      </c>
    </row>
    <row r="130" spans="1:20" ht="43.2" x14ac:dyDescent="0.3">
      <c r="A130" s="27">
        <v>115</v>
      </c>
      <c r="B130" s="4"/>
      <c r="C130" s="6" t="s">
        <v>188</v>
      </c>
      <c r="D130" s="5"/>
      <c r="E130" s="5" t="s">
        <v>51</v>
      </c>
      <c r="F130" s="5" t="s">
        <v>53</v>
      </c>
      <c r="G130" s="5" t="s">
        <v>54</v>
      </c>
      <c r="H130" s="5" t="s">
        <v>56</v>
      </c>
      <c r="I130" s="5" t="s">
        <v>59</v>
      </c>
      <c r="J130" s="5" t="s">
        <v>60</v>
      </c>
      <c r="K130" s="5" t="s">
        <v>62</v>
      </c>
      <c r="L130" s="5" t="s">
        <v>65</v>
      </c>
      <c r="M130" s="5" t="s">
        <v>67</v>
      </c>
      <c r="N130" s="5" t="s">
        <v>69</v>
      </c>
      <c r="O130" s="5" t="s">
        <v>70</v>
      </c>
      <c r="P130" s="5" t="s">
        <v>73</v>
      </c>
      <c r="Q130" s="5" t="s">
        <v>75</v>
      </c>
      <c r="R130" s="1">
        <v>7</v>
      </c>
      <c r="S130" s="1">
        <v>34</v>
      </c>
      <c r="T130" s="1">
        <v>47</v>
      </c>
    </row>
    <row r="131" spans="1:20" ht="28.8" x14ac:dyDescent="0.3">
      <c r="A131" s="27">
        <v>116</v>
      </c>
      <c r="B131" s="4"/>
      <c r="C131" s="6" t="s">
        <v>102</v>
      </c>
      <c r="D131" s="5"/>
      <c r="E131" s="5" t="s">
        <v>50</v>
      </c>
      <c r="F131" s="5" t="s">
        <v>53</v>
      </c>
      <c r="G131" s="5" t="s">
        <v>54</v>
      </c>
      <c r="H131" s="5" t="s">
        <v>57</v>
      </c>
      <c r="I131" s="5" t="s">
        <v>59</v>
      </c>
      <c r="J131" s="5" t="s">
        <v>61</v>
      </c>
      <c r="K131" s="5" t="s">
        <v>62</v>
      </c>
      <c r="L131" s="5" t="s">
        <v>64</v>
      </c>
      <c r="M131" s="5" t="s">
        <v>67</v>
      </c>
      <c r="N131" s="5" t="s">
        <v>69</v>
      </c>
      <c r="O131" s="5" t="s">
        <v>70</v>
      </c>
      <c r="P131" s="5" t="s">
        <v>72</v>
      </c>
      <c r="Q131" s="5" t="s">
        <v>74</v>
      </c>
      <c r="R131" s="1">
        <v>7</v>
      </c>
      <c r="S131" s="1">
        <v>39</v>
      </c>
      <c r="T131" s="1">
        <v>47</v>
      </c>
    </row>
    <row r="132" spans="1:20" x14ac:dyDescent="0.3">
      <c r="A132" s="27">
        <v>117</v>
      </c>
      <c r="B132" s="4"/>
      <c r="C132" s="6" t="s">
        <v>106</v>
      </c>
      <c r="D132" s="5"/>
      <c r="E132" s="5" t="s">
        <v>50</v>
      </c>
      <c r="F132" s="5" t="s">
        <v>53</v>
      </c>
      <c r="G132" s="5" t="s">
        <v>55</v>
      </c>
      <c r="H132" s="5" t="s">
        <v>56</v>
      </c>
      <c r="I132" s="5" t="s">
        <v>59</v>
      </c>
      <c r="J132" s="5" t="s">
        <v>60</v>
      </c>
      <c r="K132" s="5" t="s">
        <v>63</v>
      </c>
      <c r="L132" s="5" t="s">
        <v>64</v>
      </c>
      <c r="M132" s="5" t="s">
        <v>67</v>
      </c>
      <c r="N132" s="5" t="s">
        <v>69</v>
      </c>
      <c r="O132" s="5" t="s">
        <v>70</v>
      </c>
      <c r="P132" s="5" t="s">
        <v>73</v>
      </c>
      <c r="Q132" s="5" t="s">
        <v>75</v>
      </c>
      <c r="R132" s="1">
        <v>7</v>
      </c>
      <c r="S132" s="1">
        <v>45</v>
      </c>
      <c r="T132" s="1">
        <v>48</v>
      </c>
    </row>
    <row r="133" spans="1:20" ht="28.8" x14ac:dyDescent="0.3">
      <c r="A133" s="27">
        <v>118</v>
      </c>
      <c r="B133" s="4"/>
      <c r="C133" s="6" t="s">
        <v>135</v>
      </c>
      <c r="D133" s="5"/>
      <c r="E133" s="5" t="s">
        <v>51</v>
      </c>
      <c r="F133" s="5" t="s">
        <v>53</v>
      </c>
      <c r="G133" s="5" t="s">
        <v>54</v>
      </c>
      <c r="H133" s="5" t="s">
        <v>57</v>
      </c>
      <c r="I133" s="5" t="s">
        <v>59</v>
      </c>
      <c r="J133" s="5" t="s">
        <v>60</v>
      </c>
      <c r="K133" s="5" t="s">
        <v>62</v>
      </c>
      <c r="L133" s="5" t="s">
        <v>64</v>
      </c>
      <c r="M133" s="5" t="s">
        <v>67</v>
      </c>
      <c r="N133" s="5" t="s">
        <v>69</v>
      </c>
      <c r="O133" s="5" t="s">
        <v>70</v>
      </c>
      <c r="P133" s="5" t="s">
        <v>73</v>
      </c>
      <c r="Q133" s="5" t="s">
        <v>75</v>
      </c>
      <c r="R133" s="1">
        <v>7</v>
      </c>
      <c r="S133" s="1">
        <v>41</v>
      </c>
      <c r="T133" s="1">
        <v>38</v>
      </c>
    </row>
    <row r="134" spans="1:20" x14ac:dyDescent="0.3">
      <c r="A134" s="27">
        <v>119</v>
      </c>
      <c r="B134" s="4"/>
      <c r="C134" s="6" t="s">
        <v>189</v>
      </c>
      <c r="D134" s="5"/>
      <c r="E134" s="5" t="s">
        <v>51</v>
      </c>
      <c r="F134" s="5" t="s">
        <v>52</v>
      </c>
      <c r="G134" s="5" t="s">
        <v>54</v>
      </c>
      <c r="H134" s="5" t="s">
        <v>57</v>
      </c>
      <c r="I134" s="5" t="s">
        <v>58</v>
      </c>
      <c r="J134" s="5" t="s">
        <v>61</v>
      </c>
      <c r="K134" s="5" t="s">
        <v>62</v>
      </c>
      <c r="L134" s="5" t="s">
        <v>64</v>
      </c>
      <c r="M134" s="5" t="s">
        <v>67</v>
      </c>
      <c r="N134" s="5" t="s">
        <v>68</v>
      </c>
      <c r="O134" s="5" t="s">
        <v>71</v>
      </c>
      <c r="P134" s="5" t="s">
        <v>72</v>
      </c>
      <c r="Q134" s="5" t="s">
        <v>75</v>
      </c>
      <c r="R134" s="1">
        <v>7</v>
      </c>
      <c r="S134" s="1">
        <v>45</v>
      </c>
      <c r="T134" s="1">
        <v>48</v>
      </c>
    </row>
    <row r="135" spans="1:20" x14ac:dyDescent="0.3">
      <c r="A135" s="27">
        <v>120</v>
      </c>
      <c r="B135" s="4"/>
      <c r="C135" s="6" t="s">
        <v>136</v>
      </c>
      <c r="D135" s="5"/>
      <c r="E135" s="5" t="s">
        <v>51</v>
      </c>
      <c r="F135" s="5" t="s">
        <v>53</v>
      </c>
      <c r="G135" s="5" t="s">
        <v>55</v>
      </c>
      <c r="H135" s="5" t="s">
        <v>56</v>
      </c>
      <c r="I135" s="5" t="s">
        <v>59</v>
      </c>
      <c r="J135" s="5" t="s">
        <v>60</v>
      </c>
      <c r="K135" s="5" t="s">
        <v>62</v>
      </c>
      <c r="L135" s="5" t="s">
        <v>65</v>
      </c>
      <c r="M135" s="5" t="s">
        <v>67</v>
      </c>
      <c r="N135" s="5" t="s">
        <v>69</v>
      </c>
      <c r="O135" s="5" t="s">
        <v>71</v>
      </c>
      <c r="P135" s="5" t="s">
        <v>73</v>
      </c>
      <c r="Q135" s="5" t="s">
        <v>75</v>
      </c>
      <c r="R135" s="1">
        <v>7</v>
      </c>
      <c r="S135" s="1">
        <v>41</v>
      </c>
      <c r="T135" s="1">
        <v>38</v>
      </c>
    </row>
    <row r="136" spans="1:20" ht="28.8" x14ac:dyDescent="0.3">
      <c r="A136" s="27">
        <v>121</v>
      </c>
      <c r="B136" s="4"/>
      <c r="C136" s="6" t="s">
        <v>137</v>
      </c>
      <c r="D136" s="5"/>
      <c r="E136" s="5" t="s">
        <v>51</v>
      </c>
      <c r="F136" s="5" t="s">
        <v>53</v>
      </c>
      <c r="G136" s="5" t="s">
        <v>55</v>
      </c>
      <c r="H136" s="5" t="s">
        <v>57</v>
      </c>
      <c r="I136" s="5" t="s">
        <v>58</v>
      </c>
      <c r="J136" s="5" t="s">
        <v>61</v>
      </c>
      <c r="K136" s="5" t="s">
        <v>63</v>
      </c>
      <c r="L136" s="5" t="s">
        <v>64</v>
      </c>
      <c r="M136" s="5" t="s">
        <v>67</v>
      </c>
      <c r="N136" s="5" t="s">
        <v>69</v>
      </c>
      <c r="O136" s="5" t="s">
        <v>71</v>
      </c>
      <c r="P136" s="5" t="s">
        <v>73</v>
      </c>
      <c r="Q136" s="5" t="s">
        <v>74</v>
      </c>
      <c r="R136" s="1">
        <v>7</v>
      </c>
      <c r="S136" s="1">
        <v>44</v>
      </c>
      <c r="T136" s="1">
        <v>38</v>
      </c>
    </row>
    <row r="137" spans="1:20" ht="28.8" x14ac:dyDescent="0.3">
      <c r="A137" s="27">
        <v>122</v>
      </c>
      <c r="B137" s="4"/>
      <c r="C137" s="6" t="s">
        <v>140</v>
      </c>
      <c r="D137" s="5"/>
      <c r="E137" s="5" t="s">
        <v>51</v>
      </c>
      <c r="F137" s="5" t="s">
        <v>52</v>
      </c>
      <c r="G137" s="5" t="s">
        <v>54</v>
      </c>
      <c r="H137" s="5" t="s">
        <v>56</v>
      </c>
      <c r="I137" s="5" t="s">
        <v>59</v>
      </c>
      <c r="J137" s="5" t="s">
        <v>60</v>
      </c>
      <c r="K137" s="5" t="s">
        <v>63</v>
      </c>
      <c r="L137" s="5" t="s">
        <v>64</v>
      </c>
      <c r="M137" s="5" t="s">
        <v>67</v>
      </c>
      <c r="N137" s="5" t="s">
        <v>69</v>
      </c>
      <c r="O137" s="5" t="s">
        <v>70</v>
      </c>
      <c r="P137" s="5" t="s">
        <v>73</v>
      </c>
      <c r="Q137" s="5" t="s">
        <v>74</v>
      </c>
      <c r="R137" s="1">
        <v>7</v>
      </c>
      <c r="S137" s="1">
        <v>46</v>
      </c>
      <c r="T137" s="1">
        <v>38</v>
      </c>
    </row>
    <row r="138" spans="1:20" x14ac:dyDescent="0.3">
      <c r="A138" s="27">
        <v>123</v>
      </c>
      <c r="B138" s="4"/>
      <c r="C138" s="6" t="s">
        <v>111</v>
      </c>
      <c r="D138" s="5"/>
      <c r="E138" s="5" t="s">
        <v>50</v>
      </c>
      <c r="F138" s="5" t="s">
        <v>52</v>
      </c>
      <c r="G138" s="5" t="s">
        <v>55</v>
      </c>
      <c r="H138" s="5" t="s">
        <v>56</v>
      </c>
      <c r="I138" s="5" t="s">
        <v>58</v>
      </c>
      <c r="J138" s="5" t="s">
        <v>61</v>
      </c>
      <c r="K138" s="5" t="s">
        <v>63</v>
      </c>
      <c r="L138" s="5" t="s">
        <v>65</v>
      </c>
      <c r="M138" s="5" t="s">
        <v>66</v>
      </c>
      <c r="N138" s="5" t="s">
        <v>69</v>
      </c>
      <c r="O138" s="5" t="s">
        <v>71</v>
      </c>
      <c r="P138" s="5" t="s">
        <v>72</v>
      </c>
      <c r="Q138" s="5" t="s">
        <v>74</v>
      </c>
      <c r="R138" s="1">
        <v>7</v>
      </c>
      <c r="S138" s="1">
        <v>43</v>
      </c>
      <c r="T138" s="1">
        <v>49</v>
      </c>
    </row>
    <row r="139" spans="1:20" x14ac:dyDescent="0.3">
      <c r="A139" s="27">
        <v>124</v>
      </c>
      <c r="B139" s="4"/>
      <c r="C139" s="6" t="s">
        <v>7</v>
      </c>
      <c r="D139" s="5"/>
      <c r="E139" s="5" t="s">
        <v>50</v>
      </c>
      <c r="F139" s="5" t="s">
        <v>53</v>
      </c>
      <c r="G139" s="5" t="s">
        <v>54</v>
      </c>
      <c r="H139" s="5" t="s">
        <v>56</v>
      </c>
      <c r="I139" s="5" t="s">
        <v>59</v>
      </c>
      <c r="J139" s="5" t="s">
        <v>60</v>
      </c>
      <c r="K139" s="5" t="s">
        <v>62</v>
      </c>
      <c r="L139" s="5" t="s">
        <v>65</v>
      </c>
      <c r="M139" s="5" t="s">
        <v>66</v>
      </c>
      <c r="N139" s="5" t="s">
        <v>69</v>
      </c>
      <c r="O139" s="5" t="s">
        <v>71</v>
      </c>
      <c r="P139" s="5" t="s">
        <v>72</v>
      </c>
      <c r="Q139" s="5" t="s">
        <v>75</v>
      </c>
      <c r="R139" s="1">
        <v>7</v>
      </c>
      <c r="S139" s="1">
        <v>32</v>
      </c>
      <c r="T139" s="1">
        <v>31</v>
      </c>
    </row>
    <row r="140" spans="1:20" x14ac:dyDescent="0.3">
      <c r="A140" s="27">
        <v>125</v>
      </c>
      <c r="B140" s="4"/>
      <c r="C140" s="6" t="s">
        <v>128</v>
      </c>
      <c r="D140" s="5"/>
      <c r="E140" s="5" t="s">
        <v>51</v>
      </c>
      <c r="F140" s="5" t="s">
        <v>52</v>
      </c>
      <c r="G140" s="5" t="s">
        <v>54</v>
      </c>
      <c r="H140" s="5" t="s">
        <v>56</v>
      </c>
      <c r="I140" s="5" t="s">
        <v>58</v>
      </c>
      <c r="J140" s="5" t="s">
        <v>61</v>
      </c>
      <c r="K140" s="5" t="s">
        <v>62</v>
      </c>
      <c r="L140" s="5" t="s">
        <v>65</v>
      </c>
      <c r="M140" s="5" t="s">
        <v>67</v>
      </c>
      <c r="N140" s="5" t="s">
        <v>68</v>
      </c>
      <c r="O140" s="5" t="s">
        <v>71</v>
      </c>
      <c r="P140" s="5" t="s">
        <v>72</v>
      </c>
      <c r="Q140" s="5" t="s">
        <v>75</v>
      </c>
      <c r="R140" s="1">
        <v>7</v>
      </c>
      <c r="S140" s="1">
        <v>42</v>
      </c>
      <c r="T140" s="1">
        <v>29</v>
      </c>
    </row>
    <row r="141" spans="1:20" ht="28.8" x14ac:dyDescent="0.3">
      <c r="A141" s="27">
        <v>126</v>
      </c>
      <c r="B141" s="4"/>
      <c r="C141" s="6" t="s">
        <v>164</v>
      </c>
      <c r="D141" s="5"/>
      <c r="E141" s="5" t="s">
        <v>51</v>
      </c>
      <c r="F141" s="5" t="s">
        <v>52</v>
      </c>
      <c r="G141" s="5" t="s">
        <v>55</v>
      </c>
      <c r="H141" s="5" t="s">
        <v>57</v>
      </c>
      <c r="I141" s="5" t="s">
        <v>59</v>
      </c>
      <c r="J141" s="5" t="s">
        <v>60</v>
      </c>
      <c r="K141" s="5" t="s">
        <v>62</v>
      </c>
      <c r="L141" s="5" t="s">
        <v>65</v>
      </c>
      <c r="M141" s="5" t="s">
        <v>67</v>
      </c>
      <c r="N141" s="5" t="s">
        <v>69</v>
      </c>
      <c r="O141" s="5" t="s">
        <v>70</v>
      </c>
      <c r="P141" s="5" t="s">
        <v>72</v>
      </c>
      <c r="Q141" s="5" t="s">
        <v>74</v>
      </c>
      <c r="R141" s="1">
        <v>6</v>
      </c>
      <c r="S141" s="1">
        <v>38</v>
      </c>
      <c r="T141" s="1">
        <v>44</v>
      </c>
    </row>
    <row r="142" spans="1:20" ht="43.2" x14ac:dyDescent="0.3">
      <c r="A142" s="27">
        <v>127</v>
      </c>
      <c r="B142" s="4"/>
      <c r="C142" s="6" t="s">
        <v>171</v>
      </c>
      <c r="D142" s="5"/>
      <c r="E142" s="5" t="s">
        <v>51</v>
      </c>
      <c r="F142" s="5" t="s">
        <v>52</v>
      </c>
      <c r="G142" s="5" t="s">
        <v>55</v>
      </c>
      <c r="H142" s="5" t="s">
        <v>56</v>
      </c>
      <c r="I142" s="5" t="s">
        <v>59</v>
      </c>
      <c r="J142" s="5" t="s">
        <v>60</v>
      </c>
      <c r="K142" s="5" t="s">
        <v>62</v>
      </c>
      <c r="L142" s="5" t="s">
        <v>65</v>
      </c>
      <c r="M142" s="5" t="s">
        <v>66</v>
      </c>
      <c r="N142" s="5" t="s">
        <v>69</v>
      </c>
      <c r="O142" s="5" t="s">
        <v>70</v>
      </c>
      <c r="P142" s="5" t="s">
        <v>73</v>
      </c>
      <c r="Q142" s="5" t="s">
        <v>75</v>
      </c>
      <c r="R142" s="1">
        <v>6</v>
      </c>
      <c r="S142" s="1">
        <v>41</v>
      </c>
      <c r="T142" s="1">
        <v>44</v>
      </c>
    </row>
    <row r="143" spans="1:20" x14ac:dyDescent="0.3">
      <c r="A143" s="27">
        <v>128</v>
      </c>
      <c r="B143" s="4"/>
      <c r="C143" s="6" t="s">
        <v>157</v>
      </c>
      <c r="D143" s="5"/>
      <c r="E143" s="5" t="s">
        <v>51</v>
      </c>
      <c r="F143" s="5" t="s">
        <v>53</v>
      </c>
      <c r="G143" s="5" t="s">
        <v>54</v>
      </c>
      <c r="H143" s="5" t="s">
        <v>57</v>
      </c>
      <c r="I143" s="5" t="s">
        <v>59</v>
      </c>
      <c r="J143" s="5" t="s">
        <v>60</v>
      </c>
      <c r="K143" s="5" t="s">
        <v>62</v>
      </c>
      <c r="L143" s="5" t="s">
        <v>65</v>
      </c>
      <c r="M143" s="5" t="s">
        <v>67</v>
      </c>
      <c r="N143" s="5" t="s">
        <v>69</v>
      </c>
      <c r="O143" s="5" t="s">
        <v>70</v>
      </c>
      <c r="P143" s="5" t="s">
        <v>72</v>
      </c>
      <c r="Q143" s="5" t="s">
        <v>74</v>
      </c>
      <c r="R143" s="1">
        <v>6</v>
      </c>
      <c r="S143" s="1">
        <v>38</v>
      </c>
      <c r="T143" s="1">
        <v>42</v>
      </c>
    </row>
    <row r="144" spans="1:20" x14ac:dyDescent="0.3">
      <c r="A144" s="27">
        <v>129</v>
      </c>
      <c r="B144" s="4"/>
      <c r="C144" s="6" t="s">
        <v>149</v>
      </c>
      <c r="D144" s="5"/>
      <c r="E144" s="5" t="s">
        <v>51</v>
      </c>
      <c r="F144" s="5" t="s">
        <v>53</v>
      </c>
      <c r="G144" s="5" t="s">
        <v>54</v>
      </c>
      <c r="H144" s="5" t="s">
        <v>56</v>
      </c>
      <c r="I144" s="5" t="s">
        <v>59</v>
      </c>
      <c r="J144" s="5" t="s">
        <v>61</v>
      </c>
      <c r="K144" s="5" t="s">
        <v>62</v>
      </c>
      <c r="L144" s="5" t="s">
        <v>64</v>
      </c>
      <c r="M144" s="5" t="s">
        <v>67</v>
      </c>
      <c r="N144" s="5" t="s">
        <v>69</v>
      </c>
      <c r="O144" s="5" t="s">
        <v>70</v>
      </c>
      <c r="P144" s="5" t="s">
        <v>72</v>
      </c>
      <c r="Q144" s="5" t="s">
        <v>75</v>
      </c>
      <c r="R144" s="1">
        <v>6</v>
      </c>
      <c r="S144" s="1">
        <v>42</v>
      </c>
      <c r="T144" s="1">
        <v>41</v>
      </c>
    </row>
    <row r="145" spans="1:20" ht="28.8" x14ac:dyDescent="0.3">
      <c r="A145" s="27">
        <v>130</v>
      </c>
      <c r="B145" s="4"/>
      <c r="C145" s="6" t="s">
        <v>143</v>
      </c>
      <c r="D145" s="5"/>
      <c r="E145" s="5" t="s">
        <v>51</v>
      </c>
      <c r="F145" s="5" t="s">
        <v>53</v>
      </c>
      <c r="G145" s="5" t="s">
        <v>55</v>
      </c>
      <c r="H145" s="5" t="s">
        <v>57</v>
      </c>
      <c r="I145" s="5" t="s">
        <v>59</v>
      </c>
      <c r="J145" s="5" t="s">
        <v>60</v>
      </c>
      <c r="K145" s="5" t="s">
        <v>62</v>
      </c>
      <c r="L145" s="5" t="s">
        <v>64</v>
      </c>
      <c r="M145" s="5" t="s">
        <v>67</v>
      </c>
      <c r="N145" s="5" t="s">
        <v>69</v>
      </c>
      <c r="O145" s="5" t="s">
        <v>71</v>
      </c>
      <c r="P145" s="5" t="s">
        <v>72</v>
      </c>
      <c r="Q145" s="5" t="s">
        <v>75</v>
      </c>
      <c r="R145" s="1">
        <v>6</v>
      </c>
      <c r="S145" s="1">
        <v>41</v>
      </c>
      <c r="T145" s="1">
        <v>40</v>
      </c>
    </row>
    <row r="146" spans="1:20" x14ac:dyDescent="0.3">
      <c r="A146" s="27">
        <v>131</v>
      </c>
      <c r="B146" s="4"/>
      <c r="C146" s="6" t="s">
        <v>186</v>
      </c>
      <c r="D146" s="5"/>
      <c r="E146" s="5" t="s">
        <v>51</v>
      </c>
      <c r="F146" s="5" t="s">
        <v>53</v>
      </c>
      <c r="G146" s="5" t="s">
        <v>55</v>
      </c>
      <c r="H146" s="5" t="s">
        <v>57</v>
      </c>
      <c r="I146" s="5" t="s">
        <v>58</v>
      </c>
      <c r="J146" s="5" t="s">
        <v>61</v>
      </c>
      <c r="K146" s="5" t="s">
        <v>62</v>
      </c>
      <c r="L146" s="5" t="s">
        <v>64</v>
      </c>
      <c r="M146" s="5" t="s">
        <v>67</v>
      </c>
      <c r="N146" s="5" t="s">
        <v>68</v>
      </c>
      <c r="O146" s="5" t="s">
        <v>71</v>
      </c>
      <c r="P146" s="5" t="s">
        <v>73</v>
      </c>
      <c r="Q146" s="5" t="s">
        <v>75</v>
      </c>
      <c r="R146" s="1">
        <v>6</v>
      </c>
      <c r="S146" s="1">
        <v>38</v>
      </c>
      <c r="T146" s="1">
        <v>47</v>
      </c>
    </row>
    <row r="147" spans="1:20" x14ac:dyDescent="0.3">
      <c r="A147" s="27">
        <v>132</v>
      </c>
      <c r="B147" s="4"/>
      <c r="C147" s="6" t="s">
        <v>187</v>
      </c>
      <c r="D147" s="5"/>
      <c r="E147" s="5" t="s">
        <v>51</v>
      </c>
      <c r="F147" s="5" t="s">
        <v>53</v>
      </c>
      <c r="G147" s="5" t="s">
        <v>55</v>
      </c>
      <c r="H147" s="5" t="s">
        <v>56</v>
      </c>
      <c r="I147" s="5" t="s">
        <v>58</v>
      </c>
      <c r="J147" s="5" t="s">
        <v>60</v>
      </c>
      <c r="K147" s="5" t="s">
        <v>63</v>
      </c>
      <c r="L147" s="5" t="s">
        <v>64</v>
      </c>
      <c r="M147" s="5" t="s">
        <v>67</v>
      </c>
      <c r="N147" s="5" t="s">
        <v>69</v>
      </c>
      <c r="O147" s="5" t="s">
        <v>71</v>
      </c>
      <c r="P147" s="5" t="s">
        <v>73</v>
      </c>
      <c r="Q147" s="5" t="s">
        <v>75</v>
      </c>
      <c r="R147" s="1">
        <v>6</v>
      </c>
      <c r="S147" s="1">
        <v>40</v>
      </c>
      <c r="T147" s="1">
        <v>47</v>
      </c>
    </row>
    <row r="148" spans="1:20" x14ac:dyDescent="0.3">
      <c r="A148" s="27">
        <v>133</v>
      </c>
      <c r="B148" s="4"/>
      <c r="C148" s="6" t="s">
        <v>141</v>
      </c>
      <c r="D148" s="5"/>
      <c r="E148" s="5" t="s">
        <v>51</v>
      </c>
      <c r="F148" s="5" t="s">
        <v>53</v>
      </c>
      <c r="G148" s="5" t="s">
        <v>54</v>
      </c>
      <c r="H148" s="5" t="s">
        <v>56</v>
      </c>
      <c r="I148" s="5" t="s">
        <v>59</v>
      </c>
      <c r="J148" s="5" t="s">
        <v>61</v>
      </c>
      <c r="K148" s="5" t="s">
        <v>62</v>
      </c>
      <c r="L148" s="5" t="s">
        <v>64</v>
      </c>
      <c r="M148" s="5" t="s">
        <v>67</v>
      </c>
      <c r="N148" s="5" t="s">
        <v>68</v>
      </c>
      <c r="O148" s="5" t="s">
        <v>70</v>
      </c>
      <c r="P148" s="5" t="s">
        <v>73</v>
      </c>
      <c r="Q148" s="5" t="s">
        <v>75</v>
      </c>
      <c r="R148" s="1">
        <v>6</v>
      </c>
      <c r="S148" s="1">
        <v>38</v>
      </c>
      <c r="T148" s="1">
        <v>39</v>
      </c>
    </row>
    <row r="149" spans="1:20" x14ac:dyDescent="0.3">
      <c r="A149" s="27">
        <v>134</v>
      </c>
      <c r="B149" s="4"/>
      <c r="C149" s="6" t="s">
        <v>101</v>
      </c>
      <c r="D149" s="5"/>
      <c r="E149" s="5" t="s">
        <v>50</v>
      </c>
      <c r="F149" s="5" t="s">
        <v>52</v>
      </c>
      <c r="G149" s="5" t="s">
        <v>55</v>
      </c>
      <c r="H149" s="5" t="s">
        <v>56</v>
      </c>
      <c r="I149" s="5" t="s">
        <v>59</v>
      </c>
      <c r="J149" s="5" t="s">
        <v>60</v>
      </c>
      <c r="K149" s="5" t="s">
        <v>62</v>
      </c>
      <c r="L149" s="5" t="s">
        <v>64</v>
      </c>
      <c r="M149" s="5" t="s">
        <v>67</v>
      </c>
      <c r="N149" s="5" t="s">
        <v>69</v>
      </c>
      <c r="O149" s="5" t="s">
        <v>70</v>
      </c>
      <c r="P149" s="5" t="s">
        <v>73</v>
      </c>
      <c r="Q149" s="5" t="s">
        <v>74</v>
      </c>
      <c r="R149" s="1">
        <v>6</v>
      </c>
      <c r="S149" s="1">
        <v>43</v>
      </c>
      <c r="T149" s="1">
        <v>47</v>
      </c>
    </row>
    <row r="150" spans="1:20" x14ac:dyDescent="0.3">
      <c r="A150" s="27">
        <v>135</v>
      </c>
      <c r="B150" s="4"/>
      <c r="C150" s="6" t="s">
        <v>142</v>
      </c>
      <c r="D150" s="5"/>
      <c r="E150" s="5" t="s">
        <v>51</v>
      </c>
      <c r="F150" s="5" t="s">
        <v>52</v>
      </c>
      <c r="G150" s="5" t="s">
        <v>54</v>
      </c>
      <c r="H150" s="5" t="s">
        <v>56</v>
      </c>
      <c r="I150" s="5" t="s">
        <v>59</v>
      </c>
      <c r="J150" s="5" t="s">
        <v>60</v>
      </c>
      <c r="K150" s="5" t="s">
        <v>62</v>
      </c>
      <c r="L150" s="5" t="s">
        <v>64</v>
      </c>
      <c r="M150" s="5" t="s">
        <v>67</v>
      </c>
      <c r="N150" s="5" t="s">
        <v>68</v>
      </c>
      <c r="O150" s="5" t="s">
        <v>71</v>
      </c>
      <c r="P150" s="5" t="s">
        <v>73</v>
      </c>
      <c r="Q150" s="5" t="s">
        <v>74</v>
      </c>
      <c r="R150" s="1">
        <v>6</v>
      </c>
      <c r="S150" s="1">
        <v>44</v>
      </c>
      <c r="T150" s="1">
        <v>39</v>
      </c>
    </row>
    <row r="151" spans="1:20" x14ac:dyDescent="0.3">
      <c r="A151" s="27">
        <v>136</v>
      </c>
      <c r="B151" s="4"/>
      <c r="C151" s="6" t="s">
        <v>18</v>
      </c>
      <c r="D151" s="5"/>
      <c r="E151" s="5" t="s">
        <v>50</v>
      </c>
      <c r="F151" s="5" t="s">
        <v>53</v>
      </c>
      <c r="G151" s="5" t="s">
        <v>55</v>
      </c>
      <c r="H151" s="5" t="s">
        <v>56</v>
      </c>
      <c r="I151" s="5" t="s">
        <v>59</v>
      </c>
      <c r="J151" s="5" t="s">
        <v>61</v>
      </c>
      <c r="K151" s="5" t="s">
        <v>62</v>
      </c>
      <c r="L151" s="5" t="s">
        <v>64</v>
      </c>
      <c r="M151" s="5" t="s">
        <v>66</v>
      </c>
      <c r="N151" s="5" t="s">
        <v>69</v>
      </c>
      <c r="O151" s="5" t="s">
        <v>70</v>
      </c>
      <c r="P151" s="5" t="s">
        <v>73</v>
      </c>
      <c r="Q151" s="5" t="s">
        <v>75</v>
      </c>
      <c r="R151" s="1">
        <v>6</v>
      </c>
      <c r="S151" s="1">
        <v>36</v>
      </c>
      <c r="T151" s="1">
        <v>38</v>
      </c>
    </row>
    <row r="152" spans="1:20" ht="28.8" x14ac:dyDescent="0.3">
      <c r="A152" s="27">
        <v>137</v>
      </c>
      <c r="B152" s="4"/>
      <c r="C152" s="6" t="s">
        <v>108</v>
      </c>
      <c r="D152" s="5"/>
      <c r="E152" s="5" t="s">
        <v>50</v>
      </c>
      <c r="F152" s="5" t="s">
        <v>53</v>
      </c>
      <c r="G152" s="5" t="s">
        <v>54</v>
      </c>
      <c r="H152" s="5" t="s">
        <v>57</v>
      </c>
      <c r="I152" s="5" t="s">
        <v>58</v>
      </c>
      <c r="J152" s="5" t="s">
        <v>60</v>
      </c>
      <c r="K152" s="5" t="s">
        <v>62</v>
      </c>
      <c r="L152" s="5" t="s">
        <v>64</v>
      </c>
      <c r="M152" s="5" t="s">
        <v>66</v>
      </c>
      <c r="N152" s="5" t="s">
        <v>68</v>
      </c>
      <c r="O152" s="5" t="s">
        <v>71</v>
      </c>
      <c r="P152" s="5" t="s">
        <v>73</v>
      </c>
      <c r="Q152" s="5" t="s">
        <v>75</v>
      </c>
      <c r="R152" s="1">
        <v>6</v>
      </c>
      <c r="S152" s="1">
        <v>42</v>
      </c>
      <c r="T152" s="1">
        <v>48</v>
      </c>
    </row>
    <row r="153" spans="1:20" ht="28.8" x14ac:dyDescent="0.3">
      <c r="A153" s="27">
        <v>138</v>
      </c>
      <c r="B153" s="4"/>
      <c r="C153" s="6" t="s">
        <v>134</v>
      </c>
      <c r="D153" s="5"/>
      <c r="E153" s="5" t="s">
        <v>51</v>
      </c>
      <c r="F153" s="5" t="s">
        <v>52</v>
      </c>
      <c r="G153" s="5" t="s">
        <v>55</v>
      </c>
      <c r="H153" s="5" t="s">
        <v>56</v>
      </c>
      <c r="I153" s="5" t="s">
        <v>59</v>
      </c>
      <c r="J153" s="5" t="s">
        <v>60</v>
      </c>
      <c r="K153" s="5" t="s">
        <v>63</v>
      </c>
      <c r="L153" s="5" t="s">
        <v>64</v>
      </c>
      <c r="M153" s="5" t="s">
        <v>67</v>
      </c>
      <c r="N153" s="5" t="s">
        <v>68</v>
      </c>
      <c r="O153" s="5" t="s">
        <v>71</v>
      </c>
      <c r="P153" s="5" t="s">
        <v>72</v>
      </c>
      <c r="Q153" s="5" t="s">
        <v>75</v>
      </c>
      <c r="R153" s="1">
        <v>6</v>
      </c>
      <c r="S153" s="1">
        <v>39</v>
      </c>
      <c r="T153" s="1">
        <v>37</v>
      </c>
    </row>
    <row r="154" spans="1:20" x14ac:dyDescent="0.3">
      <c r="A154" s="27">
        <v>139</v>
      </c>
      <c r="B154" s="4"/>
      <c r="C154" s="6" t="s">
        <v>131</v>
      </c>
      <c r="D154" s="5"/>
      <c r="E154" s="5" t="s">
        <v>51</v>
      </c>
      <c r="F154" s="5" t="s">
        <v>53</v>
      </c>
      <c r="G154" s="5" t="s">
        <v>54</v>
      </c>
      <c r="H154" s="5" t="s">
        <v>57</v>
      </c>
      <c r="I154" s="5" t="s">
        <v>58</v>
      </c>
      <c r="J154" s="5" t="s">
        <v>61</v>
      </c>
      <c r="K154" s="5" t="s">
        <v>62</v>
      </c>
      <c r="L154" s="5" t="s">
        <v>65</v>
      </c>
      <c r="M154" s="5" t="s">
        <v>67</v>
      </c>
      <c r="N154" s="5" t="s">
        <v>69</v>
      </c>
      <c r="O154" s="5" t="s">
        <v>70</v>
      </c>
      <c r="P154" s="5" t="s">
        <v>72</v>
      </c>
      <c r="Q154" s="5" t="s">
        <v>74</v>
      </c>
      <c r="R154" s="1">
        <v>6</v>
      </c>
      <c r="S154" s="1">
        <v>30</v>
      </c>
      <c r="T154" s="1">
        <v>35</v>
      </c>
    </row>
    <row r="155" spans="1:20" x14ac:dyDescent="0.3">
      <c r="A155" s="27">
        <v>140</v>
      </c>
      <c r="B155" s="4"/>
      <c r="C155" s="6" t="s">
        <v>118</v>
      </c>
      <c r="D155" s="5"/>
      <c r="E155" s="5" t="s">
        <v>50</v>
      </c>
      <c r="F155" s="5" t="s">
        <v>52</v>
      </c>
      <c r="G155" s="5" t="s">
        <v>55</v>
      </c>
      <c r="H155" s="5" t="s">
        <v>57</v>
      </c>
      <c r="I155" s="5" t="s">
        <v>59</v>
      </c>
      <c r="J155" s="5" t="s">
        <v>60</v>
      </c>
      <c r="K155" s="5" t="s">
        <v>62</v>
      </c>
      <c r="L155" s="5" t="s">
        <v>64</v>
      </c>
      <c r="M155" s="5" t="s">
        <v>66</v>
      </c>
      <c r="N155" s="5" t="s">
        <v>69</v>
      </c>
      <c r="O155" s="5" t="s">
        <v>70</v>
      </c>
      <c r="P155" s="5" t="s">
        <v>72</v>
      </c>
      <c r="Q155" s="5" t="s">
        <v>75</v>
      </c>
      <c r="R155" s="1">
        <v>6</v>
      </c>
      <c r="S155" s="1">
        <v>43</v>
      </c>
      <c r="T155" s="1">
        <v>52</v>
      </c>
    </row>
    <row r="156" spans="1:20" ht="28.8" x14ac:dyDescent="0.3">
      <c r="A156" s="27">
        <v>141</v>
      </c>
      <c r="B156" s="4"/>
      <c r="C156" s="6" t="s">
        <v>162</v>
      </c>
      <c r="D156" s="5"/>
      <c r="E156" s="5" t="s">
        <v>51</v>
      </c>
      <c r="F156" s="5" t="s">
        <v>52</v>
      </c>
      <c r="G156" s="5" t="s">
        <v>54</v>
      </c>
      <c r="H156" s="5" t="s">
        <v>56</v>
      </c>
      <c r="I156" s="5" t="s">
        <v>58</v>
      </c>
      <c r="J156" s="5" t="s">
        <v>60</v>
      </c>
      <c r="K156" s="5" t="s">
        <v>62</v>
      </c>
      <c r="L156" s="5" t="s">
        <v>65</v>
      </c>
      <c r="M156" s="5" t="s">
        <v>66</v>
      </c>
      <c r="N156" s="5" t="s">
        <v>69</v>
      </c>
      <c r="O156" s="5" t="s">
        <v>70</v>
      </c>
      <c r="P156" s="5" t="s">
        <v>72</v>
      </c>
      <c r="Q156" s="5" t="s">
        <v>75</v>
      </c>
      <c r="R156" s="1">
        <v>5</v>
      </c>
      <c r="S156" s="1">
        <v>44</v>
      </c>
      <c r="T156" s="1">
        <v>43</v>
      </c>
    </row>
    <row r="157" spans="1:20" ht="28.8" x14ac:dyDescent="0.3">
      <c r="A157" s="27">
        <v>142</v>
      </c>
      <c r="B157" s="4"/>
      <c r="C157" s="6" t="s">
        <v>167</v>
      </c>
      <c r="D157" s="5"/>
      <c r="E157" s="5" t="s">
        <v>51</v>
      </c>
      <c r="F157" s="5" t="s">
        <v>53</v>
      </c>
      <c r="G157" s="5" t="s">
        <v>55</v>
      </c>
      <c r="H157" s="5" t="s">
        <v>57</v>
      </c>
      <c r="I157" s="5" t="s">
        <v>59</v>
      </c>
      <c r="J157" s="5" t="s">
        <v>61</v>
      </c>
      <c r="K157" s="5" t="s">
        <v>62</v>
      </c>
      <c r="L157" s="5" t="s">
        <v>65</v>
      </c>
      <c r="M157" s="5" t="s">
        <v>66</v>
      </c>
      <c r="N157" s="5" t="s">
        <v>69</v>
      </c>
      <c r="O157" s="5" t="s">
        <v>70</v>
      </c>
      <c r="P157" s="5" t="s">
        <v>72</v>
      </c>
      <c r="Q157" s="5" t="s">
        <v>74</v>
      </c>
      <c r="R157" s="1">
        <v>5</v>
      </c>
      <c r="S157" s="1">
        <v>42</v>
      </c>
      <c r="T157" s="1">
        <v>44</v>
      </c>
    </row>
    <row r="158" spans="1:20" x14ac:dyDescent="0.3">
      <c r="A158" s="27">
        <v>143</v>
      </c>
      <c r="B158" s="4"/>
      <c r="C158" s="6" t="s">
        <v>168</v>
      </c>
      <c r="D158" s="5"/>
      <c r="E158" s="5" t="s">
        <v>51</v>
      </c>
      <c r="F158" s="5" t="s">
        <v>53</v>
      </c>
      <c r="G158" s="5" t="s">
        <v>55</v>
      </c>
      <c r="H158" s="5" t="s">
        <v>56</v>
      </c>
      <c r="I158" s="5" t="s">
        <v>58</v>
      </c>
      <c r="J158" s="5" t="s">
        <v>60</v>
      </c>
      <c r="K158" s="5" t="s">
        <v>63</v>
      </c>
      <c r="L158" s="5" t="s">
        <v>65</v>
      </c>
      <c r="M158" s="5" t="s">
        <v>67</v>
      </c>
      <c r="N158" s="5" t="s">
        <v>69</v>
      </c>
      <c r="O158" s="5" t="s">
        <v>70</v>
      </c>
      <c r="P158" s="5" t="s">
        <v>72</v>
      </c>
      <c r="Q158" s="5" t="s">
        <v>75</v>
      </c>
      <c r="R158" s="1">
        <v>5</v>
      </c>
      <c r="S158" s="1">
        <v>46</v>
      </c>
      <c r="T158" s="1">
        <v>44</v>
      </c>
    </row>
    <row r="159" spans="1:20" ht="28.8" x14ac:dyDescent="0.3">
      <c r="A159" s="27">
        <v>144</v>
      </c>
      <c r="B159" s="4"/>
      <c r="C159" s="6" t="s">
        <v>170</v>
      </c>
      <c r="D159" s="5"/>
      <c r="E159" s="5" t="s">
        <v>51</v>
      </c>
      <c r="F159" s="5" t="s">
        <v>53</v>
      </c>
      <c r="G159" s="5" t="s">
        <v>54</v>
      </c>
      <c r="H159" s="5" t="s">
        <v>56</v>
      </c>
      <c r="I159" s="5" t="s">
        <v>59</v>
      </c>
      <c r="J159" s="5" t="s">
        <v>61</v>
      </c>
      <c r="K159" s="5" t="s">
        <v>62</v>
      </c>
      <c r="L159" s="5" t="s">
        <v>64</v>
      </c>
      <c r="M159" s="5" t="s">
        <v>66</v>
      </c>
      <c r="N159" s="5" t="s">
        <v>68</v>
      </c>
      <c r="O159" s="5" t="s">
        <v>71</v>
      </c>
      <c r="P159" s="5" t="s">
        <v>72</v>
      </c>
      <c r="Q159" s="5" t="s">
        <v>75</v>
      </c>
      <c r="R159" s="1">
        <v>5</v>
      </c>
      <c r="S159" s="1">
        <v>37</v>
      </c>
      <c r="T159" s="1">
        <v>44</v>
      </c>
    </row>
    <row r="160" spans="1:20" ht="28.8" x14ac:dyDescent="0.3">
      <c r="A160" s="27">
        <v>145</v>
      </c>
      <c r="B160" s="4"/>
      <c r="C160" s="6" t="s">
        <v>147</v>
      </c>
      <c r="D160" s="5"/>
      <c r="E160" s="5" t="s">
        <v>51</v>
      </c>
      <c r="F160" s="5" t="s">
        <v>53</v>
      </c>
      <c r="G160" s="5" t="s">
        <v>55</v>
      </c>
      <c r="H160" s="5" t="s">
        <v>56</v>
      </c>
      <c r="I160" s="5" t="s">
        <v>59</v>
      </c>
      <c r="J160" s="5" t="s">
        <v>60</v>
      </c>
      <c r="K160" s="5" t="s">
        <v>62</v>
      </c>
      <c r="L160" s="5" t="s">
        <v>65</v>
      </c>
      <c r="M160" s="5" t="s">
        <v>67</v>
      </c>
      <c r="N160" s="5" t="s">
        <v>68</v>
      </c>
      <c r="O160" s="5" t="s">
        <v>71</v>
      </c>
      <c r="P160" s="5" t="s">
        <v>72</v>
      </c>
      <c r="Q160" s="5" t="s">
        <v>75</v>
      </c>
      <c r="R160" s="1">
        <v>5</v>
      </c>
      <c r="S160" s="1">
        <v>49</v>
      </c>
      <c r="T160" s="1">
        <v>41</v>
      </c>
    </row>
    <row r="161" spans="1:20" x14ac:dyDescent="0.3">
      <c r="A161" s="27">
        <v>146</v>
      </c>
      <c r="B161" s="4"/>
      <c r="C161" s="6" t="s">
        <v>26</v>
      </c>
      <c r="D161" s="5"/>
      <c r="E161" s="5" t="s">
        <v>50</v>
      </c>
      <c r="F161" s="5" t="s">
        <v>53</v>
      </c>
      <c r="G161" s="5" t="s">
        <v>55</v>
      </c>
      <c r="H161" s="5" t="s">
        <v>57</v>
      </c>
      <c r="I161" s="5" t="s">
        <v>58</v>
      </c>
      <c r="J161" s="5" t="s">
        <v>60</v>
      </c>
      <c r="K161" s="5" t="s">
        <v>62</v>
      </c>
      <c r="L161" s="5" t="s">
        <v>65</v>
      </c>
      <c r="M161" s="5" t="s">
        <v>66</v>
      </c>
      <c r="N161" s="5" t="s">
        <v>68</v>
      </c>
      <c r="O161" s="5" t="s">
        <v>71</v>
      </c>
      <c r="P161" s="5" t="s">
        <v>72</v>
      </c>
      <c r="Q161" s="5" t="s">
        <v>75</v>
      </c>
      <c r="R161" s="1">
        <v>5</v>
      </c>
      <c r="S161" s="1">
        <v>41</v>
      </c>
      <c r="T161" s="1">
        <v>40</v>
      </c>
    </row>
    <row r="162" spans="1:20" ht="28.8" x14ac:dyDescent="0.3">
      <c r="A162" s="27">
        <v>147</v>
      </c>
      <c r="B162" s="4"/>
      <c r="C162" s="6" t="s">
        <v>191</v>
      </c>
      <c r="D162" s="5"/>
      <c r="E162" s="5" t="s">
        <v>51</v>
      </c>
      <c r="F162" s="5" t="s">
        <v>53</v>
      </c>
      <c r="G162" s="5" t="s">
        <v>54</v>
      </c>
      <c r="H162" s="5" t="s">
        <v>57</v>
      </c>
      <c r="I162" s="5" t="s">
        <v>59</v>
      </c>
      <c r="J162" s="5" t="s">
        <v>60</v>
      </c>
      <c r="K162" s="5" t="s">
        <v>62</v>
      </c>
      <c r="L162" s="5" t="s">
        <v>64</v>
      </c>
      <c r="M162" s="5" t="s">
        <v>66</v>
      </c>
      <c r="N162" s="5" t="s">
        <v>69</v>
      </c>
      <c r="O162" s="5" t="s">
        <v>71</v>
      </c>
      <c r="P162" s="5" t="s">
        <v>72</v>
      </c>
      <c r="Q162" s="5" t="s">
        <v>74</v>
      </c>
      <c r="R162" s="1">
        <v>5</v>
      </c>
      <c r="S162" s="1">
        <v>43</v>
      </c>
      <c r="T162" s="1">
        <v>51</v>
      </c>
    </row>
    <row r="163" spans="1:20" x14ac:dyDescent="0.3">
      <c r="A163" s="27">
        <v>148</v>
      </c>
      <c r="B163" s="4"/>
      <c r="C163" s="6" t="s">
        <v>127</v>
      </c>
      <c r="D163" s="5"/>
      <c r="E163" s="5" t="s">
        <v>50</v>
      </c>
      <c r="F163" s="5" t="s">
        <v>52</v>
      </c>
      <c r="G163" s="5" t="s">
        <v>55</v>
      </c>
      <c r="H163" s="5" t="s">
        <v>56</v>
      </c>
      <c r="I163" s="5" t="s">
        <v>58</v>
      </c>
      <c r="J163" s="5" t="s">
        <v>60</v>
      </c>
      <c r="K163" s="5" t="s">
        <v>62</v>
      </c>
      <c r="L163" s="5" t="s">
        <v>64</v>
      </c>
      <c r="M163" s="5" t="s">
        <v>67</v>
      </c>
      <c r="N163" s="5" t="s">
        <v>69</v>
      </c>
      <c r="O163" s="5" t="s">
        <v>71</v>
      </c>
      <c r="P163" s="5" t="s">
        <v>72</v>
      </c>
      <c r="Q163" s="5" t="s">
        <v>74</v>
      </c>
      <c r="R163" s="1">
        <v>5</v>
      </c>
      <c r="S163" s="1">
        <v>39</v>
      </c>
      <c r="T163" s="1">
        <v>63</v>
      </c>
    </row>
    <row r="164" spans="1:20" x14ac:dyDescent="0.3">
      <c r="A164" s="27">
        <v>149</v>
      </c>
      <c r="B164" s="4"/>
      <c r="C164" s="6" t="s">
        <v>37</v>
      </c>
      <c r="D164" s="5"/>
      <c r="E164" s="5" t="s">
        <v>50</v>
      </c>
      <c r="F164" s="5" t="s">
        <v>53</v>
      </c>
      <c r="G164" s="5" t="s">
        <v>54</v>
      </c>
      <c r="H164" s="5" t="s">
        <v>56</v>
      </c>
      <c r="I164" s="5" t="s">
        <v>58</v>
      </c>
      <c r="J164" s="5" t="s">
        <v>60</v>
      </c>
      <c r="K164" s="5" t="s">
        <v>62</v>
      </c>
      <c r="L164" s="5" t="s">
        <v>64</v>
      </c>
      <c r="M164" s="5" t="s">
        <v>66</v>
      </c>
      <c r="N164" s="5" t="s">
        <v>69</v>
      </c>
      <c r="O164" s="5" t="s">
        <v>70</v>
      </c>
      <c r="P164" s="5" t="s">
        <v>72</v>
      </c>
      <c r="Q164" s="5" t="s">
        <v>75</v>
      </c>
      <c r="R164" s="1">
        <v>4</v>
      </c>
      <c r="S164" s="1">
        <v>46</v>
      </c>
      <c r="T164" s="1">
        <v>43</v>
      </c>
    </row>
    <row r="165" spans="1:20" x14ac:dyDescent="0.3">
      <c r="A165" s="27">
        <v>150</v>
      </c>
      <c r="B165" s="4"/>
      <c r="C165" s="6" t="s">
        <v>166</v>
      </c>
      <c r="D165" s="5"/>
      <c r="E165" s="5" t="s">
        <v>51</v>
      </c>
      <c r="F165" s="5" t="s">
        <v>52</v>
      </c>
      <c r="G165" s="5" t="s">
        <v>54</v>
      </c>
      <c r="H165" s="5" t="s">
        <v>56</v>
      </c>
      <c r="I165" s="5" t="s">
        <v>59</v>
      </c>
      <c r="J165" s="5" t="s">
        <v>60</v>
      </c>
      <c r="K165" s="5" t="s">
        <v>62</v>
      </c>
      <c r="L165" s="5" t="s">
        <v>64</v>
      </c>
      <c r="M165" s="5" t="s">
        <v>66</v>
      </c>
      <c r="N165" s="5" t="s">
        <v>68</v>
      </c>
      <c r="O165" s="5" t="s">
        <v>71</v>
      </c>
      <c r="P165" s="5" t="s">
        <v>72</v>
      </c>
      <c r="Q165" s="5" t="s">
        <v>74</v>
      </c>
      <c r="R165" s="1">
        <v>4</v>
      </c>
      <c r="S165" s="1">
        <v>37</v>
      </c>
      <c r="T165" s="1">
        <v>44</v>
      </c>
    </row>
    <row r="166" spans="1:20" x14ac:dyDescent="0.3">
      <c r="A166" s="27">
        <v>151</v>
      </c>
      <c r="B166" s="4"/>
      <c r="C166" s="6" t="s">
        <v>155</v>
      </c>
      <c r="D166" s="5"/>
      <c r="E166" s="5" t="s">
        <v>51</v>
      </c>
      <c r="F166" s="5" t="s">
        <v>53</v>
      </c>
      <c r="G166" s="5" t="s">
        <v>55</v>
      </c>
      <c r="H166" s="5" t="s">
        <v>56</v>
      </c>
      <c r="I166" s="5" t="s">
        <v>59</v>
      </c>
      <c r="J166" s="5" t="s">
        <v>60</v>
      </c>
      <c r="K166" s="5" t="s">
        <v>62</v>
      </c>
      <c r="L166" s="5" t="s">
        <v>65</v>
      </c>
      <c r="M166" s="5" t="s">
        <v>66</v>
      </c>
      <c r="N166" s="5" t="s">
        <v>69</v>
      </c>
      <c r="O166" s="5" t="s">
        <v>70</v>
      </c>
      <c r="P166" s="5" t="s">
        <v>73</v>
      </c>
      <c r="Q166" s="5" t="s">
        <v>74</v>
      </c>
      <c r="R166" s="1">
        <v>4</v>
      </c>
      <c r="S166" s="1">
        <v>37</v>
      </c>
      <c r="T166" s="1">
        <v>42</v>
      </c>
    </row>
    <row r="167" spans="1:20" ht="28.8" x14ac:dyDescent="0.3">
      <c r="A167" s="27">
        <v>152</v>
      </c>
      <c r="B167" s="4"/>
      <c r="C167" s="6" t="s">
        <v>148</v>
      </c>
      <c r="D167" s="5"/>
      <c r="E167" s="5" t="s">
        <v>51</v>
      </c>
      <c r="F167" s="5" t="s">
        <v>52</v>
      </c>
      <c r="G167" s="5" t="s">
        <v>54</v>
      </c>
      <c r="H167" s="5" t="s">
        <v>57</v>
      </c>
      <c r="I167" s="5" t="s">
        <v>59</v>
      </c>
      <c r="J167" s="5" t="s">
        <v>60</v>
      </c>
      <c r="K167" s="5" t="s">
        <v>62</v>
      </c>
      <c r="L167" s="5" t="s">
        <v>64</v>
      </c>
      <c r="M167" s="5" t="s">
        <v>66</v>
      </c>
      <c r="N167" s="5" t="s">
        <v>68</v>
      </c>
      <c r="O167" s="5" t="s">
        <v>70</v>
      </c>
      <c r="P167" s="5" t="s">
        <v>72</v>
      </c>
      <c r="Q167" s="5" t="s">
        <v>74</v>
      </c>
      <c r="R167" s="1">
        <v>4</v>
      </c>
      <c r="S167" s="1">
        <v>43</v>
      </c>
      <c r="T167" s="1">
        <v>41</v>
      </c>
    </row>
    <row r="168" spans="1:20" x14ac:dyDescent="0.3">
      <c r="A168" s="27">
        <v>153</v>
      </c>
      <c r="B168" s="4"/>
      <c r="C168" s="6" t="s">
        <v>91</v>
      </c>
      <c r="D168" s="5"/>
      <c r="E168" s="5" t="s">
        <v>50</v>
      </c>
      <c r="F168" s="5" t="s">
        <v>53</v>
      </c>
      <c r="G168" s="5" t="s">
        <v>54</v>
      </c>
      <c r="H168" s="5" t="s">
        <v>57</v>
      </c>
      <c r="I168" s="5" t="s">
        <v>58</v>
      </c>
      <c r="J168" s="5" t="s">
        <v>61</v>
      </c>
      <c r="K168" s="5" t="s">
        <v>62</v>
      </c>
      <c r="L168" s="5" t="s">
        <v>64</v>
      </c>
      <c r="M168" s="5" t="s">
        <v>66</v>
      </c>
      <c r="N168" s="5" t="s">
        <v>68</v>
      </c>
      <c r="O168" s="5" t="s">
        <v>70</v>
      </c>
      <c r="P168" s="5" t="s">
        <v>72</v>
      </c>
      <c r="Q168" s="5" t="s">
        <v>74</v>
      </c>
      <c r="R168" s="1">
        <v>4</v>
      </c>
      <c r="S168" s="1">
        <v>48</v>
      </c>
      <c r="T168" s="1">
        <v>45</v>
      </c>
    </row>
    <row r="169" spans="1:20" x14ac:dyDescent="0.3">
      <c r="A169" s="27">
        <v>154</v>
      </c>
      <c r="B169" s="4"/>
      <c r="C169" s="6" t="s">
        <v>194</v>
      </c>
      <c r="D169" s="5"/>
      <c r="E169" s="5" t="s">
        <v>50</v>
      </c>
      <c r="F169" s="5" t="s">
        <v>52</v>
      </c>
      <c r="G169" s="5" t="s">
        <v>54</v>
      </c>
      <c r="H169" s="5" t="s">
        <v>56</v>
      </c>
      <c r="I169" s="5" t="s">
        <v>58</v>
      </c>
      <c r="J169" s="5" t="s">
        <v>60</v>
      </c>
      <c r="K169" s="5" t="s">
        <v>62</v>
      </c>
      <c r="L169" s="5" t="s">
        <v>64</v>
      </c>
      <c r="M169" s="5" t="s">
        <v>66</v>
      </c>
      <c r="N169" s="5" t="s">
        <v>68</v>
      </c>
      <c r="O169" s="5" t="s">
        <v>70</v>
      </c>
      <c r="P169" s="5" t="s">
        <v>72</v>
      </c>
      <c r="Q169" s="5" t="s">
        <v>74</v>
      </c>
      <c r="R169" s="1">
        <v>3</v>
      </c>
      <c r="S169" s="1">
        <v>37</v>
      </c>
      <c r="T169" s="1">
        <v>48</v>
      </c>
    </row>
    <row r="170" spans="1:20" ht="28.8" x14ac:dyDescent="0.3">
      <c r="A170" s="27">
        <v>155</v>
      </c>
      <c r="B170" s="4"/>
      <c r="C170" s="6" t="s">
        <v>197</v>
      </c>
      <c r="D170" s="5"/>
      <c r="E170" s="5" t="s">
        <v>50</v>
      </c>
      <c r="F170" s="5" t="s">
        <v>52</v>
      </c>
      <c r="G170" s="5" t="s">
        <v>54</v>
      </c>
      <c r="H170" s="5" t="s">
        <v>56</v>
      </c>
      <c r="I170" s="5" t="s">
        <v>58</v>
      </c>
      <c r="J170" s="5" t="s">
        <v>60</v>
      </c>
      <c r="K170" s="5" t="s">
        <v>62</v>
      </c>
      <c r="L170" s="5" t="s">
        <v>64</v>
      </c>
      <c r="M170" s="5" t="s">
        <v>66</v>
      </c>
      <c r="N170" s="5" t="s">
        <v>68</v>
      </c>
      <c r="O170" s="5" t="s">
        <v>70</v>
      </c>
      <c r="P170" s="5" t="s">
        <v>72</v>
      </c>
      <c r="Q170" s="5" t="s">
        <v>74</v>
      </c>
      <c r="R170" s="1">
        <v>3</v>
      </c>
      <c r="S170" s="1">
        <v>35</v>
      </c>
      <c r="T170" s="1">
        <v>52</v>
      </c>
    </row>
    <row r="171" spans="1:20" x14ac:dyDescent="0.3">
      <c r="A171" s="27">
        <v>156</v>
      </c>
      <c r="B171" s="4"/>
      <c r="C171" s="6" t="s">
        <v>199</v>
      </c>
      <c r="D171" s="5"/>
      <c r="E171" s="5" t="s">
        <v>50</v>
      </c>
      <c r="F171" s="5" t="s">
        <v>52</v>
      </c>
      <c r="G171" s="5" t="s">
        <v>54</v>
      </c>
      <c r="H171" s="5" t="s">
        <v>56</v>
      </c>
      <c r="I171" s="5" t="s">
        <v>58</v>
      </c>
      <c r="J171" s="5" t="s">
        <v>60</v>
      </c>
      <c r="K171" s="5" t="s">
        <v>62</v>
      </c>
      <c r="L171" s="5" t="s">
        <v>64</v>
      </c>
      <c r="M171" s="5" t="s">
        <v>66</v>
      </c>
      <c r="N171" s="5" t="s">
        <v>68</v>
      </c>
      <c r="O171" s="5" t="s">
        <v>70</v>
      </c>
      <c r="P171" s="5" t="s">
        <v>72</v>
      </c>
      <c r="Q171" s="5" t="s">
        <v>74</v>
      </c>
      <c r="R171" s="1">
        <v>3</v>
      </c>
      <c r="S171" s="1">
        <v>37</v>
      </c>
      <c r="T171" s="1">
        <v>54</v>
      </c>
    </row>
    <row r="172" spans="1:20" ht="28.8" x14ac:dyDescent="0.3">
      <c r="A172" s="27">
        <v>157</v>
      </c>
      <c r="B172" s="4"/>
      <c r="C172" s="6" t="s">
        <v>124</v>
      </c>
      <c r="D172" s="5"/>
      <c r="E172" s="5" t="s">
        <v>50</v>
      </c>
      <c r="F172" s="5" t="s">
        <v>53</v>
      </c>
      <c r="G172" s="5" t="s">
        <v>55</v>
      </c>
      <c r="H172" s="5" t="s">
        <v>56</v>
      </c>
      <c r="I172" s="5" t="s">
        <v>59</v>
      </c>
      <c r="J172" s="5" t="s">
        <v>61</v>
      </c>
      <c r="K172" s="5" t="s">
        <v>62</v>
      </c>
      <c r="L172" s="5" t="s">
        <v>64</v>
      </c>
      <c r="M172" s="5" t="s">
        <v>66</v>
      </c>
      <c r="N172" s="5" t="s">
        <v>68</v>
      </c>
      <c r="O172" s="5" t="s">
        <v>70</v>
      </c>
      <c r="P172" s="5" t="s">
        <v>72</v>
      </c>
      <c r="Q172" s="5" t="s">
        <v>74</v>
      </c>
      <c r="R172" s="1">
        <v>3</v>
      </c>
      <c r="S172" s="1">
        <v>26</v>
      </c>
      <c r="T172" s="1">
        <v>59</v>
      </c>
    </row>
    <row r="173" spans="1:20" ht="28.8" x14ac:dyDescent="0.3">
      <c r="A173" s="27">
        <v>158</v>
      </c>
      <c r="B173" s="4"/>
      <c r="C173" s="6" t="s">
        <v>196</v>
      </c>
      <c r="D173" s="5"/>
      <c r="E173" s="5" t="s">
        <v>50</v>
      </c>
      <c r="F173" s="5" t="s">
        <v>52</v>
      </c>
      <c r="G173" s="5" t="s">
        <v>54</v>
      </c>
      <c r="H173" s="5" t="s">
        <v>56</v>
      </c>
      <c r="I173" s="5" t="s">
        <v>58</v>
      </c>
      <c r="J173" s="5" t="s">
        <v>60</v>
      </c>
      <c r="K173" s="5" t="s">
        <v>62</v>
      </c>
      <c r="L173" s="5" t="s">
        <v>64</v>
      </c>
      <c r="M173" s="5" t="s">
        <v>66</v>
      </c>
      <c r="N173" s="5" t="s">
        <v>68</v>
      </c>
      <c r="O173" s="5" t="s">
        <v>70</v>
      </c>
      <c r="P173" s="5" t="s">
        <v>72</v>
      </c>
      <c r="Q173" s="5" t="s">
        <v>74</v>
      </c>
      <c r="R173" s="1">
        <v>3</v>
      </c>
      <c r="S173" s="1">
        <v>39</v>
      </c>
      <c r="T173" s="1">
        <v>22</v>
      </c>
    </row>
    <row r="174" spans="1:20" ht="28.8" x14ac:dyDescent="0.3">
      <c r="A174" s="27">
        <v>159</v>
      </c>
      <c r="B174" s="4"/>
      <c r="C174" s="6" t="s">
        <v>198</v>
      </c>
      <c r="D174" s="5"/>
      <c r="E174" s="5" t="s">
        <v>50</v>
      </c>
      <c r="F174" s="5" t="s">
        <v>52</v>
      </c>
      <c r="G174" s="5" t="s">
        <v>54</v>
      </c>
      <c r="H174" s="5" t="s">
        <v>56</v>
      </c>
      <c r="I174" s="5" t="s">
        <v>58</v>
      </c>
      <c r="J174" s="5" t="s">
        <v>60</v>
      </c>
      <c r="K174" s="5" t="s">
        <v>62</v>
      </c>
      <c r="L174" s="5" t="s">
        <v>64</v>
      </c>
      <c r="M174" s="5" t="s">
        <v>66</v>
      </c>
      <c r="N174" s="5" t="s">
        <v>68</v>
      </c>
      <c r="O174" s="5" t="s">
        <v>70</v>
      </c>
      <c r="P174" s="5" t="s">
        <v>72</v>
      </c>
      <c r="Q174" s="5" t="s">
        <v>74</v>
      </c>
      <c r="R174" s="1">
        <v>3</v>
      </c>
      <c r="S174" s="1">
        <v>40</v>
      </c>
      <c r="T174" s="1">
        <v>12</v>
      </c>
    </row>
    <row r="175" spans="1:20" ht="28.8" x14ac:dyDescent="0.3">
      <c r="A175" s="27">
        <v>160</v>
      </c>
      <c r="B175" s="4"/>
      <c r="C175" s="6" t="s">
        <v>200</v>
      </c>
      <c r="D175" s="5"/>
      <c r="E175" s="5" t="s">
        <v>50</v>
      </c>
      <c r="F175" s="5" t="s">
        <v>52</v>
      </c>
      <c r="G175" s="5" t="s">
        <v>54</v>
      </c>
      <c r="H175" s="5" t="s">
        <v>56</v>
      </c>
      <c r="I175" s="5" t="s">
        <v>58</v>
      </c>
      <c r="J175" s="5" t="s">
        <v>60</v>
      </c>
      <c r="K175" s="5" t="s">
        <v>62</v>
      </c>
      <c r="L175" s="5" t="s">
        <v>64</v>
      </c>
      <c r="M175" s="5" t="s">
        <v>66</v>
      </c>
      <c r="N175" s="5" t="s">
        <v>68</v>
      </c>
      <c r="O175" s="5" t="s">
        <v>70</v>
      </c>
      <c r="P175" s="5" t="s">
        <v>72</v>
      </c>
      <c r="Q175" s="5" t="s">
        <v>74</v>
      </c>
      <c r="R175" s="1">
        <v>3</v>
      </c>
      <c r="S175" s="1">
        <v>34</v>
      </c>
      <c r="T175" s="1">
        <v>4</v>
      </c>
    </row>
    <row r="176" spans="1:20" ht="28.8" x14ac:dyDescent="0.3">
      <c r="A176" s="27">
        <v>161</v>
      </c>
      <c r="B176" s="4"/>
      <c r="C176" s="6" t="s">
        <v>165</v>
      </c>
      <c r="D176" s="5"/>
      <c r="E176" s="5" t="s">
        <v>51</v>
      </c>
      <c r="F176" s="5" t="s">
        <v>53</v>
      </c>
      <c r="G176" s="5" t="s">
        <v>55</v>
      </c>
      <c r="H176" s="5" t="s">
        <v>56</v>
      </c>
      <c r="I176" s="5" t="s">
        <v>59</v>
      </c>
      <c r="J176" s="5" t="s">
        <v>61</v>
      </c>
      <c r="K176" s="5" t="s">
        <v>62</v>
      </c>
      <c r="L176" s="5" t="s">
        <v>64</v>
      </c>
      <c r="M176" s="5" t="s">
        <v>66</v>
      </c>
      <c r="N176" s="5" t="s">
        <v>68</v>
      </c>
      <c r="O176" s="5" t="s">
        <v>70</v>
      </c>
      <c r="P176" s="5" t="s">
        <v>72</v>
      </c>
      <c r="Q176" s="5" t="s">
        <v>74</v>
      </c>
      <c r="R176" s="1">
        <v>2</v>
      </c>
      <c r="S176" s="1">
        <v>39</v>
      </c>
      <c r="T176" s="1">
        <v>44</v>
      </c>
    </row>
    <row r="177" spans="1:20" x14ac:dyDescent="0.3">
      <c r="A177" s="27">
        <v>162</v>
      </c>
      <c r="B177" s="4"/>
      <c r="C177" s="6" t="s">
        <v>195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1">
        <v>0</v>
      </c>
      <c r="S177" s="1">
        <v>36</v>
      </c>
      <c r="T177" s="1"/>
    </row>
    <row r="178" spans="1:20" x14ac:dyDescent="0.3">
      <c r="A178" s="27">
        <v>163</v>
      </c>
      <c r="B178" s="4"/>
      <c r="C178" s="6" t="s">
        <v>201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1">
        <v>0</v>
      </c>
      <c r="S178" s="1">
        <v>27</v>
      </c>
      <c r="T178" s="1"/>
    </row>
  </sheetData>
  <mergeCells count="4">
    <mergeCell ref="A9:A15"/>
    <mergeCell ref="B9:B15"/>
    <mergeCell ref="R9:R15"/>
    <mergeCell ref="S9:S15"/>
  </mergeCells>
  <conditionalFormatting sqref="E4:Q4">
    <cfRule type="colorScale" priority="9">
      <colorScale>
        <cfvo type="min"/>
        <cfvo type="max"/>
        <color rgb="FFFF7128"/>
        <color rgb="FFFFEF9C"/>
      </colorScale>
    </cfRule>
  </conditionalFormatting>
  <conditionalFormatting sqref="E2:Q3">
    <cfRule type="cellIs" dxfId="105" priority="5" operator="equal">
      <formula>"Y"</formula>
    </cfRule>
    <cfRule type="cellIs" dxfId="104" priority="6" operator="equal">
      <formula>"N"</formula>
    </cfRule>
  </conditionalFormatting>
  <conditionalFormatting sqref="E7:Q7">
    <cfRule type="cellIs" dxfId="103" priority="3" operator="equal">
      <formula>"Y"</formula>
    </cfRule>
    <cfRule type="cellIs" dxfId="102" priority="4" operator="equal">
      <formula>"N"</formula>
    </cfRule>
  </conditionalFormatting>
  <conditionalFormatting sqref="S7">
    <cfRule type="cellIs" dxfId="101" priority="1" operator="equal">
      <formula>"Y"</formula>
    </cfRule>
    <cfRule type="cellIs" dxfId="100" priority="2" operator="equal">
      <formula>"N"</formula>
    </cfRule>
  </conditionalFormatting>
  <hyperlinks>
    <hyperlink ref="C16" r:id="rId1" display="https://poolhost.com/profootball/playerstats/1674022"/>
    <hyperlink ref="C17" r:id="rId2" display="https://poolhost.com/profootball/playerstats/1729262"/>
    <hyperlink ref="C18" r:id="rId3" display="https://poolhost.com/profootball/playerstats/1665614"/>
    <hyperlink ref="C19" r:id="rId4" display="https://poolhost.com/profootball/playerstats/1733218"/>
    <hyperlink ref="C20" r:id="rId5" display="https://poolhost.com/profootball/playerstats/1679667"/>
    <hyperlink ref="C21" r:id="rId6" display="https://poolhost.com/profootball/playerstats/1673222"/>
    <hyperlink ref="C22" r:id="rId7" display="https://poolhost.com/profootball/playerstats/1701053"/>
    <hyperlink ref="C23" r:id="rId8" display="https://poolhost.com/profootball/playerstats/1677370"/>
    <hyperlink ref="C24" r:id="rId9" display="https://poolhost.com/profootball/playerstats/1678667"/>
    <hyperlink ref="C25" r:id="rId10" display="https://poolhost.com/profootball/playerstats/1657583"/>
    <hyperlink ref="C26" r:id="rId11" display="https://poolhost.com/profootball/playerstats/1722233"/>
    <hyperlink ref="C27" r:id="rId12" display="https://poolhost.com/profootball/playerstats/1684266"/>
    <hyperlink ref="C28" r:id="rId13" display="https://poolhost.com/profootball/playerstats/1660811"/>
    <hyperlink ref="C29" r:id="rId14" display="https://poolhost.com/profootball/playerstats/1671837"/>
    <hyperlink ref="C30" r:id="rId15" display="https://poolhost.com/profootball/playerstats/1670484"/>
    <hyperlink ref="C31" r:id="rId16" display="https://poolhost.com/profootball/playerstats/1705029"/>
    <hyperlink ref="C32" r:id="rId17" display="https://poolhost.com/profootball/playerstats/1725535"/>
    <hyperlink ref="C33" r:id="rId18" display="https://poolhost.com/profootball/playerstats/1723980"/>
    <hyperlink ref="C34" r:id="rId19" display="https://poolhost.com/profootball/playerstats/1731690"/>
    <hyperlink ref="C35" r:id="rId20" display="https://poolhost.com/profootball/playerstats/1702170"/>
    <hyperlink ref="C36" r:id="rId21" display="https://poolhost.com/profootball/playerstats/1655447"/>
    <hyperlink ref="C37" r:id="rId22" display="https://poolhost.com/profootball/playerstats/1668687"/>
    <hyperlink ref="C38" r:id="rId23" display="https://poolhost.com/profootball/playerstats/1661711"/>
    <hyperlink ref="C39" r:id="rId24" display="https://poolhost.com/profootball/playerstats/1670025"/>
    <hyperlink ref="C40" r:id="rId25" display="https://poolhost.com/profootball/playerstats/1671748"/>
    <hyperlink ref="C41" r:id="rId26" display="https://poolhost.com/profootball/playerstats/1703401"/>
    <hyperlink ref="C42" r:id="rId27" display="https://poolhost.com/profootball/playerstats/1705249"/>
    <hyperlink ref="C43" r:id="rId28" display="https://poolhost.com/profootball/playerstats/1699660"/>
    <hyperlink ref="C44" r:id="rId29" display="https://poolhost.com/profootball/playerstats/1729617"/>
    <hyperlink ref="C45" r:id="rId30" display="https://poolhost.com/profootball/playerstats/1732788"/>
    <hyperlink ref="C46" r:id="rId31" display="https://poolhost.com/profootball/playerstats/1661981"/>
    <hyperlink ref="C47" r:id="rId32" display="https://poolhost.com/profootball/playerstats/1708312"/>
    <hyperlink ref="C48" r:id="rId33" display="https://poolhost.com/profootball/playerstats/1699295"/>
    <hyperlink ref="C49" r:id="rId34" display="https://poolhost.com/profootball/playerstats/1685066"/>
    <hyperlink ref="C50" r:id="rId35" display="https://poolhost.com/profootball/playerstats/1659846"/>
    <hyperlink ref="C51" r:id="rId36" display="https://poolhost.com/profootball/playerstats/1732851"/>
    <hyperlink ref="C52" r:id="rId37" display="https://poolhost.com/profootball/playerstats/1665631"/>
    <hyperlink ref="C53" r:id="rId38" display="https://poolhost.com/profootball/playerstats/1732411"/>
    <hyperlink ref="C54" r:id="rId39" display="https://poolhost.com/profootball/playerstats/1731780"/>
    <hyperlink ref="C55" r:id="rId40" display="https://poolhost.com/profootball/playerstats/1657103"/>
    <hyperlink ref="C56" r:id="rId41" display="https://poolhost.com/profootball/playerstats/1654634"/>
    <hyperlink ref="C57" r:id="rId42" display="https://poolhost.com/profootball/playerstats/1715552"/>
    <hyperlink ref="C58" r:id="rId43" display="https://poolhost.com/profootball/playerstats/1665910"/>
    <hyperlink ref="C59" r:id="rId44" display="https://poolhost.com/profootball/playerstats/1679009"/>
    <hyperlink ref="C60" r:id="rId45" display="https://poolhost.com/profootball/playerstats/1668682"/>
    <hyperlink ref="C61" r:id="rId46" display="https://poolhost.com/profootball/playerstats/1695492"/>
    <hyperlink ref="C62" r:id="rId47" display="https://poolhost.com/profootball/playerstats/1735486"/>
    <hyperlink ref="C63" r:id="rId48" display="https://poolhost.com/profootball/playerstats/1659558"/>
    <hyperlink ref="C64" r:id="rId49" display="https://poolhost.com/profootball/playerstats/1734363"/>
    <hyperlink ref="C65" r:id="rId50" display="https://poolhost.com/profootball/playerstats/1666092"/>
    <hyperlink ref="C66" r:id="rId51" display="https://poolhost.com/profootball/playerstats/1694017"/>
    <hyperlink ref="C67" r:id="rId52" display="https://poolhost.com/profootball/playerstats/1705049"/>
    <hyperlink ref="C68" r:id="rId53" display="https://poolhost.com/profootball/playerstats/1681958"/>
    <hyperlink ref="C69" r:id="rId54" display="https://poolhost.com/profootball/playerstats/1673761"/>
    <hyperlink ref="C70" r:id="rId55" display="https://poolhost.com/profootball/playerstats/1657801"/>
    <hyperlink ref="C71" r:id="rId56" display="https://poolhost.com/profootball/playerstats/1694354"/>
    <hyperlink ref="C72" r:id="rId57" display="https://poolhost.com/profootball/playerstats/1708805"/>
    <hyperlink ref="C73" r:id="rId58" display="https://poolhost.com/profootball/playerstats/1657024"/>
    <hyperlink ref="C74" r:id="rId59" display="https://poolhost.com/profootball/playerstats/1703435"/>
    <hyperlink ref="C75" r:id="rId60" display="https://poolhost.com/profootball/playerstats/1686915"/>
    <hyperlink ref="C76" r:id="rId61" display="https://poolhost.com/profootball/playerstats/1712780"/>
    <hyperlink ref="C77" r:id="rId62" display="https://poolhost.com/profootball/playerstats/1656464"/>
    <hyperlink ref="C78" r:id="rId63" display="https://poolhost.com/profootball/playerstats/1676125"/>
    <hyperlink ref="C79" r:id="rId64" display="https://poolhost.com/profootball/playerstats/1732254"/>
    <hyperlink ref="C80" r:id="rId65" display="https://poolhost.com/profootball/playerstats/1683531"/>
    <hyperlink ref="C81" r:id="rId66" display="https://poolhost.com/profootball/playerstats/1722206"/>
    <hyperlink ref="C82" r:id="rId67" display="https://poolhost.com/profootball/playerstats/1684491"/>
    <hyperlink ref="C83" r:id="rId68" display="https://poolhost.com/profootball/playerstats/1727817"/>
    <hyperlink ref="C84" r:id="rId69" display="https://poolhost.com/profootball/playerstats/1655488"/>
    <hyperlink ref="C85" r:id="rId70" display="https://poolhost.com/profootball/playerstats/1700157"/>
    <hyperlink ref="C86" r:id="rId71" display="https://poolhost.com/profootball/playerstats/1709552"/>
    <hyperlink ref="C87" r:id="rId72" display="https://poolhost.com/profootball/playerstats/1682884"/>
    <hyperlink ref="C88" r:id="rId73" display="https://poolhost.com/profootball/playerstats/1684290"/>
    <hyperlink ref="C89" r:id="rId74" display="https://poolhost.com/profootball/playerstats/1722286"/>
    <hyperlink ref="C90" r:id="rId75" display="https://poolhost.com/profootball/playerstats/1685256"/>
    <hyperlink ref="C91" r:id="rId76" display="https://poolhost.com/profootball/playerstats/1733415"/>
    <hyperlink ref="C92" r:id="rId77" display="https://poolhost.com/profootball/playerstats/1730676"/>
    <hyperlink ref="C93" r:id="rId78" display="https://poolhost.com/profootball/playerstats/1705346"/>
    <hyperlink ref="C94" r:id="rId79" display="https://poolhost.com/profootball/playerstats/1668461"/>
    <hyperlink ref="C95" r:id="rId80" display="https://poolhost.com/profootball/playerstats/1657214"/>
    <hyperlink ref="C96" r:id="rId81" display="https://poolhost.com/profootball/playerstats/1686727"/>
    <hyperlink ref="C97" r:id="rId82" display="https://poolhost.com/profootball/playerstats/1649341"/>
    <hyperlink ref="C98" r:id="rId83" display="https://poolhost.com/profootball/playerstats/1726326"/>
    <hyperlink ref="C99" r:id="rId84" display="https://poolhost.com/profootball/playerstats/1667866"/>
    <hyperlink ref="C100" r:id="rId85" display="https://poolhost.com/profootball/playerstats/1674086"/>
    <hyperlink ref="C101" r:id="rId86" display="https://poolhost.com/profootball/playerstats/1676654"/>
    <hyperlink ref="C102" r:id="rId87" display="https://poolhost.com/profootball/playerstats/1708448"/>
    <hyperlink ref="C103" r:id="rId88" display="https://poolhost.com/profootball/playerstats/1673234"/>
    <hyperlink ref="C104" r:id="rId89" display="https://poolhost.com/profootball/playerstats/1672298"/>
    <hyperlink ref="C105" r:id="rId90" display="https://poolhost.com/profootball/playerstats/1731755"/>
    <hyperlink ref="C106" r:id="rId91" display="https://poolhost.com/profootball/playerstats/1654791"/>
    <hyperlink ref="C107" r:id="rId92" display="https://poolhost.com/profootball/playerstats/1662306"/>
    <hyperlink ref="C108" r:id="rId93" display="https://poolhost.com/profootball/playerstats/1665810"/>
    <hyperlink ref="C109" r:id="rId94" display="https://poolhost.com/profootball/playerstats/1726632"/>
    <hyperlink ref="C110" r:id="rId95" display="https://poolhost.com/profootball/playerstats/1729491"/>
    <hyperlink ref="C111" r:id="rId96" display="https://poolhost.com/profootball/playerstats/1695716"/>
    <hyperlink ref="C112" r:id="rId97" display="https://poolhost.com/profootball/playerstats/1665979"/>
    <hyperlink ref="C113" r:id="rId98" display="https://poolhost.com/profootball/playerstats/1657241"/>
    <hyperlink ref="C114" r:id="rId99" display="https://poolhost.com/profootball/playerstats/1700155"/>
    <hyperlink ref="C115" r:id="rId100" display="https://poolhost.com/profootball/playerstats/1673248"/>
    <hyperlink ref="C116" r:id="rId101" display="https://poolhost.com/profootball/playerstats/1711169"/>
    <hyperlink ref="C117" r:id="rId102" display="https://poolhost.com/profootball/playerstats/1654448"/>
    <hyperlink ref="C118" r:id="rId103" display="https://poolhost.com/profootball/playerstats/1709781"/>
    <hyperlink ref="C119" r:id="rId104" display="https://poolhost.com/profootball/playerstats/1654623"/>
    <hyperlink ref="C120" r:id="rId105" display="https://poolhost.com/profootball/playerstats/1670226"/>
    <hyperlink ref="C121" r:id="rId106" display="https://poolhost.com/profootball/playerstats/1687892"/>
    <hyperlink ref="C122" r:id="rId107" display="https://poolhost.com/profootball/playerstats/1658459"/>
    <hyperlink ref="C123" r:id="rId108" display="https://poolhost.com/profootball/playerstats/1659875"/>
    <hyperlink ref="C124" r:id="rId109" display="https://poolhost.com/profootball/playerstats/1672167"/>
    <hyperlink ref="C125" r:id="rId110" display="https://poolhost.com/profootball/playerstats/1654484"/>
    <hyperlink ref="C126" r:id="rId111" display="https://poolhost.com/profootball/playerstats/1721307"/>
    <hyperlink ref="C127" r:id="rId112" display="https://poolhost.com/profootball/playerstats/1662606"/>
    <hyperlink ref="C128" r:id="rId113" display="https://poolhost.com/profootball/playerstats/1727170"/>
    <hyperlink ref="C129" r:id="rId114" display="https://poolhost.com/profootball/playerstats/1705272"/>
    <hyperlink ref="C130" r:id="rId115" display="https://poolhost.com/profootball/playerstats/1678377"/>
    <hyperlink ref="C131" r:id="rId116" display="https://poolhost.com/profootball/playerstats/1741250"/>
    <hyperlink ref="C132" r:id="rId117" display="https://poolhost.com/profootball/playerstats/1666473"/>
    <hyperlink ref="C133" r:id="rId118" display="https://poolhost.com/profootball/playerstats/1668628"/>
    <hyperlink ref="C134" r:id="rId119" display="https://poolhost.com/profootball/playerstats/1667937"/>
    <hyperlink ref="C135" r:id="rId120" display="https://poolhost.com/profootball/playerstats/1683389"/>
    <hyperlink ref="C136" r:id="rId121" display="https://poolhost.com/profootball/playerstats/1732290"/>
    <hyperlink ref="C137" r:id="rId122" display="https://poolhost.com/profootball/playerstats/1654485"/>
    <hyperlink ref="C138" r:id="rId123" display="https://poolhost.com/profootball/playerstats/1666449"/>
    <hyperlink ref="C139" r:id="rId124" display="https://poolhost.com/profootball/playerstats/1707988"/>
    <hyperlink ref="C140" r:id="rId125" display="https://poolhost.com/profootball/playerstats/1669323"/>
    <hyperlink ref="C141" r:id="rId126" display="https://poolhost.com/profootball/playerstats/1701354"/>
    <hyperlink ref="C142" r:id="rId127" display="https://poolhost.com/profootball/playerstats/1681946"/>
    <hyperlink ref="C143" r:id="rId128" display="https://poolhost.com/profootball/playerstats/1654603"/>
    <hyperlink ref="C144" r:id="rId129" display="https://poolhost.com/profootball/playerstats/1679156"/>
    <hyperlink ref="C145" r:id="rId130" display="https://poolhost.com/profootball/playerstats/1704294"/>
    <hyperlink ref="C146" r:id="rId131" display="https://poolhost.com/profootball/playerstats/1728787"/>
    <hyperlink ref="C147" r:id="rId132" display="https://poolhost.com/profootball/playerstats/1730347"/>
    <hyperlink ref="C148" r:id="rId133" display="https://poolhost.com/profootball/playerstats/1649126"/>
    <hyperlink ref="C149" r:id="rId134" display="https://poolhost.com/profootball/playerstats/1663101"/>
    <hyperlink ref="C150" r:id="rId135" display="https://poolhost.com/profootball/playerstats/1679300"/>
    <hyperlink ref="C151" r:id="rId136" display="https://poolhost.com/profootball/playerstats/1667376"/>
    <hyperlink ref="C152" r:id="rId137" display="https://poolhost.com/profootball/playerstats/1730270"/>
    <hyperlink ref="C153" r:id="rId138" display="https://poolhost.com/profootball/playerstats/1677049"/>
    <hyperlink ref="C154" r:id="rId139" display="https://poolhost.com/profootball/playerstats/1734172"/>
    <hyperlink ref="C155" r:id="rId140" display="https://poolhost.com/profootball/playerstats/1724223"/>
    <hyperlink ref="C156" r:id="rId141" display="https://poolhost.com/profootball/playerstats/1697912"/>
    <hyperlink ref="C157" r:id="rId142" display="https://poolhost.com/profootball/playerstats/1666027"/>
    <hyperlink ref="C158" r:id="rId143" display="https://poolhost.com/profootball/playerstats/1666034"/>
    <hyperlink ref="C159" r:id="rId144" display="https://poolhost.com/profootball/playerstats/1704026"/>
    <hyperlink ref="C160" r:id="rId145" display="https://poolhost.com/profootball/playerstats/1669212"/>
    <hyperlink ref="C161" r:id="rId146" display="https://poolhost.com/profootball/playerstats/1680041"/>
    <hyperlink ref="C162" r:id="rId147" display="https://poolhost.com/profootball/playerstats/1691673"/>
    <hyperlink ref="C163" r:id="rId148" display="https://poolhost.com/profootball/playerstats/1669305"/>
    <hyperlink ref="C164" r:id="rId149" display="https://poolhost.com/profootball/playerstats/1678632"/>
    <hyperlink ref="C165" r:id="rId150" display="https://poolhost.com/profootball/playerstats/1702449"/>
    <hyperlink ref="C166" r:id="rId151" display="https://poolhost.com/profootball/playerstats/1654500"/>
    <hyperlink ref="C167" r:id="rId152" display="https://poolhost.com/profootball/playerstats/1696717"/>
    <hyperlink ref="C168" r:id="rId153" display="https://poolhost.com/profootball/playerstats/1708505"/>
    <hyperlink ref="C169" r:id="rId154" display="https://poolhost.com/profootball/playerstats/1699810"/>
    <hyperlink ref="C170" r:id="rId155" display="https://poolhost.com/profootball/playerstats/1732996"/>
    <hyperlink ref="C171" r:id="rId156" display="https://poolhost.com/profootball/playerstats/1654649"/>
    <hyperlink ref="C172" r:id="rId157" display="https://poolhost.com/profootball/playerstats/1681897"/>
    <hyperlink ref="C173" r:id="rId158" display="https://poolhost.com/profootball/playerstats/1729314"/>
    <hyperlink ref="C174" r:id="rId159" display="https://poolhost.com/profootball/playerstats/1721401"/>
    <hyperlink ref="C175" r:id="rId160" display="https://poolhost.com/profootball/playerstats/1732953"/>
    <hyperlink ref="C176" r:id="rId161" display="https://poolhost.com/profootball/playerstats/1682523"/>
    <hyperlink ref="C177" r:id="rId162" display="https://poolhost.com/profootball/playerstats/1663641"/>
    <hyperlink ref="C178" r:id="rId163" display="https://poolhost.com/profootball/playerstats/172878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8"/>
  <sheetViews>
    <sheetView topLeftCell="H1" zoomScaleNormal="100" workbookViewId="0">
      <selection activeCell="W2" sqref="W2:W15"/>
    </sheetView>
  </sheetViews>
  <sheetFormatPr defaultRowHeight="14.4" x14ac:dyDescent="0.3"/>
  <sheetData>
    <row r="1" spans="1:27" ht="15" thickBot="1" x14ac:dyDescent="0.35">
      <c r="A1" s="2" t="s">
        <v>0</v>
      </c>
      <c r="D1">
        <v>2</v>
      </c>
      <c r="E1">
        <f>D1+1</f>
        <v>3</v>
      </c>
      <c r="F1">
        <f t="shared" ref="F1:M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ref="N1" si="1">M1+1</f>
        <v>12</v>
      </c>
      <c r="O1">
        <f t="shared" ref="O1" si="2">N1+1</f>
        <v>13</v>
      </c>
      <c r="P1">
        <f t="shared" ref="P1" si="3">O1+1</f>
        <v>14</v>
      </c>
      <c r="Q1">
        <f t="shared" ref="Q1" si="4">P1+1</f>
        <v>15</v>
      </c>
      <c r="R1">
        <f t="shared" ref="R1" si="5">Q1+1</f>
        <v>16</v>
      </c>
      <c r="S1">
        <f t="shared" ref="S1" si="6">R1+1</f>
        <v>17</v>
      </c>
      <c r="T1">
        <f t="shared" ref="T1" si="7">S1+1</f>
        <v>18</v>
      </c>
      <c r="V1" s="16">
        <v>0</v>
      </c>
      <c r="W1" s="11">
        <f>COUNTIF(S$16:S$200,V1)</f>
        <v>2</v>
      </c>
      <c r="X1" s="20">
        <f>W1/SUM(W$1:W$14)</f>
        <v>1.2269938650306749E-2</v>
      </c>
      <c r="Y1" s="33"/>
      <c r="Z1" t="s">
        <v>227</v>
      </c>
    </row>
    <row r="2" spans="1:27" ht="15" thickBot="1" x14ac:dyDescent="0.35">
      <c r="A2" s="2" t="s">
        <v>1</v>
      </c>
      <c r="C2" t="s">
        <v>204</v>
      </c>
      <c r="E2" s="24" t="str">
        <f t="shared" ref="E2:R3" si="8">IF(VLOOKUP($C2,$C$16:$AB$192,E$1,FALSE)=E$8,"Y","N")</f>
        <v>N</v>
      </c>
      <c r="F2" s="25" t="str">
        <f t="shared" si="8"/>
        <v>N</v>
      </c>
      <c r="G2" s="25" t="str">
        <f t="shared" si="8"/>
        <v>Y</v>
      </c>
      <c r="H2" s="25" t="str">
        <f t="shared" si="8"/>
        <v>Y</v>
      </c>
      <c r="I2" s="25" t="str">
        <f t="shared" si="8"/>
        <v>Y</v>
      </c>
      <c r="J2" s="25" t="str">
        <f t="shared" si="8"/>
        <v>Y</v>
      </c>
      <c r="K2" s="25" t="str">
        <f t="shared" si="8"/>
        <v>N</v>
      </c>
      <c r="L2" s="25" t="str">
        <f t="shared" si="8"/>
        <v>N</v>
      </c>
      <c r="M2" s="25" t="str">
        <f t="shared" si="8"/>
        <v>N</v>
      </c>
      <c r="N2" s="25" t="str">
        <f t="shared" si="8"/>
        <v>Y</v>
      </c>
      <c r="O2" s="25" t="str">
        <f t="shared" si="8"/>
        <v>Y</v>
      </c>
      <c r="P2" s="25" t="str">
        <f t="shared" si="8"/>
        <v>N</v>
      </c>
      <c r="Q2" s="25" t="str">
        <f t="shared" si="8"/>
        <v>N</v>
      </c>
      <c r="R2" s="25" t="str">
        <f t="shared" si="8"/>
        <v>N</v>
      </c>
      <c r="S2" s="19">
        <f>VLOOKUP($C2,$C$16:$AB$192,S$1,FALSE)</f>
        <v>6</v>
      </c>
      <c r="T2" s="19">
        <f>VLOOKUP($C2,$C$16:$AB$192,T$1,FALSE)</f>
        <v>55</v>
      </c>
      <c r="V2" s="23">
        <f>V1+1</f>
        <v>1</v>
      </c>
      <c r="W2" s="12">
        <f>COUNTIF(S$16:S$200,V2)</f>
        <v>0</v>
      </c>
      <c r="X2" s="21">
        <f t="shared" ref="X2:X13" si="9">W2/SUM(W$1:W$14)</f>
        <v>0</v>
      </c>
      <c r="Y2" s="33"/>
      <c r="Z2">
        <v>0</v>
      </c>
      <c r="AA2">
        <f>COUNTIF(U$16:U$179,Z2)</f>
        <v>0</v>
      </c>
    </row>
    <row r="3" spans="1:27" ht="15" thickBot="1" x14ac:dyDescent="0.35">
      <c r="A3" s="2" t="s">
        <v>2</v>
      </c>
      <c r="C3" t="s">
        <v>162</v>
      </c>
      <c r="E3" s="13" t="str">
        <f t="shared" si="8"/>
        <v>N</v>
      </c>
      <c r="F3" s="14" t="str">
        <f t="shared" si="8"/>
        <v>N</v>
      </c>
      <c r="G3" s="14" t="str">
        <f t="shared" si="8"/>
        <v>N</v>
      </c>
      <c r="H3" s="14" t="str">
        <f t="shared" si="8"/>
        <v>Y</v>
      </c>
      <c r="I3" s="14" t="str">
        <f t="shared" si="8"/>
        <v>N</v>
      </c>
      <c r="J3" s="14" t="str">
        <f t="shared" si="8"/>
        <v>Y</v>
      </c>
      <c r="K3" s="14" t="str">
        <f t="shared" si="8"/>
        <v>N</v>
      </c>
      <c r="L3" s="14" t="str">
        <f t="shared" si="8"/>
        <v>Y</v>
      </c>
      <c r="M3" s="14" t="str">
        <f t="shared" si="8"/>
        <v>Y</v>
      </c>
      <c r="N3" s="14" t="str">
        <f t="shared" si="8"/>
        <v>Y</v>
      </c>
      <c r="O3" s="14" t="str">
        <f t="shared" si="8"/>
        <v>Y</v>
      </c>
      <c r="P3" s="14" t="str">
        <f t="shared" si="8"/>
        <v>Y</v>
      </c>
      <c r="Q3" s="14" t="str">
        <f t="shared" si="8"/>
        <v>Y</v>
      </c>
      <c r="R3" s="14" t="str">
        <f t="shared" si="8"/>
        <v>Y</v>
      </c>
      <c r="S3" s="18">
        <f>VLOOKUP($C3,$C$16:$AB$192,S$1,FALSE)</f>
        <v>9</v>
      </c>
      <c r="T3" s="18">
        <f>VLOOKUP($C3,$C$16:$AB$192,T$1,FALSE)</f>
        <v>53</v>
      </c>
      <c r="V3" s="23">
        <f t="shared" ref="V3:V15" si="10">V2+1</f>
        <v>2</v>
      </c>
      <c r="W3" s="12">
        <f t="shared" ref="W3:W15" si="11">COUNTIF(S$16:S$200,V3)</f>
        <v>1</v>
      </c>
      <c r="X3" s="21">
        <f t="shared" si="9"/>
        <v>6.1349693251533744E-3</v>
      </c>
      <c r="Y3" s="33"/>
      <c r="Z3">
        <v>1</v>
      </c>
      <c r="AA3">
        <f t="shared" ref="AA3:AA66" si="12">COUNTIF(U$16:U$179,Z3)</f>
        <v>0</v>
      </c>
    </row>
    <row r="4" spans="1:27" x14ac:dyDescent="0.3">
      <c r="A4" s="2" t="s">
        <v>3</v>
      </c>
      <c r="C4" t="s">
        <v>205</v>
      </c>
      <c r="E4" s="9">
        <f>E5/SUM(E5:E6)</f>
        <v>0.42236024844720499</v>
      </c>
      <c r="F4" s="9">
        <f t="shared" ref="F4:R4" si="13">F5/SUM(F5:F6)</f>
        <v>0.75155279503105588</v>
      </c>
      <c r="G4" s="9">
        <f t="shared" si="13"/>
        <v>0.7639751552795031</v>
      </c>
      <c r="H4" s="9">
        <f t="shared" si="13"/>
        <v>0.25465838509316768</v>
      </c>
      <c r="I4" s="9">
        <f t="shared" si="13"/>
        <v>0.60248447204968947</v>
      </c>
      <c r="J4" s="9">
        <f t="shared" si="13"/>
        <v>0.70807453416149069</v>
      </c>
      <c r="K4" s="9">
        <f t="shared" si="13"/>
        <v>0.34161490683229812</v>
      </c>
      <c r="L4" s="9">
        <f t="shared" si="13"/>
        <v>0.36024844720496896</v>
      </c>
      <c r="M4" s="9">
        <f t="shared" si="13"/>
        <v>0.80745341614906829</v>
      </c>
      <c r="N4" s="9">
        <f t="shared" si="13"/>
        <v>0.81366459627329191</v>
      </c>
      <c r="O4" s="9">
        <f t="shared" si="13"/>
        <v>0.44720496894409939</v>
      </c>
      <c r="P4" s="9">
        <f t="shared" ref="P4" si="14">P5/SUM(P5:P6)</f>
        <v>0.43478260869565216</v>
      </c>
      <c r="Q4" s="9">
        <f t="shared" si="13"/>
        <v>0.44099378881987578</v>
      </c>
      <c r="R4" s="9">
        <f t="shared" si="13"/>
        <v>0.50931677018633537</v>
      </c>
      <c r="S4" s="10" t="s">
        <v>217</v>
      </c>
      <c r="T4" s="10" t="s">
        <v>218</v>
      </c>
      <c r="V4" s="23">
        <f t="shared" si="10"/>
        <v>3</v>
      </c>
      <c r="W4" s="12">
        <f t="shared" si="11"/>
        <v>3</v>
      </c>
      <c r="X4" s="21">
        <f t="shared" si="9"/>
        <v>1.8404907975460124E-2</v>
      </c>
      <c r="Y4" s="33"/>
      <c r="Z4">
        <v>2</v>
      </c>
      <c r="AA4">
        <f t="shared" si="12"/>
        <v>0</v>
      </c>
    </row>
    <row r="5" spans="1:27" x14ac:dyDescent="0.3">
      <c r="A5" s="2" t="s">
        <v>0</v>
      </c>
      <c r="C5" t="s">
        <v>202</v>
      </c>
      <c r="D5">
        <f t="shared" ref="D5:R5" si="15">COUNTIF(D$16:D$197,D10)</f>
        <v>0</v>
      </c>
      <c r="E5">
        <f t="shared" si="15"/>
        <v>68</v>
      </c>
      <c r="F5">
        <f t="shared" si="15"/>
        <v>121</v>
      </c>
      <c r="G5">
        <f t="shared" si="15"/>
        <v>123</v>
      </c>
      <c r="H5">
        <f t="shared" si="15"/>
        <v>41</v>
      </c>
      <c r="I5">
        <f t="shared" si="15"/>
        <v>97</v>
      </c>
      <c r="J5">
        <f t="shared" si="15"/>
        <v>114</v>
      </c>
      <c r="K5">
        <f t="shared" si="15"/>
        <v>55</v>
      </c>
      <c r="L5">
        <f t="shared" si="15"/>
        <v>58</v>
      </c>
      <c r="M5">
        <f t="shared" si="15"/>
        <v>130</v>
      </c>
      <c r="N5">
        <f t="shared" si="15"/>
        <v>131</v>
      </c>
      <c r="O5">
        <f t="shared" si="15"/>
        <v>72</v>
      </c>
      <c r="P5">
        <f t="shared" ref="P5" si="16">COUNTIF(P$16:P$197,P10)</f>
        <v>70</v>
      </c>
      <c r="Q5">
        <f t="shared" si="15"/>
        <v>71</v>
      </c>
      <c r="R5">
        <f t="shared" si="15"/>
        <v>82</v>
      </c>
      <c r="V5" s="23">
        <f t="shared" si="10"/>
        <v>4</v>
      </c>
      <c r="W5" s="12">
        <f t="shared" si="11"/>
        <v>2</v>
      </c>
      <c r="X5" s="21">
        <f t="shared" si="9"/>
        <v>1.2269938650306749E-2</v>
      </c>
      <c r="Y5" s="33"/>
      <c r="Z5">
        <v>3</v>
      </c>
      <c r="AA5">
        <f t="shared" si="12"/>
        <v>0</v>
      </c>
    </row>
    <row r="6" spans="1:27" ht="15" thickBot="1" x14ac:dyDescent="0.35">
      <c r="A6" s="2" t="s">
        <v>4</v>
      </c>
      <c r="C6" t="s">
        <v>203</v>
      </c>
      <c r="D6">
        <f t="shared" ref="D6:R6" si="17">COUNTIF(D$16:D$197,D12)</f>
        <v>0</v>
      </c>
      <c r="E6">
        <f t="shared" si="17"/>
        <v>93</v>
      </c>
      <c r="F6">
        <f t="shared" si="17"/>
        <v>40</v>
      </c>
      <c r="G6">
        <f t="shared" si="17"/>
        <v>38</v>
      </c>
      <c r="H6">
        <f t="shared" si="17"/>
        <v>120</v>
      </c>
      <c r="I6">
        <f t="shared" si="17"/>
        <v>64</v>
      </c>
      <c r="J6">
        <f t="shared" si="17"/>
        <v>47</v>
      </c>
      <c r="K6">
        <f t="shared" si="17"/>
        <v>106</v>
      </c>
      <c r="L6">
        <f t="shared" si="17"/>
        <v>103</v>
      </c>
      <c r="M6">
        <f t="shared" si="17"/>
        <v>31</v>
      </c>
      <c r="N6">
        <f t="shared" si="17"/>
        <v>30</v>
      </c>
      <c r="O6">
        <f t="shared" si="17"/>
        <v>89</v>
      </c>
      <c r="P6">
        <f t="shared" ref="P6" si="18">COUNTIF(P$16:P$197,P12)</f>
        <v>91</v>
      </c>
      <c r="Q6">
        <f t="shared" si="17"/>
        <v>90</v>
      </c>
      <c r="R6">
        <f t="shared" si="17"/>
        <v>79</v>
      </c>
      <c r="V6" s="23">
        <f t="shared" si="10"/>
        <v>5</v>
      </c>
      <c r="W6" s="12">
        <f t="shared" si="11"/>
        <v>17</v>
      </c>
      <c r="X6" s="21">
        <f t="shared" si="9"/>
        <v>0.10429447852760736</v>
      </c>
      <c r="Y6" s="33"/>
      <c r="Z6">
        <f>Z5+1</f>
        <v>4</v>
      </c>
      <c r="AA6">
        <f t="shared" si="12"/>
        <v>0</v>
      </c>
    </row>
    <row r="7" spans="1:27" ht="15" thickBot="1" x14ac:dyDescent="0.35">
      <c r="A7" s="2"/>
      <c r="C7" t="s">
        <v>213</v>
      </c>
      <c r="E7" s="28" t="str">
        <f>IF(AND(E10=E8,E4&gt;0.5),"Y",IF(AND(E10=E8,E4&lt;0.5),"N",IF(E4&gt;0.5,"Y","N")))</f>
        <v>N</v>
      </c>
      <c r="F7" s="11" t="str">
        <f>IF(AND(F10=F8,F4&gt;0.5),"Y",IF(AND(F10=F8,F4&lt;0.5),"N",IF(F4&gt;0.5,"Y","N")))</f>
        <v>Y</v>
      </c>
      <c r="G7" s="11" t="str">
        <f t="shared" ref="G7:R7" si="19">IF(AND(G10=G8,G4&gt;0.5),"Y",IF(AND(G10=G8,G4&lt;0.5),"N",IF(G4&lt;0.5,"Y","N")))</f>
        <v>Y</v>
      </c>
      <c r="H7" s="11" t="str">
        <f t="shared" si="19"/>
        <v>Y</v>
      </c>
      <c r="I7" s="11" t="str">
        <f t="shared" si="19"/>
        <v>N</v>
      </c>
      <c r="J7" s="11" t="str">
        <f t="shared" si="19"/>
        <v>Y</v>
      </c>
      <c r="K7" s="11" t="str">
        <f t="shared" si="19"/>
        <v>Y</v>
      </c>
      <c r="L7" s="11" t="str">
        <f t="shared" si="19"/>
        <v>Y</v>
      </c>
      <c r="M7" s="11" t="str">
        <f t="shared" si="19"/>
        <v>N</v>
      </c>
      <c r="N7" s="11" t="str">
        <f t="shared" si="19"/>
        <v>Y</v>
      </c>
      <c r="O7" s="11" t="str">
        <f t="shared" si="19"/>
        <v>Y</v>
      </c>
      <c r="P7" s="11" t="str">
        <f t="shared" si="19"/>
        <v>N</v>
      </c>
      <c r="Q7" s="11" t="str">
        <f t="shared" si="19"/>
        <v>Y</v>
      </c>
      <c r="R7" s="29" t="str">
        <f t="shared" si="19"/>
        <v>Y</v>
      </c>
      <c r="S7" s="37" t="s">
        <v>220</v>
      </c>
      <c r="T7" s="38">
        <f>COUNTIF(C7:R7,"Y")</f>
        <v>10</v>
      </c>
      <c r="V7" s="23">
        <f t="shared" si="10"/>
        <v>6</v>
      </c>
      <c r="W7" s="12">
        <f t="shared" si="11"/>
        <v>25</v>
      </c>
      <c r="X7" s="21">
        <f t="shared" si="9"/>
        <v>0.15337423312883436</v>
      </c>
      <c r="Y7" s="33"/>
      <c r="Z7">
        <f t="shared" ref="Z7:Z70" si="20">Z6+1</f>
        <v>5</v>
      </c>
      <c r="AA7">
        <f t="shared" si="12"/>
        <v>0</v>
      </c>
    </row>
    <row r="8" spans="1:27" ht="15" thickBot="1" x14ac:dyDescent="0.35">
      <c r="A8" s="2"/>
      <c r="C8" t="s">
        <v>212</v>
      </c>
      <c r="E8" s="30" t="s">
        <v>51</v>
      </c>
      <c r="F8" s="31" t="s">
        <v>47</v>
      </c>
      <c r="G8" s="31" t="s">
        <v>75</v>
      </c>
      <c r="H8" s="31" t="s">
        <v>73</v>
      </c>
      <c r="I8" s="31" t="s">
        <v>57</v>
      </c>
      <c r="J8" s="31" t="s">
        <v>63</v>
      </c>
      <c r="K8" s="31" t="s">
        <v>71</v>
      </c>
      <c r="L8" s="31" t="s">
        <v>60</v>
      </c>
      <c r="M8" s="31" t="s">
        <v>66</v>
      </c>
      <c r="N8" s="31" t="s">
        <v>53</v>
      </c>
      <c r="O8" s="31" t="s">
        <v>210</v>
      </c>
      <c r="P8" s="31" t="s">
        <v>67</v>
      </c>
      <c r="Q8" s="31" t="s">
        <v>52</v>
      </c>
      <c r="R8" s="32" t="s">
        <v>55</v>
      </c>
      <c r="V8" s="34">
        <f t="shared" si="10"/>
        <v>7</v>
      </c>
      <c r="W8" s="35">
        <f t="shared" si="11"/>
        <v>25</v>
      </c>
      <c r="X8" s="36">
        <f t="shared" si="9"/>
        <v>0.15337423312883436</v>
      </c>
      <c r="Y8" s="33"/>
      <c r="Z8">
        <f t="shared" si="20"/>
        <v>6</v>
      </c>
      <c r="AA8">
        <f t="shared" si="12"/>
        <v>0</v>
      </c>
    </row>
    <row r="9" spans="1:27" x14ac:dyDescent="0.3">
      <c r="A9" s="47" t="s">
        <v>46</v>
      </c>
      <c r="B9" s="47"/>
      <c r="C9" s="2" t="s">
        <v>0</v>
      </c>
      <c r="D9" s="7">
        <v>10</v>
      </c>
      <c r="E9" s="7">
        <v>32</v>
      </c>
      <c r="F9" s="7">
        <v>14</v>
      </c>
      <c r="G9" s="7">
        <v>34</v>
      </c>
      <c r="H9" s="7">
        <v>14</v>
      </c>
      <c r="I9" s="7">
        <v>24</v>
      </c>
      <c r="J9" s="7">
        <v>16</v>
      </c>
      <c r="K9" s="7">
        <v>29</v>
      </c>
      <c r="L9" s="7">
        <v>3</v>
      </c>
      <c r="M9" s="7">
        <v>20</v>
      </c>
      <c r="N9" s="7">
        <v>40</v>
      </c>
      <c r="O9" s="7">
        <v>18</v>
      </c>
      <c r="P9" s="7">
        <v>37</v>
      </c>
      <c r="Q9" s="7">
        <v>31</v>
      </c>
      <c r="R9" s="7">
        <v>17</v>
      </c>
      <c r="S9" s="47" t="s">
        <v>76</v>
      </c>
      <c r="T9" s="47" t="s">
        <v>77</v>
      </c>
      <c r="U9" s="8" t="s">
        <v>221</v>
      </c>
      <c r="V9" s="23">
        <f t="shared" si="10"/>
        <v>8</v>
      </c>
      <c r="W9" s="12">
        <f t="shared" si="11"/>
        <v>34</v>
      </c>
      <c r="X9" s="21">
        <f t="shared" si="9"/>
        <v>0.20858895705521471</v>
      </c>
      <c r="Y9" s="33"/>
      <c r="Z9">
        <f t="shared" si="20"/>
        <v>7</v>
      </c>
      <c r="AA9">
        <f t="shared" si="12"/>
        <v>0</v>
      </c>
    </row>
    <row r="10" spans="1:27" x14ac:dyDescent="0.3">
      <c r="A10" s="47"/>
      <c r="B10" s="47"/>
      <c r="C10" s="2" t="s">
        <v>1</v>
      </c>
      <c r="D10" s="7" t="s">
        <v>58</v>
      </c>
      <c r="E10" s="7" t="s">
        <v>51</v>
      </c>
      <c r="F10" s="7" t="s">
        <v>69</v>
      </c>
      <c r="G10" s="7" t="s">
        <v>75</v>
      </c>
      <c r="H10" s="7" t="s">
        <v>61</v>
      </c>
      <c r="I10" s="7" t="s">
        <v>54</v>
      </c>
      <c r="J10" s="7" t="s">
        <v>63</v>
      </c>
      <c r="K10" s="7" t="s">
        <v>207</v>
      </c>
      <c r="L10" s="7" t="s">
        <v>72</v>
      </c>
      <c r="M10" s="7" t="s">
        <v>209</v>
      </c>
      <c r="N10" s="7" t="s">
        <v>53</v>
      </c>
      <c r="O10" s="7" t="s">
        <v>48</v>
      </c>
      <c r="P10" s="7" t="s">
        <v>67</v>
      </c>
      <c r="Q10" s="7" t="s">
        <v>59</v>
      </c>
      <c r="R10" s="7" t="s">
        <v>55</v>
      </c>
      <c r="S10" s="47"/>
      <c r="T10" s="47"/>
      <c r="U10" s="8" t="s">
        <v>77</v>
      </c>
      <c r="V10" s="23">
        <f t="shared" si="10"/>
        <v>9</v>
      </c>
      <c r="W10" s="12">
        <f t="shared" si="11"/>
        <v>25</v>
      </c>
      <c r="X10" s="21">
        <f t="shared" si="9"/>
        <v>0.15337423312883436</v>
      </c>
      <c r="Y10" s="33"/>
      <c r="Z10">
        <f t="shared" si="20"/>
        <v>8</v>
      </c>
      <c r="AA10">
        <f t="shared" si="12"/>
        <v>0</v>
      </c>
    </row>
    <row r="11" spans="1:27" x14ac:dyDescent="0.3">
      <c r="A11" s="47"/>
      <c r="B11" s="47"/>
      <c r="C11" s="2" t="s">
        <v>2</v>
      </c>
      <c r="D11" s="7">
        <v>1.5</v>
      </c>
      <c r="E11" s="7">
        <v>-5.5</v>
      </c>
      <c r="F11" s="7">
        <v>-2.5</v>
      </c>
      <c r="G11" s="7">
        <v>-8.5</v>
      </c>
      <c r="H11" s="7">
        <v>4.5</v>
      </c>
      <c r="I11" s="7">
        <v>-2.5</v>
      </c>
      <c r="J11" s="7">
        <v>-3.5</v>
      </c>
      <c r="K11" s="7">
        <v>-2.5</v>
      </c>
      <c r="L11" s="7">
        <v>3.5</v>
      </c>
      <c r="M11" s="7">
        <v>-5.5</v>
      </c>
      <c r="N11" s="7">
        <v>-7.5</v>
      </c>
      <c r="O11" s="7">
        <v>-1.5</v>
      </c>
      <c r="P11" s="7">
        <v>1.5</v>
      </c>
      <c r="Q11" s="7">
        <v>3.5</v>
      </c>
      <c r="R11" s="7">
        <v>2.5</v>
      </c>
      <c r="S11" s="47"/>
      <c r="T11" s="47"/>
      <c r="U11" s="8">
        <v>-32</v>
      </c>
      <c r="V11" s="23">
        <f t="shared" si="10"/>
        <v>10</v>
      </c>
      <c r="W11" s="12">
        <f t="shared" si="11"/>
        <v>17</v>
      </c>
      <c r="X11" s="21">
        <f t="shared" si="9"/>
        <v>0.10429447852760736</v>
      </c>
      <c r="Y11" s="33"/>
      <c r="Z11">
        <f t="shared" si="20"/>
        <v>9</v>
      </c>
      <c r="AA11">
        <f t="shared" si="12"/>
        <v>0</v>
      </c>
    </row>
    <row r="12" spans="1:27" x14ac:dyDescent="0.3">
      <c r="A12" s="47"/>
      <c r="B12" s="47"/>
      <c r="C12" s="2" t="s">
        <v>3</v>
      </c>
      <c r="D12" s="7" t="s">
        <v>64</v>
      </c>
      <c r="E12" s="7" t="s">
        <v>56</v>
      </c>
      <c r="F12" s="7" t="s">
        <v>47</v>
      </c>
      <c r="G12" s="7" t="s">
        <v>62</v>
      </c>
      <c r="H12" s="7" t="s">
        <v>73</v>
      </c>
      <c r="I12" s="7" t="s">
        <v>57</v>
      </c>
      <c r="J12" s="7" t="s">
        <v>208</v>
      </c>
      <c r="K12" s="7" t="s">
        <v>71</v>
      </c>
      <c r="L12" s="7" t="s">
        <v>60</v>
      </c>
      <c r="M12" s="7" t="s">
        <v>66</v>
      </c>
      <c r="N12" s="7" t="s">
        <v>68</v>
      </c>
      <c r="O12" s="7" t="s">
        <v>210</v>
      </c>
      <c r="P12" s="7" t="s">
        <v>74</v>
      </c>
      <c r="Q12" s="7" t="s">
        <v>52</v>
      </c>
      <c r="R12" s="7" t="s">
        <v>65</v>
      </c>
      <c r="S12" s="47"/>
      <c r="T12" s="47"/>
      <c r="U12" s="8"/>
      <c r="V12" s="23">
        <f t="shared" si="10"/>
        <v>11</v>
      </c>
      <c r="W12" s="12">
        <f t="shared" si="11"/>
        <v>9</v>
      </c>
      <c r="X12" s="21">
        <f t="shared" si="9"/>
        <v>5.5214723926380369E-2</v>
      </c>
      <c r="Y12" s="33"/>
      <c r="Z12">
        <f t="shared" si="20"/>
        <v>10</v>
      </c>
      <c r="AA12">
        <f t="shared" si="12"/>
        <v>0</v>
      </c>
    </row>
    <row r="13" spans="1:27" x14ac:dyDescent="0.3">
      <c r="A13" s="47"/>
      <c r="B13" s="47"/>
      <c r="C13" s="2" t="s">
        <v>0</v>
      </c>
      <c r="D13" s="7">
        <v>33</v>
      </c>
      <c r="E13" s="7">
        <v>16</v>
      </c>
      <c r="F13" s="7">
        <v>34</v>
      </c>
      <c r="G13" s="7">
        <v>10</v>
      </c>
      <c r="H13" s="7">
        <v>21</v>
      </c>
      <c r="I13" s="7">
        <v>22</v>
      </c>
      <c r="J13" s="7">
        <v>10</v>
      </c>
      <c r="K13" s="7">
        <v>31</v>
      </c>
      <c r="L13" s="7">
        <v>28</v>
      </c>
      <c r="M13" s="7">
        <v>15</v>
      </c>
      <c r="N13" s="7">
        <v>7</v>
      </c>
      <c r="O13" s="7">
        <v>28</v>
      </c>
      <c r="P13" s="7">
        <v>15</v>
      </c>
      <c r="Q13" s="7">
        <v>41</v>
      </c>
      <c r="R13" s="7">
        <v>15</v>
      </c>
      <c r="S13" s="47"/>
      <c r="T13" s="47"/>
      <c r="U13" s="8"/>
      <c r="V13" s="23">
        <f t="shared" si="10"/>
        <v>12</v>
      </c>
      <c r="W13" s="12">
        <f t="shared" si="11"/>
        <v>3</v>
      </c>
      <c r="X13" s="21">
        <f t="shared" si="9"/>
        <v>1.8404907975460124E-2</v>
      </c>
      <c r="Y13" s="33"/>
      <c r="Z13">
        <f t="shared" si="20"/>
        <v>11</v>
      </c>
      <c r="AA13">
        <f t="shared" si="12"/>
        <v>0</v>
      </c>
    </row>
    <row r="14" spans="1:27" x14ac:dyDescent="0.3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47"/>
      <c r="T14" s="47"/>
      <c r="U14" s="8"/>
      <c r="V14" s="23">
        <f t="shared" si="10"/>
        <v>13</v>
      </c>
      <c r="W14" s="12">
        <f t="shared" si="11"/>
        <v>0</v>
      </c>
      <c r="X14" s="21">
        <f t="shared" ref="X14:X15" si="21">W14/SUM(W$1:W$14)</f>
        <v>0</v>
      </c>
      <c r="Y14" s="33"/>
      <c r="Z14">
        <f t="shared" si="20"/>
        <v>12</v>
      </c>
      <c r="AA14">
        <f t="shared" si="12"/>
        <v>0</v>
      </c>
    </row>
    <row r="15" spans="1:27" ht="15" thickBot="1" x14ac:dyDescent="0.35">
      <c r="A15" s="47"/>
      <c r="B15" s="47"/>
      <c r="C15" s="2" t="s">
        <v>222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47"/>
      <c r="T15" s="47"/>
      <c r="U15" s="8"/>
      <c r="V15" s="17">
        <f t="shared" si="10"/>
        <v>14</v>
      </c>
      <c r="W15" s="14">
        <f t="shared" si="11"/>
        <v>0</v>
      </c>
      <c r="X15" s="22">
        <f t="shared" si="21"/>
        <v>0</v>
      </c>
      <c r="Z15">
        <f t="shared" si="20"/>
        <v>13</v>
      </c>
      <c r="AA15">
        <f t="shared" si="12"/>
        <v>0</v>
      </c>
    </row>
    <row r="16" spans="1:27" x14ac:dyDescent="0.3">
      <c r="A16" s="41">
        <v>1</v>
      </c>
      <c r="B16" s="4"/>
      <c r="C16" s="6" t="s">
        <v>44</v>
      </c>
      <c r="D16" s="5"/>
      <c r="E16" s="5" t="s">
        <v>51</v>
      </c>
      <c r="F16" s="5" t="s">
        <v>69</v>
      </c>
      <c r="G16" s="5" t="s">
        <v>75</v>
      </c>
      <c r="H16" s="5" t="s">
        <v>73</v>
      </c>
      <c r="I16" s="5" t="s">
        <v>54</v>
      </c>
      <c r="J16" s="5" t="s">
        <v>63</v>
      </c>
      <c r="K16" s="5" t="s">
        <v>71</v>
      </c>
      <c r="L16" s="5" t="s">
        <v>60</v>
      </c>
      <c r="M16" s="5" t="s">
        <v>66</v>
      </c>
      <c r="N16" s="5" t="s">
        <v>53</v>
      </c>
      <c r="O16" s="5" t="s">
        <v>210</v>
      </c>
      <c r="P16" s="5" t="s">
        <v>67</v>
      </c>
      <c r="Q16" s="5" t="s">
        <v>52</v>
      </c>
      <c r="R16" s="5" t="s">
        <v>55</v>
      </c>
      <c r="S16" s="1">
        <v>12</v>
      </c>
      <c r="T16" s="1">
        <v>64</v>
      </c>
      <c r="U16" s="1">
        <v>44</v>
      </c>
      <c r="Z16">
        <f t="shared" si="20"/>
        <v>14</v>
      </c>
      <c r="AA16">
        <f t="shared" si="12"/>
        <v>0</v>
      </c>
    </row>
    <row r="17" spans="1:27" ht="28.8" x14ac:dyDescent="0.3">
      <c r="A17" s="41">
        <v>2</v>
      </c>
      <c r="B17" s="4"/>
      <c r="C17" s="6" t="s">
        <v>177</v>
      </c>
      <c r="D17" s="5"/>
      <c r="E17" s="5" t="s">
        <v>51</v>
      </c>
      <c r="F17" s="5" t="s">
        <v>69</v>
      </c>
      <c r="G17" s="5" t="s">
        <v>75</v>
      </c>
      <c r="H17" s="5" t="s">
        <v>73</v>
      </c>
      <c r="I17" s="5" t="s">
        <v>57</v>
      </c>
      <c r="J17" s="5" t="s">
        <v>63</v>
      </c>
      <c r="K17" s="5" t="s">
        <v>71</v>
      </c>
      <c r="L17" s="5" t="s">
        <v>60</v>
      </c>
      <c r="M17" s="5" t="s">
        <v>209</v>
      </c>
      <c r="N17" s="5" t="s">
        <v>53</v>
      </c>
      <c r="O17" s="5" t="s">
        <v>210</v>
      </c>
      <c r="P17" s="5" t="s">
        <v>67</v>
      </c>
      <c r="Q17" s="5" t="s">
        <v>52</v>
      </c>
      <c r="R17" s="5" t="s">
        <v>55</v>
      </c>
      <c r="S17" s="1">
        <v>12</v>
      </c>
      <c r="T17" s="1">
        <v>58</v>
      </c>
      <c r="U17" s="1">
        <v>45</v>
      </c>
      <c r="Z17">
        <f t="shared" si="20"/>
        <v>15</v>
      </c>
      <c r="AA17">
        <f t="shared" si="12"/>
        <v>0</v>
      </c>
    </row>
    <row r="18" spans="1:27" ht="28.8" x14ac:dyDescent="0.3">
      <c r="A18" s="41">
        <v>3</v>
      </c>
      <c r="B18" s="4"/>
      <c r="C18" s="6" t="s">
        <v>113</v>
      </c>
      <c r="D18" s="5"/>
      <c r="E18" s="5" t="s">
        <v>56</v>
      </c>
      <c r="F18" s="5" t="s">
        <v>47</v>
      </c>
      <c r="G18" s="5" t="s">
        <v>75</v>
      </c>
      <c r="H18" s="5" t="s">
        <v>73</v>
      </c>
      <c r="I18" s="5" t="s">
        <v>57</v>
      </c>
      <c r="J18" s="5" t="s">
        <v>63</v>
      </c>
      <c r="K18" s="5" t="s">
        <v>71</v>
      </c>
      <c r="L18" s="5" t="s">
        <v>60</v>
      </c>
      <c r="M18" s="5" t="s">
        <v>66</v>
      </c>
      <c r="N18" s="5" t="s">
        <v>53</v>
      </c>
      <c r="O18" s="5" t="s">
        <v>48</v>
      </c>
      <c r="P18" s="5" t="s">
        <v>67</v>
      </c>
      <c r="Q18" s="5" t="s">
        <v>52</v>
      </c>
      <c r="R18" s="5" t="s">
        <v>55</v>
      </c>
      <c r="S18" s="1">
        <v>12</v>
      </c>
      <c r="T18" s="1">
        <v>56</v>
      </c>
      <c r="U18" s="1">
        <v>49</v>
      </c>
      <c r="Z18">
        <f t="shared" si="20"/>
        <v>16</v>
      </c>
      <c r="AA18">
        <f t="shared" si="12"/>
        <v>0</v>
      </c>
    </row>
    <row r="19" spans="1:27" ht="28.8" x14ac:dyDescent="0.3">
      <c r="A19" s="41">
        <v>4</v>
      </c>
      <c r="B19" s="4"/>
      <c r="C19" s="6" t="s">
        <v>196</v>
      </c>
      <c r="D19" s="5"/>
      <c r="E19" s="5" t="s">
        <v>51</v>
      </c>
      <c r="F19" s="5" t="s">
        <v>47</v>
      </c>
      <c r="G19" s="5" t="s">
        <v>75</v>
      </c>
      <c r="H19" s="5" t="s">
        <v>73</v>
      </c>
      <c r="I19" s="5" t="s">
        <v>57</v>
      </c>
      <c r="J19" s="5" t="s">
        <v>208</v>
      </c>
      <c r="K19" s="5" t="s">
        <v>71</v>
      </c>
      <c r="L19" s="5" t="s">
        <v>60</v>
      </c>
      <c r="M19" s="5" t="s">
        <v>66</v>
      </c>
      <c r="N19" s="5" t="s">
        <v>68</v>
      </c>
      <c r="O19" s="5" t="s">
        <v>210</v>
      </c>
      <c r="P19" s="5" t="s">
        <v>67</v>
      </c>
      <c r="Q19" s="5" t="s">
        <v>52</v>
      </c>
      <c r="R19" s="5" t="s">
        <v>65</v>
      </c>
      <c r="S19" s="1">
        <v>11</v>
      </c>
      <c r="T19" s="1">
        <v>50</v>
      </c>
      <c r="U19" s="1">
        <v>35</v>
      </c>
      <c r="Z19">
        <f t="shared" si="20"/>
        <v>17</v>
      </c>
      <c r="AA19">
        <f t="shared" si="12"/>
        <v>0</v>
      </c>
    </row>
    <row r="20" spans="1:27" ht="28.8" x14ac:dyDescent="0.3">
      <c r="A20" s="41">
        <v>5</v>
      </c>
      <c r="B20" s="4"/>
      <c r="C20" s="6" t="s">
        <v>164</v>
      </c>
      <c r="D20" s="5"/>
      <c r="E20" s="5" t="s">
        <v>56</v>
      </c>
      <c r="F20" s="5" t="s">
        <v>47</v>
      </c>
      <c r="G20" s="5" t="s">
        <v>75</v>
      </c>
      <c r="H20" s="5" t="s">
        <v>73</v>
      </c>
      <c r="I20" s="5" t="s">
        <v>54</v>
      </c>
      <c r="J20" s="5" t="s">
        <v>63</v>
      </c>
      <c r="K20" s="5" t="s">
        <v>71</v>
      </c>
      <c r="L20" s="5" t="s">
        <v>60</v>
      </c>
      <c r="M20" s="5" t="s">
        <v>209</v>
      </c>
      <c r="N20" s="5" t="s">
        <v>53</v>
      </c>
      <c r="O20" s="5" t="s">
        <v>210</v>
      </c>
      <c r="P20" s="5" t="s">
        <v>67</v>
      </c>
      <c r="Q20" s="5" t="s">
        <v>52</v>
      </c>
      <c r="R20" s="5" t="s">
        <v>55</v>
      </c>
      <c r="S20" s="1">
        <v>11</v>
      </c>
      <c r="T20" s="1">
        <v>49</v>
      </c>
      <c r="U20" s="1">
        <v>38</v>
      </c>
      <c r="Z20">
        <f t="shared" si="20"/>
        <v>18</v>
      </c>
      <c r="AA20">
        <f t="shared" si="12"/>
        <v>0</v>
      </c>
    </row>
    <row r="21" spans="1:27" x14ac:dyDescent="0.3">
      <c r="A21" s="41">
        <v>6</v>
      </c>
      <c r="B21" s="4"/>
      <c r="C21" s="6" t="s">
        <v>106</v>
      </c>
      <c r="D21" s="5"/>
      <c r="E21" s="5" t="s">
        <v>56</v>
      </c>
      <c r="F21" s="5" t="s">
        <v>47</v>
      </c>
      <c r="G21" s="5" t="s">
        <v>75</v>
      </c>
      <c r="H21" s="5" t="s">
        <v>73</v>
      </c>
      <c r="I21" s="5" t="s">
        <v>57</v>
      </c>
      <c r="J21" s="5" t="s">
        <v>63</v>
      </c>
      <c r="K21" s="5" t="s">
        <v>71</v>
      </c>
      <c r="L21" s="5" t="s">
        <v>60</v>
      </c>
      <c r="M21" s="5" t="s">
        <v>209</v>
      </c>
      <c r="N21" s="5" t="s">
        <v>53</v>
      </c>
      <c r="O21" s="5" t="s">
        <v>48</v>
      </c>
      <c r="P21" s="5" t="s">
        <v>67</v>
      </c>
      <c r="Q21" s="5" t="s">
        <v>52</v>
      </c>
      <c r="R21" s="5" t="s">
        <v>55</v>
      </c>
      <c r="S21" s="1">
        <v>11</v>
      </c>
      <c r="T21" s="1">
        <v>56</v>
      </c>
      <c r="U21" s="1">
        <v>42</v>
      </c>
      <c r="Z21">
        <f t="shared" si="20"/>
        <v>19</v>
      </c>
      <c r="AA21">
        <f t="shared" si="12"/>
        <v>0</v>
      </c>
    </row>
    <row r="22" spans="1:27" ht="43.2" x14ac:dyDescent="0.3">
      <c r="A22" s="41">
        <v>7</v>
      </c>
      <c r="B22" s="4"/>
      <c r="C22" s="6" t="s">
        <v>188</v>
      </c>
      <c r="D22" s="5"/>
      <c r="E22" s="5" t="s">
        <v>51</v>
      </c>
      <c r="F22" s="5" t="s">
        <v>69</v>
      </c>
      <c r="G22" s="5" t="s">
        <v>75</v>
      </c>
      <c r="H22" s="5" t="s">
        <v>73</v>
      </c>
      <c r="I22" s="5" t="s">
        <v>57</v>
      </c>
      <c r="J22" s="5" t="s">
        <v>63</v>
      </c>
      <c r="K22" s="5" t="s">
        <v>207</v>
      </c>
      <c r="L22" s="5" t="s">
        <v>60</v>
      </c>
      <c r="M22" s="5" t="s">
        <v>209</v>
      </c>
      <c r="N22" s="5" t="s">
        <v>53</v>
      </c>
      <c r="O22" s="5" t="s">
        <v>210</v>
      </c>
      <c r="P22" s="5" t="s">
        <v>67</v>
      </c>
      <c r="Q22" s="5" t="s">
        <v>52</v>
      </c>
      <c r="R22" s="5" t="s">
        <v>55</v>
      </c>
      <c r="S22" s="1">
        <v>11</v>
      </c>
      <c r="T22" s="1">
        <v>45</v>
      </c>
      <c r="U22" s="1">
        <v>42</v>
      </c>
      <c r="Z22">
        <f t="shared" si="20"/>
        <v>20</v>
      </c>
      <c r="AA22">
        <f t="shared" si="12"/>
        <v>1</v>
      </c>
    </row>
    <row r="23" spans="1:27" ht="28.8" x14ac:dyDescent="0.3">
      <c r="A23" s="41">
        <v>8</v>
      </c>
      <c r="B23" s="4"/>
      <c r="C23" s="6" t="s">
        <v>174</v>
      </c>
      <c r="D23" s="5"/>
      <c r="E23" s="5" t="s">
        <v>51</v>
      </c>
      <c r="F23" s="5" t="s">
        <v>69</v>
      </c>
      <c r="G23" s="5" t="s">
        <v>75</v>
      </c>
      <c r="H23" s="5" t="s">
        <v>61</v>
      </c>
      <c r="I23" s="5" t="s">
        <v>57</v>
      </c>
      <c r="J23" s="5" t="s">
        <v>63</v>
      </c>
      <c r="K23" s="5" t="s">
        <v>71</v>
      </c>
      <c r="L23" s="5" t="s">
        <v>60</v>
      </c>
      <c r="M23" s="5" t="s">
        <v>209</v>
      </c>
      <c r="N23" s="5" t="s">
        <v>53</v>
      </c>
      <c r="O23" s="5" t="s">
        <v>210</v>
      </c>
      <c r="P23" s="5" t="s">
        <v>67</v>
      </c>
      <c r="Q23" s="5" t="s">
        <v>52</v>
      </c>
      <c r="R23" s="5" t="s">
        <v>55</v>
      </c>
      <c r="S23" s="1">
        <v>11</v>
      </c>
      <c r="T23" s="1">
        <v>55</v>
      </c>
      <c r="U23" s="1">
        <v>45</v>
      </c>
      <c r="Z23">
        <f t="shared" si="20"/>
        <v>21</v>
      </c>
      <c r="AA23">
        <f t="shared" si="12"/>
        <v>2</v>
      </c>
    </row>
    <row r="24" spans="1:27" x14ac:dyDescent="0.3">
      <c r="A24" s="41">
        <v>9</v>
      </c>
      <c r="B24" s="4"/>
      <c r="C24" s="6" t="s">
        <v>190</v>
      </c>
      <c r="D24" s="5"/>
      <c r="E24" s="5" t="s">
        <v>51</v>
      </c>
      <c r="F24" s="5" t="s">
        <v>69</v>
      </c>
      <c r="G24" s="5" t="s">
        <v>75</v>
      </c>
      <c r="H24" s="5" t="s">
        <v>73</v>
      </c>
      <c r="I24" s="5" t="s">
        <v>54</v>
      </c>
      <c r="J24" s="5" t="s">
        <v>63</v>
      </c>
      <c r="K24" s="5" t="s">
        <v>71</v>
      </c>
      <c r="L24" s="5" t="s">
        <v>60</v>
      </c>
      <c r="M24" s="5" t="s">
        <v>66</v>
      </c>
      <c r="N24" s="5" t="s">
        <v>53</v>
      </c>
      <c r="O24" s="5" t="s">
        <v>210</v>
      </c>
      <c r="P24" s="5" t="s">
        <v>67</v>
      </c>
      <c r="Q24" s="5" t="s">
        <v>52</v>
      </c>
      <c r="R24" s="5" t="s">
        <v>65</v>
      </c>
      <c r="S24" s="1">
        <v>11</v>
      </c>
      <c r="T24" s="1">
        <v>54</v>
      </c>
      <c r="U24" s="1">
        <v>45</v>
      </c>
      <c r="Z24">
        <f t="shared" si="20"/>
        <v>22</v>
      </c>
      <c r="AA24">
        <f t="shared" si="12"/>
        <v>0</v>
      </c>
    </row>
    <row r="25" spans="1:27" x14ac:dyDescent="0.3">
      <c r="A25" s="41">
        <v>10</v>
      </c>
      <c r="B25" s="4"/>
      <c r="C25" s="6" t="s">
        <v>131</v>
      </c>
      <c r="D25" s="5"/>
      <c r="E25" s="5" t="s">
        <v>56</v>
      </c>
      <c r="F25" s="5" t="s">
        <v>69</v>
      </c>
      <c r="G25" s="5" t="s">
        <v>75</v>
      </c>
      <c r="H25" s="5" t="s">
        <v>73</v>
      </c>
      <c r="I25" s="5" t="s">
        <v>57</v>
      </c>
      <c r="J25" s="5" t="s">
        <v>63</v>
      </c>
      <c r="K25" s="5" t="s">
        <v>71</v>
      </c>
      <c r="L25" s="5" t="s">
        <v>72</v>
      </c>
      <c r="M25" s="5" t="s">
        <v>66</v>
      </c>
      <c r="N25" s="5" t="s">
        <v>53</v>
      </c>
      <c r="O25" s="5" t="s">
        <v>210</v>
      </c>
      <c r="P25" s="5" t="s">
        <v>67</v>
      </c>
      <c r="Q25" s="5" t="s">
        <v>52</v>
      </c>
      <c r="R25" s="5" t="s">
        <v>55</v>
      </c>
      <c r="S25" s="1">
        <v>11</v>
      </c>
      <c r="T25" s="1">
        <v>41</v>
      </c>
      <c r="U25" s="1">
        <v>45</v>
      </c>
      <c r="Z25">
        <f t="shared" si="20"/>
        <v>23</v>
      </c>
      <c r="AA25">
        <f t="shared" si="12"/>
        <v>0</v>
      </c>
    </row>
    <row r="26" spans="1:27" ht="28.8" x14ac:dyDescent="0.3">
      <c r="A26" s="41">
        <v>11</v>
      </c>
      <c r="B26" s="4"/>
      <c r="C26" s="6" t="s">
        <v>108</v>
      </c>
      <c r="D26" s="5"/>
      <c r="E26" s="5" t="s">
        <v>51</v>
      </c>
      <c r="F26" s="5" t="s">
        <v>69</v>
      </c>
      <c r="G26" s="5" t="s">
        <v>75</v>
      </c>
      <c r="H26" s="5" t="s">
        <v>73</v>
      </c>
      <c r="I26" s="5" t="s">
        <v>54</v>
      </c>
      <c r="J26" s="5" t="s">
        <v>63</v>
      </c>
      <c r="K26" s="5" t="s">
        <v>71</v>
      </c>
      <c r="L26" s="5" t="s">
        <v>60</v>
      </c>
      <c r="M26" s="5" t="s">
        <v>209</v>
      </c>
      <c r="N26" s="5" t="s">
        <v>53</v>
      </c>
      <c r="O26" s="5" t="s">
        <v>210</v>
      </c>
      <c r="P26" s="5" t="s">
        <v>67</v>
      </c>
      <c r="Q26" s="5" t="s">
        <v>52</v>
      </c>
      <c r="R26" s="5" t="s">
        <v>55</v>
      </c>
      <c r="S26" s="1">
        <v>11</v>
      </c>
      <c r="T26" s="1">
        <v>53</v>
      </c>
      <c r="U26" s="1">
        <v>46</v>
      </c>
      <c r="Z26">
        <f t="shared" si="20"/>
        <v>24</v>
      </c>
      <c r="AA26">
        <f t="shared" si="12"/>
        <v>0</v>
      </c>
    </row>
    <row r="27" spans="1:27" x14ac:dyDescent="0.3">
      <c r="A27" s="41">
        <v>12</v>
      </c>
      <c r="B27" s="4"/>
      <c r="C27" s="6" t="s">
        <v>180</v>
      </c>
      <c r="D27" s="5"/>
      <c r="E27" s="5" t="s">
        <v>51</v>
      </c>
      <c r="F27" s="5" t="s">
        <v>47</v>
      </c>
      <c r="G27" s="5" t="s">
        <v>75</v>
      </c>
      <c r="H27" s="5" t="s">
        <v>73</v>
      </c>
      <c r="I27" s="5" t="s">
        <v>57</v>
      </c>
      <c r="J27" s="5" t="s">
        <v>63</v>
      </c>
      <c r="K27" s="5" t="s">
        <v>71</v>
      </c>
      <c r="L27" s="5" t="s">
        <v>60</v>
      </c>
      <c r="M27" s="5" t="s">
        <v>209</v>
      </c>
      <c r="N27" s="5" t="s">
        <v>53</v>
      </c>
      <c r="O27" s="5" t="s">
        <v>48</v>
      </c>
      <c r="P27" s="5" t="s">
        <v>74</v>
      </c>
      <c r="Q27" s="5" t="s">
        <v>52</v>
      </c>
      <c r="R27" s="5" t="s">
        <v>55</v>
      </c>
      <c r="S27" s="1">
        <v>11</v>
      </c>
      <c r="T27" s="1">
        <v>53</v>
      </c>
      <c r="U27" s="1">
        <v>48</v>
      </c>
      <c r="Z27">
        <f t="shared" si="20"/>
        <v>25</v>
      </c>
      <c r="AA27">
        <f t="shared" si="12"/>
        <v>0</v>
      </c>
    </row>
    <row r="28" spans="1:27" ht="28.8" x14ac:dyDescent="0.3">
      <c r="A28" s="41">
        <v>13</v>
      </c>
      <c r="B28" s="4"/>
      <c r="C28" s="6" t="s">
        <v>198</v>
      </c>
      <c r="D28" s="5"/>
      <c r="E28" s="5" t="s">
        <v>51</v>
      </c>
      <c r="F28" s="5" t="s">
        <v>47</v>
      </c>
      <c r="G28" s="5" t="s">
        <v>75</v>
      </c>
      <c r="H28" s="5" t="s">
        <v>61</v>
      </c>
      <c r="I28" s="5" t="s">
        <v>54</v>
      </c>
      <c r="J28" s="5" t="s">
        <v>63</v>
      </c>
      <c r="K28" s="5" t="s">
        <v>71</v>
      </c>
      <c r="L28" s="5" t="s">
        <v>60</v>
      </c>
      <c r="M28" s="5" t="s">
        <v>209</v>
      </c>
      <c r="N28" s="5" t="s">
        <v>53</v>
      </c>
      <c r="O28" s="5" t="s">
        <v>210</v>
      </c>
      <c r="P28" s="5" t="s">
        <v>67</v>
      </c>
      <c r="Q28" s="5" t="s">
        <v>52</v>
      </c>
      <c r="R28" s="5" t="s">
        <v>65</v>
      </c>
      <c r="S28" s="1">
        <v>10</v>
      </c>
      <c r="T28" s="1">
        <v>50</v>
      </c>
      <c r="U28" s="1">
        <v>32</v>
      </c>
      <c r="Z28">
        <f t="shared" si="20"/>
        <v>26</v>
      </c>
      <c r="AA28">
        <f t="shared" si="12"/>
        <v>0</v>
      </c>
    </row>
    <row r="29" spans="1:27" x14ac:dyDescent="0.3">
      <c r="A29" s="41">
        <v>14</v>
      </c>
      <c r="B29" s="4"/>
      <c r="C29" s="6" t="s">
        <v>40</v>
      </c>
      <c r="D29" s="5"/>
      <c r="E29" s="5" t="s">
        <v>51</v>
      </c>
      <c r="F29" s="5" t="s">
        <v>69</v>
      </c>
      <c r="G29" s="5" t="s">
        <v>75</v>
      </c>
      <c r="H29" s="5" t="s">
        <v>73</v>
      </c>
      <c r="I29" s="5" t="s">
        <v>57</v>
      </c>
      <c r="J29" s="5" t="s">
        <v>63</v>
      </c>
      <c r="K29" s="5" t="s">
        <v>71</v>
      </c>
      <c r="L29" s="5" t="s">
        <v>60</v>
      </c>
      <c r="M29" s="5" t="s">
        <v>209</v>
      </c>
      <c r="N29" s="5" t="s">
        <v>53</v>
      </c>
      <c r="O29" s="5" t="s">
        <v>48</v>
      </c>
      <c r="P29" s="5" t="s">
        <v>74</v>
      </c>
      <c r="Q29" s="5" t="s">
        <v>52</v>
      </c>
      <c r="R29" s="5" t="s">
        <v>55</v>
      </c>
      <c r="S29" s="1">
        <v>10</v>
      </c>
      <c r="T29" s="1">
        <v>56</v>
      </c>
      <c r="U29" s="1">
        <v>34</v>
      </c>
      <c r="Z29">
        <f t="shared" si="20"/>
        <v>27</v>
      </c>
      <c r="AA29">
        <f t="shared" si="12"/>
        <v>0</v>
      </c>
    </row>
    <row r="30" spans="1:27" x14ac:dyDescent="0.3">
      <c r="A30" s="41">
        <v>15</v>
      </c>
      <c r="B30" s="4"/>
      <c r="C30" s="6" t="s">
        <v>129</v>
      </c>
      <c r="D30" s="5"/>
      <c r="E30" s="5" t="s">
        <v>56</v>
      </c>
      <c r="F30" s="5" t="s">
        <v>47</v>
      </c>
      <c r="G30" s="5" t="s">
        <v>75</v>
      </c>
      <c r="H30" s="5" t="s">
        <v>73</v>
      </c>
      <c r="I30" s="5" t="s">
        <v>54</v>
      </c>
      <c r="J30" s="5" t="s">
        <v>63</v>
      </c>
      <c r="K30" s="5" t="s">
        <v>71</v>
      </c>
      <c r="L30" s="5" t="s">
        <v>60</v>
      </c>
      <c r="M30" s="5" t="s">
        <v>209</v>
      </c>
      <c r="N30" s="5" t="s">
        <v>53</v>
      </c>
      <c r="O30" s="5" t="s">
        <v>210</v>
      </c>
      <c r="P30" s="5" t="s">
        <v>74</v>
      </c>
      <c r="Q30" s="5" t="s">
        <v>52</v>
      </c>
      <c r="R30" s="5" t="s">
        <v>55</v>
      </c>
      <c r="S30" s="1">
        <v>10</v>
      </c>
      <c r="T30" s="1">
        <v>55</v>
      </c>
      <c r="U30" s="1">
        <v>35</v>
      </c>
      <c r="Z30">
        <f t="shared" si="20"/>
        <v>28</v>
      </c>
      <c r="AA30">
        <f t="shared" si="12"/>
        <v>1</v>
      </c>
    </row>
    <row r="31" spans="1:27" x14ac:dyDescent="0.3">
      <c r="A31" s="41">
        <v>16</v>
      </c>
      <c r="B31" s="4"/>
      <c r="C31" s="6" t="s">
        <v>100</v>
      </c>
      <c r="D31" s="5"/>
      <c r="E31" s="5" t="s">
        <v>56</v>
      </c>
      <c r="F31" s="5" t="s">
        <v>47</v>
      </c>
      <c r="G31" s="5" t="s">
        <v>75</v>
      </c>
      <c r="H31" s="5" t="s">
        <v>73</v>
      </c>
      <c r="I31" s="5" t="s">
        <v>54</v>
      </c>
      <c r="J31" s="5" t="s">
        <v>63</v>
      </c>
      <c r="K31" s="5" t="s">
        <v>207</v>
      </c>
      <c r="L31" s="5" t="s">
        <v>60</v>
      </c>
      <c r="M31" s="5" t="s">
        <v>209</v>
      </c>
      <c r="N31" s="5" t="s">
        <v>53</v>
      </c>
      <c r="O31" s="5" t="s">
        <v>210</v>
      </c>
      <c r="P31" s="5" t="s">
        <v>67</v>
      </c>
      <c r="Q31" s="5" t="s">
        <v>52</v>
      </c>
      <c r="R31" s="5" t="s">
        <v>55</v>
      </c>
      <c r="S31" s="1">
        <v>10</v>
      </c>
      <c r="T31" s="1">
        <v>55</v>
      </c>
      <c r="U31" s="1">
        <v>38</v>
      </c>
      <c r="Z31">
        <f t="shared" si="20"/>
        <v>29</v>
      </c>
      <c r="AA31">
        <f t="shared" si="12"/>
        <v>0</v>
      </c>
    </row>
    <row r="32" spans="1:27" ht="28.8" x14ac:dyDescent="0.3">
      <c r="A32" s="41">
        <v>17</v>
      </c>
      <c r="B32" s="4"/>
      <c r="C32" s="6" t="s">
        <v>27</v>
      </c>
      <c r="D32" s="5"/>
      <c r="E32" s="5" t="s">
        <v>56</v>
      </c>
      <c r="F32" s="5" t="s">
        <v>47</v>
      </c>
      <c r="G32" s="5" t="s">
        <v>75</v>
      </c>
      <c r="H32" s="5" t="s">
        <v>73</v>
      </c>
      <c r="I32" s="5" t="s">
        <v>54</v>
      </c>
      <c r="J32" s="5" t="s">
        <v>63</v>
      </c>
      <c r="K32" s="5" t="s">
        <v>71</v>
      </c>
      <c r="L32" s="5" t="s">
        <v>60</v>
      </c>
      <c r="M32" s="5" t="s">
        <v>209</v>
      </c>
      <c r="N32" s="5" t="s">
        <v>53</v>
      </c>
      <c r="O32" s="5" t="s">
        <v>210</v>
      </c>
      <c r="P32" s="5" t="s">
        <v>74</v>
      </c>
      <c r="Q32" s="5" t="s">
        <v>52</v>
      </c>
      <c r="R32" s="5" t="s">
        <v>55</v>
      </c>
      <c r="S32" s="1">
        <v>10</v>
      </c>
      <c r="T32" s="1">
        <v>59</v>
      </c>
      <c r="U32" s="1">
        <v>40</v>
      </c>
      <c r="Z32">
        <f t="shared" si="20"/>
        <v>30</v>
      </c>
      <c r="AA32">
        <f t="shared" si="12"/>
        <v>0</v>
      </c>
    </row>
    <row r="33" spans="1:27" ht="28.8" x14ac:dyDescent="0.3">
      <c r="A33" s="41">
        <v>18</v>
      </c>
      <c r="B33" s="4"/>
      <c r="C33" s="6" t="s">
        <v>22</v>
      </c>
      <c r="D33" s="5"/>
      <c r="E33" s="5" t="s">
        <v>51</v>
      </c>
      <c r="F33" s="5" t="s">
        <v>69</v>
      </c>
      <c r="G33" s="5" t="s">
        <v>75</v>
      </c>
      <c r="H33" s="5" t="s">
        <v>73</v>
      </c>
      <c r="I33" s="5" t="s">
        <v>54</v>
      </c>
      <c r="J33" s="5" t="s">
        <v>208</v>
      </c>
      <c r="K33" s="5" t="s">
        <v>71</v>
      </c>
      <c r="L33" s="5" t="s">
        <v>60</v>
      </c>
      <c r="M33" s="5" t="s">
        <v>209</v>
      </c>
      <c r="N33" s="5" t="s">
        <v>53</v>
      </c>
      <c r="O33" s="5" t="s">
        <v>210</v>
      </c>
      <c r="P33" s="5" t="s">
        <v>67</v>
      </c>
      <c r="Q33" s="5" t="s">
        <v>52</v>
      </c>
      <c r="R33" s="5" t="s">
        <v>55</v>
      </c>
      <c r="S33" s="1">
        <v>10</v>
      </c>
      <c r="T33" s="1">
        <v>57</v>
      </c>
      <c r="U33" s="1">
        <v>41</v>
      </c>
      <c r="Z33">
        <f t="shared" si="20"/>
        <v>31</v>
      </c>
      <c r="AA33">
        <f t="shared" si="12"/>
        <v>3</v>
      </c>
    </row>
    <row r="34" spans="1:27" ht="28.8" x14ac:dyDescent="0.3">
      <c r="A34" s="41">
        <v>19</v>
      </c>
      <c r="B34" s="4"/>
      <c r="C34" s="6" t="s">
        <v>15</v>
      </c>
      <c r="D34" s="5"/>
      <c r="E34" s="5" t="s">
        <v>56</v>
      </c>
      <c r="F34" s="5" t="s">
        <v>69</v>
      </c>
      <c r="G34" s="5" t="s">
        <v>75</v>
      </c>
      <c r="H34" s="5" t="s">
        <v>73</v>
      </c>
      <c r="I34" s="5" t="s">
        <v>57</v>
      </c>
      <c r="J34" s="5" t="s">
        <v>63</v>
      </c>
      <c r="K34" s="5" t="s">
        <v>71</v>
      </c>
      <c r="L34" s="5" t="s">
        <v>60</v>
      </c>
      <c r="M34" s="5" t="s">
        <v>209</v>
      </c>
      <c r="N34" s="5" t="s">
        <v>53</v>
      </c>
      <c r="O34" s="5" t="s">
        <v>210</v>
      </c>
      <c r="P34" s="5" t="s">
        <v>67</v>
      </c>
      <c r="Q34" s="5" t="s">
        <v>59</v>
      </c>
      <c r="R34" s="5" t="s">
        <v>55</v>
      </c>
      <c r="S34" s="1">
        <v>10</v>
      </c>
      <c r="T34" s="1">
        <v>48</v>
      </c>
      <c r="U34" s="1">
        <v>41</v>
      </c>
      <c r="Z34">
        <f t="shared" si="20"/>
        <v>32</v>
      </c>
      <c r="AA34">
        <f t="shared" si="12"/>
        <v>1</v>
      </c>
    </row>
    <row r="35" spans="1:27" x14ac:dyDescent="0.3">
      <c r="A35" s="41">
        <v>20</v>
      </c>
      <c r="B35" s="4"/>
      <c r="C35" s="6" t="s">
        <v>105</v>
      </c>
      <c r="D35" s="5"/>
      <c r="E35" s="5" t="s">
        <v>51</v>
      </c>
      <c r="F35" s="5" t="s">
        <v>47</v>
      </c>
      <c r="G35" s="5" t="s">
        <v>62</v>
      </c>
      <c r="H35" s="5" t="s">
        <v>73</v>
      </c>
      <c r="I35" s="5" t="s">
        <v>54</v>
      </c>
      <c r="J35" s="5" t="s">
        <v>63</v>
      </c>
      <c r="K35" s="5" t="s">
        <v>71</v>
      </c>
      <c r="L35" s="5" t="s">
        <v>60</v>
      </c>
      <c r="M35" s="5" t="s">
        <v>209</v>
      </c>
      <c r="N35" s="5" t="s">
        <v>53</v>
      </c>
      <c r="O35" s="5" t="s">
        <v>210</v>
      </c>
      <c r="P35" s="5" t="s">
        <v>67</v>
      </c>
      <c r="Q35" s="5" t="s">
        <v>52</v>
      </c>
      <c r="R35" s="5" t="s">
        <v>65</v>
      </c>
      <c r="S35" s="1">
        <v>10</v>
      </c>
      <c r="T35" s="1">
        <v>52</v>
      </c>
      <c r="U35" s="1">
        <v>42</v>
      </c>
      <c r="Z35">
        <f t="shared" si="20"/>
        <v>33</v>
      </c>
      <c r="AA35">
        <f t="shared" si="12"/>
        <v>0</v>
      </c>
    </row>
    <row r="36" spans="1:27" x14ac:dyDescent="0.3">
      <c r="A36" s="41">
        <v>21</v>
      </c>
      <c r="B36" s="4"/>
      <c r="C36" s="6" t="s">
        <v>31</v>
      </c>
      <c r="D36" s="5"/>
      <c r="E36" s="5" t="s">
        <v>56</v>
      </c>
      <c r="F36" s="5" t="s">
        <v>47</v>
      </c>
      <c r="G36" s="5" t="s">
        <v>75</v>
      </c>
      <c r="H36" s="5" t="s">
        <v>73</v>
      </c>
      <c r="I36" s="5" t="s">
        <v>57</v>
      </c>
      <c r="J36" s="5" t="s">
        <v>63</v>
      </c>
      <c r="K36" s="5" t="s">
        <v>71</v>
      </c>
      <c r="L36" s="5" t="s">
        <v>60</v>
      </c>
      <c r="M36" s="5" t="s">
        <v>209</v>
      </c>
      <c r="N36" s="5" t="s">
        <v>53</v>
      </c>
      <c r="O36" s="5" t="s">
        <v>210</v>
      </c>
      <c r="P36" s="5" t="s">
        <v>74</v>
      </c>
      <c r="Q36" s="5" t="s">
        <v>52</v>
      </c>
      <c r="R36" s="5" t="s">
        <v>65</v>
      </c>
      <c r="S36" s="1">
        <v>10</v>
      </c>
      <c r="T36" s="1">
        <v>48</v>
      </c>
      <c r="U36" s="1">
        <v>42</v>
      </c>
      <c r="Z36">
        <f t="shared" si="20"/>
        <v>34</v>
      </c>
      <c r="AA36">
        <f t="shared" si="12"/>
        <v>4</v>
      </c>
    </row>
    <row r="37" spans="1:27" x14ac:dyDescent="0.3">
      <c r="A37" s="41">
        <v>22</v>
      </c>
      <c r="B37" s="4"/>
      <c r="C37" s="6" t="s">
        <v>110</v>
      </c>
      <c r="D37" s="5"/>
      <c r="E37" s="5" t="s">
        <v>56</v>
      </c>
      <c r="F37" s="5" t="s">
        <v>69</v>
      </c>
      <c r="G37" s="5" t="s">
        <v>75</v>
      </c>
      <c r="H37" s="5" t="s">
        <v>73</v>
      </c>
      <c r="I37" s="5" t="s">
        <v>57</v>
      </c>
      <c r="J37" s="5" t="s">
        <v>63</v>
      </c>
      <c r="K37" s="5" t="s">
        <v>71</v>
      </c>
      <c r="L37" s="5" t="s">
        <v>60</v>
      </c>
      <c r="M37" s="5" t="s">
        <v>66</v>
      </c>
      <c r="N37" s="5" t="s">
        <v>53</v>
      </c>
      <c r="O37" s="5" t="s">
        <v>210</v>
      </c>
      <c r="P37" s="5" t="s">
        <v>74</v>
      </c>
      <c r="Q37" s="5" t="s">
        <v>52</v>
      </c>
      <c r="R37" s="5" t="s">
        <v>65</v>
      </c>
      <c r="S37" s="1">
        <v>10</v>
      </c>
      <c r="T37" s="1">
        <v>55</v>
      </c>
      <c r="U37" s="1">
        <v>42</v>
      </c>
      <c r="Z37">
        <f t="shared" si="20"/>
        <v>35</v>
      </c>
      <c r="AA37">
        <f t="shared" si="12"/>
        <v>6</v>
      </c>
    </row>
    <row r="38" spans="1:27" x14ac:dyDescent="0.3">
      <c r="A38" s="41">
        <v>23</v>
      </c>
      <c r="B38" s="4"/>
      <c r="C38" s="6" t="s">
        <v>152</v>
      </c>
      <c r="D38" s="5"/>
      <c r="E38" s="5" t="s">
        <v>56</v>
      </c>
      <c r="F38" s="5" t="s">
        <v>69</v>
      </c>
      <c r="G38" s="5" t="s">
        <v>62</v>
      </c>
      <c r="H38" s="5" t="s">
        <v>73</v>
      </c>
      <c r="I38" s="5" t="s">
        <v>57</v>
      </c>
      <c r="J38" s="5" t="s">
        <v>63</v>
      </c>
      <c r="K38" s="5" t="s">
        <v>71</v>
      </c>
      <c r="L38" s="5" t="s">
        <v>60</v>
      </c>
      <c r="M38" s="5" t="s">
        <v>209</v>
      </c>
      <c r="N38" s="5" t="s">
        <v>53</v>
      </c>
      <c r="O38" s="5" t="s">
        <v>210</v>
      </c>
      <c r="P38" s="5" t="s">
        <v>67</v>
      </c>
      <c r="Q38" s="5" t="s">
        <v>52</v>
      </c>
      <c r="R38" s="5" t="s">
        <v>55</v>
      </c>
      <c r="S38" s="1">
        <v>10</v>
      </c>
      <c r="T38" s="1">
        <v>58</v>
      </c>
      <c r="U38" s="1">
        <v>46</v>
      </c>
      <c r="Z38">
        <f t="shared" si="20"/>
        <v>36</v>
      </c>
      <c r="AA38">
        <f t="shared" si="12"/>
        <v>1</v>
      </c>
    </row>
    <row r="39" spans="1:27" x14ac:dyDescent="0.3">
      <c r="A39" s="41">
        <v>24</v>
      </c>
      <c r="B39" s="4"/>
      <c r="C39" s="6" t="s">
        <v>38</v>
      </c>
      <c r="D39" s="5"/>
      <c r="E39" s="5" t="s">
        <v>51</v>
      </c>
      <c r="F39" s="5" t="s">
        <v>47</v>
      </c>
      <c r="G39" s="5" t="s">
        <v>75</v>
      </c>
      <c r="H39" s="5" t="s">
        <v>61</v>
      </c>
      <c r="I39" s="5" t="s">
        <v>57</v>
      </c>
      <c r="J39" s="5" t="s">
        <v>208</v>
      </c>
      <c r="K39" s="5" t="s">
        <v>71</v>
      </c>
      <c r="L39" s="5" t="s">
        <v>60</v>
      </c>
      <c r="M39" s="5" t="s">
        <v>209</v>
      </c>
      <c r="N39" s="5" t="s">
        <v>53</v>
      </c>
      <c r="O39" s="5" t="s">
        <v>210</v>
      </c>
      <c r="P39" s="5" t="s">
        <v>74</v>
      </c>
      <c r="Q39" s="5" t="s">
        <v>52</v>
      </c>
      <c r="R39" s="5" t="s">
        <v>55</v>
      </c>
      <c r="S39" s="1">
        <v>10</v>
      </c>
      <c r="T39" s="1">
        <v>55</v>
      </c>
      <c r="U39" s="1">
        <v>47</v>
      </c>
      <c r="Z39">
        <f t="shared" si="20"/>
        <v>37</v>
      </c>
      <c r="AA39">
        <f t="shared" si="12"/>
        <v>3</v>
      </c>
    </row>
    <row r="40" spans="1:27" ht="28.8" x14ac:dyDescent="0.3">
      <c r="A40" s="41">
        <v>25</v>
      </c>
      <c r="B40" s="4"/>
      <c r="C40" s="6" t="s">
        <v>163</v>
      </c>
      <c r="D40" s="5"/>
      <c r="E40" s="5" t="s">
        <v>51</v>
      </c>
      <c r="F40" s="5" t="s">
        <v>47</v>
      </c>
      <c r="G40" s="5" t="s">
        <v>75</v>
      </c>
      <c r="H40" s="5" t="s">
        <v>73</v>
      </c>
      <c r="I40" s="5" t="s">
        <v>57</v>
      </c>
      <c r="J40" s="5" t="s">
        <v>208</v>
      </c>
      <c r="K40" s="5" t="s">
        <v>71</v>
      </c>
      <c r="L40" s="5" t="s">
        <v>60</v>
      </c>
      <c r="M40" s="5" t="s">
        <v>209</v>
      </c>
      <c r="N40" s="5" t="s">
        <v>53</v>
      </c>
      <c r="O40" s="5" t="s">
        <v>210</v>
      </c>
      <c r="P40" s="5" t="s">
        <v>74</v>
      </c>
      <c r="Q40" s="5" t="s">
        <v>59</v>
      </c>
      <c r="R40" s="5" t="s">
        <v>55</v>
      </c>
      <c r="S40" s="1">
        <v>10</v>
      </c>
      <c r="T40" s="1">
        <v>52</v>
      </c>
      <c r="U40" s="1">
        <v>47</v>
      </c>
      <c r="Z40">
        <f t="shared" si="20"/>
        <v>38</v>
      </c>
      <c r="AA40">
        <f t="shared" si="12"/>
        <v>5</v>
      </c>
    </row>
    <row r="41" spans="1:27" x14ac:dyDescent="0.3">
      <c r="A41" s="41">
        <v>26</v>
      </c>
      <c r="B41" s="4"/>
      <c r="C41" s="6" t="s">
        <v>119</v>
      </c>
      <c r="D41" s="5"/>
      <c r="E41" s="5" t="s">
        <v>51</v>
      </c>
      <c r="F41" s="5" t="s">
        <v>69</v>
      </c>
      <c r="G41" s="5" t="s">
        <v>75</v>
      </c>
      <c r="H41" s="5" t="s">
        <v>73</v>
      </c>
      <c r="I41" s="5" t="s">
        <v>57</v>
      </c>
      <c r="J41" s="5" t="s">
        <v>63</v>
      </c>
      <c r="K41" s="5" t="s">
        <v>71</v>
      </c>
      <c r="L41" s="5" t="s">
        <v>72</v>
      </c>
      <c r="M41" s="5" t="s">
        <v>209</v>
      </c>
      <c r="N41" s="5" t="s">
        <v>53</v>
      </c>
      <c r="O41" s="5" t="s">
        <v>210</v>
      </c>
      <c r="P41" s="5" t="s">
        <v>67</v>
      </c>
      <c r="Q41" s="5" t="s">
        <v>52</v>
      </c>
      <c r="R41" s="5" t="s">
        <v>65</v>
      </c>
      <c r="S41" s="1">
        <v>10</v>
      </c>
      <c r="T41" s="1">
        <v>56</v>
      </c>
      <c r="U41" s="1">
        <v>51</v>
      </c>
      <c r="Z41">
        <f t="shared" si="20"/>
        <v>39</v>
      </c>
      <c r="AA41">
        <f t="shared" si="12"/>
        <v>3</v>
      </c>
    </row>
    <row r="42" spans="1:27" ht="28.8" x14ac:dyDescent="0.3">
      <c r="A42" s="41">
        <v>27</v>
      </c>
      <c r="B42" s="4"/>
      <c r="C42" s="6" t="s">
        <v>179</v>
      </c>
      <c r="D42" s="5"/>
      <c r="E42" s="5" t="s">
        <v>51</v>
      </c>
      <c r="F42" s="5" t="s">
        <v>69</v>
      </c>
      <c r="G42" s="5" t="s">
        <v>62</v>
      </c>
      <c r="H42" s="5" t="s">
        <v>73</v>
      </c>
      <c r="I42" s="5" t="s">
        <v>54</v>
      </c>
      <c r="J42" s="5" t="s">
        <v>63</v>
      </c>
      <c r="K42" s="5" t="s">
        <v>71</v>
      </c>
      <c r="L42" s="5" t="s">
        <v>60</v>
      </c>
      <c r="M42" s="5" t="s">
        <v>66</v>
      </c>
      <c r="N42" s="5" t="s">
        <v>68</v>
      </c>
      <c r="O42" s="5" t="s">
        <v>210</v>
      </c>
      <c r="P42" s="5" t="s">
        <v>67</v>
      </c>
      <c r="Q42" s="5" t="s">
        <v>52</v>
      </c>
      <c r="R42" s="5" t="s">
        <v>55</v>
      </c>
      <c r="S42" s="1">
        <v>10</v>
      </c>
      <c r="T42" s="1">
        <v>49</v>
      </c>
      <c r="U42" s="1">
        <v>55</v>
      </c>
      <c r="Z42">
        <f t="shared" si="20"/>
        <v>40</v>
      </c>
      <c r="AA42">
        <f t="shared" si="12"/>
        <v>7</v>
      </c>
    </row>
    <row r="43" spans="1:27" ht="28.8" x14ac:dyDescent="0.3">
      <c r="A43" s="41">
        <v>28</v>
      </c>
      <c r="B43" s="4"/>
      <c r="C43" s="6" t="s">
        <v>123</v>
      </c>
      <c r="D43" s="5"/>
      <c r="E43" s="5" t="s">
        <v>51</v>
      </c>
      <c r="F43" s="5" t="s">
        <v>69</v>
      </c>
      <c r="G43" s="5" t="s">
        <v>75</v>
      </c>
      <c r="H43" s="5" t="s">
        <v>61</v>
      </c>
      <c r="I43" s="5" t="s">
        <v>54</v>
      </c>
      <c r="J43" s="5" t="s">
        <v>63</v>
      </c>
      <c r="K43" s="5" t="s">
        <v>71</v>
      </c>
      <c r="L43" s="5" t="s">
        <v>60</v>
      </c>
      <c r="M43" s="5" t="s">
        <v>66</v>
      </c>
      <c r="N43" s="5" t="s">
        <v>53</v>
      </c>
      <c r="O43" s="5" t="s">
        <v>210</v>
      </c>
      <c r="P43" s="5" t="s">
        <v>67</v>
      </c>
      <c r="Q43" s="5" t="s">
        <v>52</v>
      </c>
      <c r="R43" s="5" t="s">
        <v>65</v>
      </c>
      <c r="S43" s="1">
        <v>10</v>
      </c>
      <c r="T43" s="1">
        <v>54</v>
      </c>
      <c r="U43" s="1">
        <v>57</v>
      </c>
      <c r="Z43">
        <f t="shared" si="20"/>
        <v>41</v>
      </c>
      <c r="AA43">
        <f t="shared" si="12"/>
        <v>4</v>
      </c>
    </row>
    <row r="44" spans="1:27" x14ac:dyDescent="0.3">
      <c r="A44" s="41">
        <v>29</v>
      </c>
      <c r="B44" s="4"/>
      <c r="C44" s="6" t="s">
        <v>126</v>
      </c>
      <c r="D44" s="5"/>
      <c r="E44" s="5" t="s">
        <v>56</v>
      </c>
      <c r="F44" s="5" t="s">
        <v>69</v>
      </c>
      <c r="G44" s="5" t="s">
        <v>75</v>
      </c>
      <c r="H44" s="5" t="s">
        <v>73</v>
      </c>
      <c r="I44" s="5" t="s">
        <v>57</v>
      </c>
      <c r="J44" s="5" t="s">
        <v>63</v>
      </c>
      <c r="K44" s="5" t="s">
        <v>71</v>
      </c>
      <c r="L44" s="5" t="s">
        <v>60</v>
      </c>
      <c r="M44" s="5" t="s">
        <v>66</v>
      </c>
      <c r="N44" s="5" t="s">
        <v>53</v>
      </c>
      <c r="O44" s="5" t="s">
        <v>48</v>
      </c>
      <c r="P44" s="5" t="s">
        <v>67</v>
      </c>
      <c r="Q44" s="5" t="s">
        <v>59</v>
      </c>
      <c r="R44" s="5" t="s">
        <v>55</v>
      </c>
      <c r="S44" s="1">
        <v>10</v>
      </c>
      <c r="T44" s="1">
        <v>52</v>
      </c>
      <c r="U44" s="1">
        <v>67</v>
      </c>
      <c r="Z44">
        <f t="shared" si="20"/>
        <v>42</v>
      </c>
      <c r="AA44">
        <f t="shared" si="12"/>
        <v>15</v>
      </c>
    </row>
    <row r="45" spans="1:27" x14ac:dyDescent="0.3">
      <c r="A45" s="41">
        <v>30</v>
      </c>
      <c r="B45" s="4"/>
      <c r="C45" s="6" t="s">
        <v>95</v>
      </c>
      <c r="D45" s="5"/>
      <c r="E45" s="5" t="s">
        <v>51</v>
      </c>
      <c r="F45" s="5" t="s">
        <v>69</v>
      </c>
      <c r="G45" s="5" t="s">
        <v>75</v>
      </c>
      <c r="H45" s="5" t="s">
        <v>73</v>
      </c>
      <c r="I45" s="5" t="s">
        <v>57</v>
      </c>
      <c r="J45" s="5" t="s">
        <v>63</v>
      </c>
      <c r="K45" s="5" t="s">
        <v>207</v>
      </c>
      <c r="L45" s="5" t="s">
        <v>60</v>
      </c>
      <c r="M45" s="5" t="s">
        <v>209</v>
      </c>
      <c r="N45" s="5" t="s">
        <v>53</v>
      </c>
      <c r="O45" s="5" t="s">
        <v>210</v>
      </c>
      <c r="P45" s="5" t="s">
        <v>67</v>
      </c>
      <c r="Q45" s="5" t="s">
        <v>59</v>
      </c>
      <c r="R45" s="5" t="s">
        <v>65</v>
      </c>
      <c r="S45" s="1">
        <v>9</v>
      </c>
      <c r="T45" s="1">
        <v>55</v>
      </c>
      <c r="U45" s="1">
        <v>31</v>
      </c>
      <c r="Z45">
        <f t="shared" si="20"/>
        <v>43</v>
      </c>
      <c r="AA45">
        <f t="shared" si="12"/>
        <v>12</v>
      </c>
    </row>
    <row r="46" spans="1:27" x14ac:dyDescent="0.3">
      <c r="A46" s="41">
        <v>31</v>
      </c>
      <c r="B46" s="4"/>
      <c r="C46" s="6" t="s">
        <v>35</v>
      </c>
      <c r="D46" s="5"/>
      <c r="E46" s="5" t="s">
        <v>56</v>
      </c>
      <c r="F46" s="5" t="s">
        <v>69</v>
      </c>
      <c r="G46" s="5" t="s">
        <v>75</v>
      </c>
      <c r="H46" s="5" t="s">
        <v>73</v>
      </c>
      <c r="I46" s="5" t="s">
        <v>57</v>
      </c>
      <c r="J46" s="5" t="s">
        <v>208</v>
      </c>
      <c r="K46" s="5" t="s">
        <v>207</v>
      </c>
      <c r="L46" s="5" t="s">
        <v>60</v>
      </c>
      <c r="M46" s="5" t="s">
        <v>66</v>
      </c>
      <c r="N46" s="5" t="s">
        <v>53</v>
      </c>
      <c r="O46" s="5" t="s">
        <v>210</v>
      </c>
      <c r="P46" s="5" t="s">
        <v>74</v>
      </c>
      <c r="Q46" s="5" t="s">
        <v>52</v>
      </c>
      <c r="R46" s="5" t="s">
        <v>55</v>
      </c>
      <c r="S46" s="1">
        <v>9</v>
      </c>
      <c r="T46" s="1">
        <v>49</v>
      </c>
      <c r="U46" s="1">
        <v>34</v>
      </c>
      <c r="Z46">
        <f t="shared" si="20"/>
        <v>44</v>
      </c>
      <c r="AA46">
        <f t="shared" si="12"/>
        <v>20</v>
      </c>
    </row>
    <row r="47" spans="1:27" ht="28.8" x14ac:dyDescent="0.3">
      <c r="A47" s="41">
        <v>32</v>
      </c>
      <c r="B47" s="4"/>
      <c r="C47" s="6" t="s">
        <v>134</v>
      </c>
      <c r="D47" s="5"/>
      <c r="E47" s="5" t="s">
        <v>56</v>
      </c>
      <c r="F47" s="5" t="s">
        <v>69</v>
      </c>
      <c r="G47" s="5" t="s">
        <v>62</v>
      </c>
      <c r="H47" s="5" t="s">
        <v>61</v>
      </c>
      <c r="I47" s="5" t="s">
        <v>57</v>
      </c>
      <c r="J47" s="5" t="s">
        <v>63</v>
      </c>
      <c r="K47" s="5" t="s">
        <v>71</v>
      </c>
      <c r="L47" s="5" t="s">
        <v>72</v>
      </c>
      <c r="M47" s="5" t="s">
        <v>66</v>
      </c>
      <c r="N47" s="5" t="s">
        <v>53</v>
      </c>
      <c r="O47" s="5" t="s">
        <v>210</v>
      </c>
      <c r="P47" s="5" t="s">
        <v>67</v>
      </c>
      <c r="Q47" s="5" t="s">
        <v>52</v>
      </c>
      <c r="R47" s="5" t="s">
        <v>55</v>
      </c>
      <c r="S47" s="1">
        <v>9</v>
      </c>
      <c r="T47" s="1">
        <v>48</v>
      </c>
      <c r="U47" s="1">
        <v>37</v>
      </c>
      <c r="Z47">
        <f t="shared" si="20"/>
        <v>45</v>
      </c>
      <c r="AA47">
        <f t="shared" si="12"/>
        <v>18</v>
      </c>
    </row>
    <row r="48" spans="1:27" x14ac:dyDescent="0.3">
      <c r="A48" s="41">
        <v>33</v>
      </c>
      <c r="B48" s="4"/>
      <c r="C48" s="6" t="s">
        <v>19</v>
      </c>
      <c r="D48" s="5"/>
      <c r="E48" s="5" t="s">
        <v>56</v>
      </c>
      <c r="F48" s="5" t="s">
        <v>69</v>
      </c>
      <c r="G48" s="5" t="s">
        <v>75</v>
      </c>
      <c r="H48" s="5" t="s">
        <v>73</v>
      </c>
      <c r="I48" s="5" t="s">
        <v>54</v>
      </c>
      <c r="J48" s="5" t="s">
        <v>63</v>
      </c>
      <c r="K48" s="5" t="s">
        <v>71</v>
      </c>
      <c r="L48" s="5" t="s">
        <v>60</v>
      </c>
      <c r="M48" s="5" t="s">
        <v>66</v>
      </c>
      <c r="N48" s="5" t="s">
        <v>53</v>
      </c>
      <c r="O48" s="5" t="s">
        <v>48</v>
      </c>
      <c r="P48" s="5" t="s">
        <v>67</v>
      </c>
      <c r="Q48" s="5" t="s">
        <v>52</v>
      </c>
      <c r="R48" s="5" t="s">
        <v>65</v>
      </c>
      <c r="S48" s="1">
        <v>9</v>
      </c>
      <c r="T48" s="1">
        <v>56</v>
      </c>
      <c r="U48" s="1">
        <v>38</v>
      </c>
      <c r="Z48">
        <f t="shared" si="20"/>
        <v>46</v>
      </c>
      <c r="AA48">
        <f t="shared" si="12"/>
        <v>14</v>
      </c>
    </row>
    <row r="49" spans="1:27" ht="28.8" x14ac:dyDescent="0.3">
      <c r="A49" s="41">
        <v>34</v>
      </c>
      <c r="B49" s="4"/>
      <c r="C49" s="6" t="s">
        <v>25</v>
      </c>
      <c r="D49" s="5"/>
      <c r="E49" s="5" t="s">
        <v>56</v>
      </c>
      <c r="F49" s="5" t="s">
        <v>69</v>
      </c>
      <c r="G49" s="5" t="s">
        <v>75</v>
      </c>
      <c r="H49" s="5" t="s">
        <v>73</v>
      </c>
      <c r="I49" s="5" t="s">
        <v>57</v>
      </c>
      <c r="J49" s="5" t="s">
        <v>63</v>
      </c>
      <c r="K49" s="5" t="s">
        <v>71</v>
      </c>
      <c r="L49" s="5" t="s">
        <v>72</v>
      </c>
      <c r="M49" s="5" t="s">
        <v>66</v>
      </c>
      <c r="N49" s="5" t="s">
        <v>53</v>
      </c>
      <c r="O49" s="5" t="s">
        <v>48</v>
      </c>
      <c r="P49" s="5" t="s">
        <v>67</v>
      </c>
      <c r="Q49" s="5" t="s">
        <v>59</v>
      </c>
      <c r="R49" s="5" t="s">
        <v>55</v>
      </c>
      <c r="S49" s="1">
        <v>9</v>
      </c>
      <c r="T49" s="1">
        <v>54</v>
      </c>
      <c r="U49" s="1">
        <v>39</v>
      </c>
      <c r="Z49">
        <f t="shared" si="20"/>
        <v>47</v>
      </c>
      <c r="AA49">
        <f t="shared" si="12"/>
        <v>12</v>
      </c>
    </row>
    <row r="50" spans="1:27" ht="28.8" x14ac:dyDescent="0.3">
      <c r="A50" s="41">
        <v>35</v>
      </c>
      <c r="B50" s="4"/>
      <c r="C50" s="6" t="s">
        <v>162</v>
      </c>
      <c r="D50" s="5"/>
      <c r="E50" s="5" t="s">
        <v>56</v>
      </c>
      <c r="F50" s="5" t="s">
        <v>69</v>
      </c>
      <c r="G50" s="5" t="s">
        <v>62</v>
      </c>
      <c r="H50" s="5" t="s">
        <v>73</v>
      </c>
      <c r="I50" s="5" t="s">
        <v>54</v>
      </c>
      <c r="J50" s="5" t="s">
        <v>63</v>
      </c>
      <c r="K50" s="5" t="s">
        <v>207</v>
      </c>
      <c r="L50" s="5" t="s">
        <v>60</v>
      </c>
      <c r="M50" s="5" t="s">
        <v>66</v>
      </c>
      <c r="N50" s="5" t="s">
        <v>53</v>
      </c>
      <c r="O50" s="5" t="s">
        <v>210</v>
      </c>
      <c r="P50" s="5" t="s">
        <v>67</v>
      </c>
      <c r="Q50" s="5" t="s">
        <v>52</v>
      </c>
      <c r="R50" s="5" t="s">
        <v>55</v>
      </c>
      <c r="S50" s="1">
        <v>9</v>
      </c>
      <c r="T50" s="1">
        <v>53</v>
      </c>
      <c r="U50" s="1">
        <v>40</v>
      </c>
      <c r="Z50">
        <f t="shared" si="20"/>
        <v>48</v>
      </c>
      <c r="AA50">
        <f t="shared" si="12"/>
        <v>9</v>
      </c>
    </row>
    <row r="51" spans="1:27" x14ac:dyDescent="0.3">
      <c r="A51" s="41">
        <v>36</v>
      </c>
      <c r="B51" s="4"/>
      <c r="C51" s="6" t="s">
        <v>79</v>
      </c>
      <c r="D51" s="5"/>
      <c r="E51" s="5" t="s">
        <v>51</v>
      </c>
      <c r="F51" s="5" t="s">
        <v>69</v>
      </c>
      <c r="G51" s="5" t="s">
        <v>75</v>
      </c>
      <c r="H51" s="5" t="s">
        <v>73</v>
      </c>
      <c r="I51" s="5" t="s">
        <v>57</v>
      </c>
      <c r="J51" s="5" t="s">
        <v>63</v>
      </c>
      <c r="K51" s="5" t="s">
        <v>71</v>
      </c>
      <c r="L51" s="5" t="s">
        <v>60</v>
      </c>
      <c r="M51" s="5" t="s">
        <v>209</v>
      </c>
      <c r="N51" s="5" t="s">
        <v>53</v>
      </c>
      <c r="O51" s="5" t="s">
        <v>48</v>
      </c>
      <c r="P51" s="5" t="s">
        <v>74</v>
      </c>
      <c r="Q51" s="5" t="s">
        <v>52</v>
      </c>
      <c r="R51" s="5" t="s">
        <v>65</v>
      </c>
      <c r="S51" s="1">
        <v>9</v>
      </c>
      <c r="T51" s="1">
        <v>46</v>
      </c>
      <c r="U51" s="1">
        <v>42</v>
      </c>
      <c r="Z51">
        <f t="shared" si="20"/>
        <v>49</v>
      </c>
      <c r="AA51">
        <f t="shared" si="12"/>
        <v>3</v>
      </c>
    </row>
    <row r="52" spans="1:27" x14ac:dyDescent="0.3">
      <c r="A52" s="41">
        <v>37</v>
      </c>
      <c r="B52" s="4"/>
      <c r="C52" s="6" t="s">
        <v>14</v>
      </c>
      <c r="D52" s="5"/>
      <c r="E52" s="5" t="s">
        <v>51</v>
      </c>
      <c r="F52" s="5" t="s">
        <v>69</v>
      </c>
      <c r="G52" s="5" t="s">
        <v>75</v>
      </c>
      <c r="H52" s="5" t="s">
        <v>73</v>
      </c>
      <c r="I52" s="5" t="s">
        <v>54</v>
      </c>
      <c r="J52" s="5" t="s">
        <v>63</v>
      </c>
      <c r="K52" s="5" t="s">
        <v>71</v>
      </c>
      <c r="L52" s="5" t="s">
        <v>60</v>
      </c>
      <c r="M52" s="5" t="s">
        <v>209</v>
      </c>
      <c r="N52" s="5" t="s">
        <v>53</v>
      </c>
      <c r="O52" s="5" t="s">
        <v>48</v>
      </c>
      <c r="P52" s="5" t="s">
        <v>74</v>
      </c>
      <c r="Q52" s="5" t="s">
        <v>52</v>
      </c>
      <c r="R52" s="5" t="s">
        <v>55</v>
      </c>
      <c r="S52" s="1">
        <v>9</v>
      </c>
      <c r="T52" s="1">
        <v>55</v>
      </c>
      <c r="U52" s="1">
        <v>42</v>
      </c>
      <c r="Z52">
        <f t="shared" si="20"/>
        <v>50</v>
      </c>
      <c r="AA52">
        <f t="shared" si="12"/>
        <v>3</v>
      </c>
    </row>
    <row r="53" spans="1:27" ht="28.8" x14ac:dyDescent="0.3">
      <c r="A53" s="41">
        <v>38</v>
      </c>
      <c r="B53" s="4"/>
      <c r="C53" s="6" t="s">
        <v>125</v>
      </c>
      <c r="D53" s="5"/>
      <c r="E53" s="5" t="s">
        <v>51</v>
      </c>
      <c r="F53" s="5" t="s">
        <v>69</v>
      </c>
      <c r="G53" s="5" t="s">
        <v>75</v>
      </c>
      <c r="H53" s="5" t="s">
        <v>73</v>
      </c>
      <c r="I53" s="5" t="s">
        <v>54</v>
      </c>
      <c r="J53" s="5" t="s">
        <v>63</v>
      </c>
      <c r="K53" s="5" t="s">
        <v>71</v>
      </c>
      <c r="L53" s="5" t="s">
        <v>60</v>
      </c>
      <c r="M53" s="5" t="s">
        <v>209</v>
      </c>
      <c r="N53" s="5" t="s">
        <v>53</v>
      </c>
      <c r="O53" s="5" t="s">
        <v>210</v>
      </c>
      <c r="P53" s="5" t="s">
        <v>74</v>
      </c>
      <c r="Q53" s="5" t="s">
        <v>52</v>
      </c>
      <c r="R53" s="5" t="s">
        <v>65</v>
      </c>
      <c r="S53" s="1">
        <v>9</v>
      </c>
      <c r="T53" s="1">
        <v>57</v>
      </c>
      <c r="U53" s="1">
        <v>42</v>
      </c>
      <c r="Z53">
        <f t="shared" si="20"/>
        <v>51</v>
      </c>
      <c r="AA53">
        <f t="shared" si="12"/>
        <v>2</v>
      </c>
    </row>
    <row r="54" spans="1:27" ht="43.2" x14ac:dyDescent="0.3">
      <c r="A54" s="41">
        <v>39</v>
      </c>
      <c r="B54" s="4"/>
      <c r="C54" s="6" t="s">
        <v>132</v>
      </c>
      <c r="D54" s="5"/>
      <c r="E54" s="5" t="s">
        <v>56</v>
      </c>
      <c r="F54" s="5" t="s">
        <v>69</v>
      </c>
      <c r="G54" s="5" t="s">
        <v>75</v>
      </c>
      <c r="H54" s="5" t="s">
        <v>73</v>
      </c>
      <c r="I54" s="5" t="s">
        <v>54</v>
      </c>
      <c r="J54" s="5" t="s">
        <v>63</v>
      </c>
      <c r="K54" s="5" t="s">
        <v>71</v>
      </c>
      <c r="L54" s="5" t="s">
        <v>60</v>
      </c>
      <c r="M54" s="5" t="s">
        <v>209</v>
      </c>
      <c r="N54" s="5" t="s">
        <v>68</v>
      </c>
      <c r="O54" s="5" t="s">
        <v>210</v>
      </c>
      <c r="P54" s="5" t="s">
        <v>67</v>
      </c>
      <c r="Q54" s="5" t="s">
        <v>52</v>
      </c>
      <c r="R54" s="5" t="s">
        <v>55</v>
      </c>
      <c r="S54" s="1">
        <v>9</v>
      </c>
      <c r="T54" s="1">
        <v>50</v>
      </c>
      <c r="U54" s="1">
        <v>43</v>
      </c>
      <c r="Z54">
        <f t="shared" si="20"/>
        <v>52</v>
      </c>
      <c r="AA54">
        <f t="shared" si="12"/>
        <v>4</v>
      </c>
    </row>
    <row r="55" spans="1:27" x14ac:dyDescent="0.3">
      <c r="A55" s="41">
        <v>40</v>
      </c>
      <c r="B55" s="4"/>
      <c r="C55" s="6" t="s">
        <v>42</v>
      </c>
      <c r="D55" s="5"/>
      <c r="E55" s="5" t="s">
        <v>51</v>
      </c>
      <c r="F55" s="5" t="s">
        <v>69</v>
      </c>
      <c r="G55" s="5" t="s">
        <v>75</v>
      </c>
      <c r="H55" s="5" t="s">
        <v>73</v>
      </c>
      <c r="I55" s="5" t="s">
        <v>54</v>
      </c>
      <c r="J55" s="5" t="s">
        <v>63</v>
      </c>
      <c r="K55" s="5" t="s">
        <v>71</v>
      </c>
      <c r="L55" s="5" t="s">
        <v>60</v>
      </c>
      <c r="M55" s="5" t="s">
        <v>209</v>
      </c>
      <c r="N55" s="5" t="s">
        <v>53</v>
      </c>
      <c r="O55" s="5" t="s">
        <v>48</v>
      </c>
      <c r="P55" s="5" t="s">
        <v>74</v>
      </c>
      <c r="Q55" s="5" t="s">
        <v>52</v>
      </c>
      <c r="R55" s="5" t="s">
        <v>55</v>
      </c>
      <c r="S55" s="1">
        <v>9</v>
      </c>
      <c r="T55" s="1">
        <v>53</v>
      </c>
      <c r="U55" s="1">
        <v>43</v>
      </c>
      <c r="Z55">
        <f t="shared" si="20"/>
        <v>53</v>
      </c>
      <c r="AA55">
        <f t="shared" si="12"/>
        <v>0</v>
      </c>
    </row>
    <row r="56" spans="1:27" x14ac:dyDescent="0.3">
      <c r="A56" s="41">
        <v>41</v>
      </c>
      <c r="B56" s="4"/>
      <c r="C56" s="6" t="s">
        <v>43</v>
      </c>
      <c r="D56" s="5"/>
      <c r="E56" s="5" t="s">
        <v>51</v>
      </c>
      <c r="F56" s="5" t="s">
        <v>69</v>
      </c>
      <c r="G56" s="5" t="s">
        <v>62</v>
      </c>
      <c r="H56" s="5" t="s">
        <v>73</v>
      </c>
      <c r="I56" s="5" t="s">
        <v>57</v>
      </c>
      <c r="J56" s="5" t="s">
        <v>63</v>
      </c>
      <c r="K56" s="5" t="s">
        <v>71</v>
      </c>
      <c r="L56" s="5" t="s">
        <v>60</v>
      </c>
      <c r="M56" s="5" t="s">
        <v>209</v>
      </c>
      <c r="N56" s="5" t="s">
        <v>53</v>
      </c>
      <c r="O56" s="5" t="s">
        <v>210</v>
      </c>
      <c r="P56" s="5" t="s">
        <v>74</v>
      </c>
      <c r="Q56" s="5" t="s">
        <v>52</v>
      </c>
      <c r="R56" s="5" t="s">
        <v>65</v>
      </c>
      <c r="S56" s="1">
        <v>9</v>
      </c>
      <c r="T56" s="1">
        <v>51</v>
      </c>
      <c r="U56" s="1">
        <v>43</v>
      </c>
      <c r="Z56">
        <f t="shared" si="20"/>
        <v>54</v>
      </c>
      <c r="AA56">
        <f t="shared" si="12"/>
        <v>0</v>
      </c>
    </row>
    <row r="57" spans="1:27" ht="28.8" x14ac:dyDescent="0.3">
      <c r="A57" s="41">
        <v>42</v>
      </c>
      <c r="B57" s="4"/>
      <c r="C57" s="6" t="s">
        <v>41</v>
      </c>
      <c r="D57" s="5"/>
      <c r="E57" s="5" t="s">
        <v>56</v>
      </c>
      <c r="F57" s="5" t="s">
        <v>47</v>
      </c>
      <c r="G57" s="5" t="s">
        <v>75</v>
      </c>
      <c r="H57" s="5" t="s">
        <v>73</v>
      </c>
      <c r="I57" s="5" t="s">
        <v>54</v>
      </c>
      <c r="J57" s="5" t="s">
        <v>63</v>
      </c>
      <c r="K57" s="5" t="s">
        <v>207</v>
      </c>
      <c r="L57" s="5" t="s">
        <v>72</v>
      </c>
      <c r="M57" s="5" t="s">
        <v>66</v>
      </c>
      <c r="N57" s="5" t="s">
        <v>53</v>
      </c>
      <c r="O57" s="5" t="s">
        <v>48</v>
      </c>
      <c r="P57" s="5" t="s">
        <v>67</v>
      </c>
      <c r="Q57" s="5" t="s">
        <v>52</v>
      </c>
      <c r="R57" s="5" t="s">
        <v>55</v>
      </c>
      <c r="S57" s="1">
        <v>9</v>
      </c>
      <c r="T57" s="1">
        <v>51</v>
      </c>
      <c r="U57" s="1">
        <v>43</v>
      </c>
      <c r="Z57">
        <f t="shared" si="20"/>
        <v>55</v>
      </c>
      <c r="AA57">
        <f t="shared" si="12"/>
        <v>3</v>
      </c>
    </row>
    <row r="58" spans="1:27" ht="28.8" x14ac:dyDescent="0.3">
      <c r="A58" s="41">
        <v>43</v>
      </c>
      <c r="B58" s="4"/>
      <c r="C58" s="6" t="s">
        <v>115</v>
      </c>
      <c r="D58" s="5"/>
      <c r="E58" s="5" t="s">
        <v>56</v>
      </c>
      <c r="F58" s="5" t="s">
        <v>47</v>
      </c>
      <c r="G58" s="5" t="s">
        <v>75</v>
      </c>
      <c r="H58" s="5" t="s">
        <v>73</v>
      </c>
      <c r="I58" s="5" t="s">
        <v>57</v>
      </c>
      <c r="J58" s="5" t="s">
        <v>208</v>
      </c>
      <c r="K58" s="5" t="s">
        <v>71</v>
      </c>
      <c r="L58" s="5" t="s">
        <v>60</v>
      </c>
      <c r="M58" s="5" t="s">
        <v>209</v>
      </c>
      <c r="N58" s="5" t="s">
        <v>53</v>
      </c>
      <c r="O58" s="5" t="s">
        <v>48</v>
      </c>
      <c r="P58" s="5" t="s">
        <v>74</v>
      </c>
      <c r="Q58" s="5" t="s">
        <v>52</v>
      </c>
      <c r="R58" s="5" t="s">
        <v>55</v>
      </c>
      <c r="S58" s="1">
        <v>9</v>
      </c>
      <c r="T58" s="1">
        <v>49</v>
      </c>
      <c r="U58" s="1">
        <v>44</v>
      </c>
      <c r="Z58">
        <f t="shared" si="20"/>
        <v>56</v>
      </c>
      <c r="AA58">
        <f t="shared" si="12"/>
        <v>0</v>
      </c>
    </row>
    <row r="59" spans="1:27" ht="28.8" x14ac:dyDescent="0.3">
      <c r="A59" s="41">
        <v>44</v>
      </c>
      <c r="B59" s="4"/>
      <c r="C59" s="6" t="s">
        <v>10</v>
      </c>
      <c r="D59" s="5"/>
      <c r="E59" s="5" t="s">
        <v>51</v>
      </c>
      <c r="F59" s="5" t="s">
        <v>69</v>
      </c>
      <c r="G59" s="5" t="s">
        <v>75</v>
      </c>
      <c r="H59" s="5" t="s">
        <v>61</v>
      </c>
      <c r="I59" s="5" t="s">
        <v>54</v>
      </c>
      <c r="J59" s="5" t="s">
        <v>63</v>
      </c>
      <c r="K59" s="5" t="s">
        <v>71</v>
      </c>
      <c r="L59" s="5" t="s">
        <v>60</v>
      </c>
      <c r="M59" s="5" t="s">
        <v>66</v>
      </c>
      <c r="N59" s="5" t="s">
        <v>53</v>
      </c>
      <c r="O59" s="5" t="s">
        <v>210</v>
      </c>
      <c r="P59" s="5" t="s">
        <v>74</v>
      </c>
      <c r="Q59" s="5" t="s">
        <v>59</v>
      </c>
      <c r="R59" s="5" t="s">
        <v>55</v>
      </c>
      <c r="S59" s="1">
        <v>9</v>
      </c>
      <c r="T59" s="1">
        <v>51</v>
      </c>
      <c r="U59" s="1">
        <v>44</v>
      </c>
      <c r="Z59">
        <f t="shared" si="20"/>
        <v>57</v>
      </c>
      <c r="AA59">
        <f t="shared" si="12"/>
        <v>1</v>
      </c>
    </row>
    <row r="60" spans="1:27" ht="28.8" x14ac:dyDescent="0.3">
      <c r="A60" s="41">
        <v>45</v>
      </c>
      <c r="B60" s="4"/>
      <c r="C60" s="6" t="s">
        <v>172</v>
      </c>
      <c r="D60" s="5"/>
      <c r="E60" s="5" t="s">
        <v>56</v>
      </c>
      <c r="F60" s="5" t="s">
        <v>47</v>
      </c>
      <c r="G60" s="5" t="s">
        <v>75</v>
      </c>
      <c r="H60" s="5" t="s">
        <v>73</v>
      </c>
      <c r="I60" s="5" t="s">
        <v>57</v>
      </c>
      <c r="J60" s="5" t="s">
        <v>208</v>
      </c>
      <c r="K60" s="5" t="s">
        <v>71</v>
      </c>
      <c r="L60" s="5" t="s">
        <v>60</v>
      </c>
      <c r="M60" s="5" t="s">
        <v>209</v>
      </c>
      <c r="N60" s="5" t="s">
        <v>53</v>
      </c>
      <c r="O60" s="5" t="s">
        <v>210</v>
      </c>
      <c r="P60" s="5" t="s">
        <v>74</v>
      </c>
      <c r="Q60" s="5" t="s">
        <v>52</v>
      </c>
      <c r="R60" s="5" t="s">
        <v>65</v>
      </c>
      <c r="S60" s="1">
        <v>9</v>
      </c>
      <c r="T60" s="1">
        <v>50</v>
      </c>
      <c r="U60" s="1">
        <v>44</v>
      </c>
      <c r="Z60">
        <f t="shared" si="20"/>
        <v>58</v>
      </c>
      <c r="AA60">
        <f t="shared" si="12"/>
        <v>0</v>
      </c>
    </row>
    <row r="61" spans="1:27" ht="28.8" x14ac:dyDescent="0.3">
      <c r="A61" s="41">
        <v>46</v>
      </c>
      <c r="B61" s="4"/>
      <c r="C61" s="6" t="s">
        <v>112</v>
      </c>
      <c r="D61" s="5"/>
      <c r="E61" s="5" t="s">
        <v>51</v>
      </c>
      <c r="F61" s="5" t="s">
        <v>69</v>
      </c>
      <c r="G61" s="5" t="s">
        <v>75</v>
      </c>
      <c r="H61" s="5" t="s">
        <v>73</v>
      </c>
      <c r="I61" s="5" t="s">
        <v>54</v>
      </c>
      <c r="J61" s="5" t="s">
        <v>63</v>
      </c>
      <c r="K61" s="5" t="s">
        <v>207</v>
      </c>
      <c r="L61" s="5" t="s">
        <v>60</v>
      </c>
      <c r="M61" s="5" t="s">
        <v>209</v>
      </c>
      <c r="N61" s="5" t="s">
        <v>53</v>
      </c>
      <c r="O61" s="5" t="s">
        <v>210</v>
      </c>
      <c r="P61" s="5" t="s">
        <v>74</v>
      </c>
      <c r="Q61" s="5" t="s">
        <v>52</v>
      </c>
      <c r="R61" s="5" t="s">
        <v>55</v>
      </c>
      <c r="S61" s="1">
        <v>9</v>
      </c>
      <c r="T61" s="1">
        <v>56</v>
      </c>
      <c r="U61" s="1">
        <v>44</v>
      </c>
      <c r="Z61">
        <f t="shared" si="20"/>
        <v>59</v>
      </c>
      <c r="AA61">
        <f t="shared" si="12"/>
        <v>0</v>
      </c>
    </row>
    <row r="62" spans="1:27" x14ac:dyDescent="0.3">
      <c r="A62" s="41">
        <v>47</v>
      </c>
      <c r="B62" s="4"/>
      <c r="C62" s="6" t="s">
        <v>181</v>
      </c>
      <c r="D62" s="5"/>
      <c r="E62" s="5" t="s">
        <v>51</v>
      </c>
      <c r="F62" s="5" t="s">
        <v>69</v>
      </c>
      <c r="G62" s="5" t="s">
        <v>75</v>
      </c>
      <c r="H62" s="5" t="s">
        <v>73</v>
      </c>
      <c r="I62" s="5" t="s">
        <v>57</v>
      </c>
      <c r="J62" s="5" t="s">
        <v>63</v>
      </c>
      <c r="K62" s="5" t="s">
        <v>71</v>
      </c>
      <c r="L62" s="5" t="s">
        <v>72</v>
      </c>
      <c r="M62" s="5" t="s">
        <v>209</v>
      </c>
      <c r="N62" s="5" t="s">
        <v>53</v>
      </c>
      <c r="O62" s="5" t="s">
        <v>210</v>
      </c>
      <c r="P62" s="5" t="s">
        <v>67</v>
      </c>
      <c r="Q62" s="5" t="s">
        <v>59</v>
      </c>
      <c r="R62" s="5" t="s">
        <v>65</v>
      </c>
      <c r="S62" s="1">
        <v>9</v>
      </c>
      <c r="T62" s="1">
        <v>52</v>
      </c>
      <c r="U62" s="1">
        <v>45</v>
      </c>
      <c r="Z62">
        <f t="shared" si="20"/>
        <v>60</v>
      </c>
      <c r="AA62">
        <f t="shared" si="12"/>
        <v>0</v>
      </c>
    </row>
    <row r="63" spans="1:27" x14ac:dyDescent="0.3">
      <c r="A63" s="41">
        <v>48</v>
      </c>
      <c r="B63" s="4"/>
      <c r="C63" s="6" t="s">
        <v>86</v>
      </c>
      <c r="D63" s="5"/>
      <c r="E63" s="5" t="s">
        <v>56</v>
      </c>
      <c r="F63" s="5" t="s">
        <v>69</v>
      </c>
      <c r="G63" s="5" t="s">
        <v>75</v>
      </c>
      <c r="H63" s="5" t="s">
        <v>73</v>
      </c>
      <c r="I63" s="5" t="s">
        <v>54</v>
      </c>
      <c r="J63" s="5" t="s">
        <v>63</v>
      </c>
      <c r="K63" s="5" t="s">
        <v>71</v>
      </c>
      <c r="L63" s="5" t="s">
        <v>60</v>
      </c>
      <c r="M63" s="5" t="s">
        <v>209</v>
      </c>
      <c r="N63" s="5" t="s">
        <v>53</v>
      </c>
      <c r="O63" s="5" t="s">
        <v>210</v>
      </c>
      <c r="P63" s="5" t="s">
        <v>74</v>
      </c>
      <c r="Q63" s="5" t="s">
        <v>52</v>
      </c>
      <c r="R63" s="5" t="s">
        <v>55</v>
      </c>
      <c r="S63" s="1">
        <v>9</v>
      </c>
      <c r="T63" s="1">
        <v>50</v>
      </c>
      <c r="U63" s="1">
        <v>45</v>
      </c>
      <c r="Z63">
        <f t="shared" si="20"/>
        <v>61</v>
      </c>
      <c r="AA63">
        <f t="shared" si="12"/>
        <v>0</v>
      </c>
    </row>
    <row r="64" spans="1:27" ht="28.8" x14ac:dyDescent="0.3">
      <c r="A64" s="41">
        <v>49</v>
      </c>
      <c r="B64" s="4"/>
      <c r="C64" s="6" t="s">
        <v>99</v>
      </c>
      <c r="D64" s="5"/>
      <c r="E64" s="5" t="s">
        <v>56</v>
      </c>
      <c r="F64" s="5" t="s">
        <v>69</v>
      </c>
      <c r="G64" s="5" t="s">
        <v>75</v>
      </c>
      <c r="H64" s="5" t="s">
        <v>73</v>
      </c>
      <c r="I64" s="5" t="s">
        <v>57</v>
      </c>
      <c r="J64" s="5" t="s">
        <v>208</v>
      </c>
      <c r="K64" s="5" t="s">
        <v>71</v>
      </c>
      <c r="L64" s="5" t="s">
        <v>60</v>
      </c>
      <c r="M64" s="5" t="s">
        <v>209</v>
      </c>
      <c r="N64" s="5" t="s">
        <v>53</v>
      </c>
      <c r="O64" s="5" t="s">
        <v>210</v>
      </c>
      <c r="P64" s="5" t="s">
        <v>67</v>
      </c>
      <c r="Q64" s="5" t="s">
        <v>52</v>
      </c>
      <c r="R64" s="5" t="s">
        <v>65</v>
      </c>
      <c r="S64" s="1">
        <v>9</v>
      </c>
      <c r="T64" s="1">
        <v>52</v>
      </c>
      <c r="U64" s="1">
        <v>46</v>
      </c>
      <c r="Z64">
        <f t="shared" si="20"/>
        <v>62</v>
      </c>
      <c r="AA64">
        <f t="shared" si="12"/>
        <v>0</v>
      </c>
    </row>
    <row r="65" spans="1:27" x14ac:dyDescent="0.3">
      <c r="A65" s="41">
        <v>50</v>
      </c>
      <c r="B65" s="4"/>
      <c r="C65" s="6" t="s">
        <v>88</v>
      </c>
      <c r="D65" s="5"/>
      <c r="E65" s="5" t="s">
        <v>51</v>
      </c>
      <c r="F65" s="5" t="s">
        <v>69</v>
      </c>
      <c r="G65" s="5" t="s">
        <v>75</v>
      </c>
      <c r="H65" s="5" t="s">
        <v>61</v>
      </c>
      <c r="I65" s="5" t="s">
        <v>54</v>
      </c>
      <c r="J65" s="5" t="s">
        <v>63</v>
      </c>
      <c r="K65" s="5" t="s">
        <v>71</v>
      </c>
      <c r="L65" s="5" t="s">
        <v>60</v>
      </c>
      <c r="M65" s="5" t="s">
        <v>209</v>
      </c>
      <c r="N65" s="5" t="s">
        <v>53</v>
      </c>
      <c r="O65" s="5" t="s">
        <v>210</v>
      </c>
      <c r="P65" s="5" t="s">
        <v>74</v>
      </c>
      <c r="Q65" s="5" t="s">
        <v>52</v>
      </c>
      <c r="R65" s="5" t="s">
        <v>55</v>
      </c>
      <c r="S65" s="1">
        <v>9</v>
      </c>
      <c r="T65" s="1">
        <v>54</v>
      </c>
      <c r="U65" s="1">
        <v>46</v>
      </c>
      <c r="Z65">
        <f t="shared" si="20"/>
        <v>63</v>
      </c>
      <c r="AA65">
        <f t="shared" si="12"/>
        <v>0</v>
      </c>
    </row>
    <row r="66" spans="1:27" ht="28.8" x14ac:dyDescent="0.3">
      <c r="A66" s="41">
        <v>51</v>
      </c>
      <c r="B66" s="4"/>
      <c r="C66" s="6" t="s">
        <v>90</v>
      </c>
      <c r="D66" s="5"/>
      <c r="E66" s="5" t="s">
        <v>56</v>
      </c>
      <c r="F66" s="5" t="s">
        <v>69</v>
      </c>
      <c r="G66" s="5" t="s">
        <v>62</v>
      </c>
      <c r="H66" s="5" t="s">
        <v>61</v>
      </c>
      <c r="I66" s="5" t="s">
        <v>57</v>
      </c>
      <c r="J66" s="5" t="s">
        <v>63</v>
      </c>
      <c r="K66" s="5" t="s">
        <v>71</v>
      </c>
      <c r="L66" s="5" t="s">
        <v>60</v>
      </c>
      <c r="M66" s="5" t="s">
        <v>209</v>
      </c>
      <c r="N66" s="5" t="s">
        <v>53</v>
      </c>
      <c r="O66" s="5" t="s">
        <v>210</v>
      </c>
      <c r="P66" s="5" t="s">
        <v>67</v>
      </c>
      <c r="Q66" s="5" t="s">
        <v>52</v>
      </c>
      <c r="R66" s="5" t="s">
        <v>55</v>
      </c>
      <c r="S66" s="1">
        <v>9</v>
      </c>
      <c r="T66" s="1">
        <v>56</v>
      </c>
      <c r="U66" s="1">
        <v>47</v>
      </c>
      <c r="Z66">
        <f t="shared" si="20"/>
        <v>64</v>
      </c>
      <c r="AA66">
        <f t="shared" si="12"/>
        <v>0</v>
      </c>
    </row>
    <row r="67" spans="1:27" ht="28.8" x14ac:dyDescent="0.3">
      <c r="A67" s="41">
        <v>52</v>
      </c>
      <c r="B67" s="4"/>
      <c r="C67" s="6" t="s">
        <v>107</v>
      </c>
      <c r="D67" s="5"/>
      <c r="E67" s="5" t="s">
        <v>56</v>
      </c>
      <c r="F67" s="5" t="s">
        <v>69</v>
      </c>
      <c r="G67" s="5" t="s">
        <v>75</v>
      </c>
      <c r="H67" s="5" t="s">
        <v>73</v>
      </c>
      <c r="I67" s="5" t="s">
        <v>57</v>
      </c>
      <c r="J67" s="5" t="s">
        <v>63</v>
      </c>
      <c r="K67" s="5" t="s">
        <v>207</v>
      </c>
      <c r="L67" s="5" t="s">
        <v>60</v>
      </c>
      <c r="M67" s="5" t="s">
        <v>209</v>
      </c>
      <c r="N67" s="5" t="s">
        <v>53</v>
      </c>
      <c r="O67" s="5" t="s">
        <v>210</v>
      </c>
      <c r="P67" s="5" t="s">
        <v>74</v>
      </c>
      <c r="Q67" s="5" t="s">
        <v>52</v>
      </c>
      <c r="R67" s="5" t="s">
        <v>55</v>
      </c>
      <c r="S67" s="1">
        <v>9</v>
      </c>
      <c r="T67" s="1">
        <v>52</v>
      </c>
      <c r="U67" s="1">
        <v>48</v>
      </c>
      <c r="Z67">
        <f t="shared" si="20"/>
        <v>65</v>
      </c>
      <c r="AA67">
        <f t="shared" ref="AA67:AA120" si="22">COUNTIF(U$16:U$179,Z67)</f>
        <v>1</v>
      </c>
    </row>
    <row r="68" spans="1:27" x14ac:dyDescent="0.3">
      <c r="A68" s="41">
        <v>53</v>
      </c>
      <c r="B68" s="4"/>
      <c r="C68" s="6" t="s">
        <v>187</v>
      </c>
      <c r="D68" s="5"/>
      <c r="E68" s="5" t="s">
        <v>56</v>
      </c>
      <c r="F68" s="5" t="s">
        <v>69</v>
      </c>
      <c r="G68" s="5" t="s">
        <v>75</v>
      </c>
      <c r="H68" s="5" t="s">
        <v>73</v>
      </c>
      <c r="I68" s="5" t="s">
        <v>57</v>
      </c>
      <c r="J68" s="5" t="s">
        <v>63</v>
      </c>
      <c r="K68" s="5" t="s">
        <v>71</v>
      </c>
      <c r="L68" s="5" t="s">
        <v>60</v>
      </c>
      <c r="M68" s="5" t="s">
        <v>209</v>
      </c>
      <c r="N68" s="5" t="s">
        <v>53</v>
      </c>
      <c r="O68" s="5" t="s">
        <v>48</v>
      </c>
      <c r="P68" s="5" t="s">
        <v>67</v>
      </c>
      <c r="Q68" s="5" t="s">
        <v>52</v>
      </c>
      <c r="R68" s="5" t="s">
        <v>65</v>
      </c>
      <c r="S68" s="1">
        <v>9</v>
      </c>
      <c r="T68" s="1">
        <v>49</v>
      </c>
      <c r="U68" s="1">
        <v>51</v>
      </c>
      <c r="Z68">
        <f t="shared" si="20"/>
        <v>66</v>
      </c>
      <c r="AA68">
        <f t="shared" si="22"/>
        <v>0</v>
      </c>
    </row>
    <row r="69" spans="1:27" x14ac:dyDescent="0.3">
      <c r="A69" s="41">
        <v>54</v>
      </c>
      <c r="B69" s="4"/>
      <c r="C69" s="6" t="s">
        <v>194</v>
      </c>
      <c r="D69" s="5"/>
      <c r="E69" s="5" t="s">
        <v>51</v>
      </c>
      <c r="F69" s="5" t="s">
        <v>69</v>
      </c>
      <c r="G69" s="5" t="s">
        <v>75</v>
      </c>
      <c r="H69" s="5" t="s">
        <v>73</v>
      </c>
      <c r="I69" s="5" t="s">
        <v>54</v>
      </c>
      <c r="J69" s="5" t="s">
        <v>63</v>
      </c>
      <c r="K69" s="5" t="s">
        <v>71</v>
      </c>
      <c r="L69" s="5" t="s">
        <v>60</v>
      </c>
      <c r="M69" s="5" t="s">
        <v>209</v>
      </c>
      <c r="N69" s="5" t="s">
        <v>53</v>
      </c>
      <c r="O69" s="5" t="s">
        <v>48</v>
      </c>
      <c r="P69" s="5" t="s">
        <v>74</v>
      </c>
      <c r="Q69" s="5" t="s">
        <v>52</v>
      </c>
      <c r="R69" s="5" t="s">
        <v>55</v>
      </c>
      <c r="S69" s="1">
        <v>9</v>
      </c>
      <c r="T69" s="1">
        <v>46</v>
      </c>
      <c r="U69" s="1">
        <v>55</v>
      </c>
      <c r="Z69">
        <f t="shared" si="20"/>
        <v>67</v>
      </c>
      <c r="AA69">
        <f t="shared" si="22"/>
        <v>1</v>
      </c>
    </row>
    <row r="70" spans="1:27" x14ac:dyDescent="0.3">
      <c r="A70" s="41">
        <v>55</v>
      </c>
      <c r="B70" s="4"/>
      <c r="C70" s="6" t="s">
        <v>130</v>
      </c>
      <c r="D70" s="5"/>
      <c r="E70" s="5" t="s">
        <v>51</v>
      </c>
      <c r="F70" s="5" t="s">
        <v>69</v>
      </c>
      <c r="G70" s="5" t="s">
        <v>75</v>
      </c>
      <c r="H70" s="5" t="s">
        <v>73</v>
      </c>
      <c r="I70" s="5" t="s">
        <v>54</v>
      </c>
      <c r="J70" s="5" t="s">
        <v>208</v>
      </c>
      <c r="K70" s="5" t="s">
        <v>71</v>
      </c>
      <c r="L70" s="5" t="s">
        <v>60</v>
      </c>
      <c r="M70" s="5" t="s">
        <v>66</v>
      </c>
      <c r="N70" s="5" t="s">
        <v>68</v>
      </c>
      <c r="O70" s="5" t="s">
        <v>210</v>
      </c>
      <c r="P70" s="5" t="s">
        <v>74</v>
      </c>
      <c r="Q70" s="5" t="s">
        <v>52</v>
      </c>
      <c r="R70" s="5" t="s">
        <v>65</v>
      </c>
      <c r="S70" s="1">
        <v>8</v>
      </c>
      <c r="T70" s="1">
        <v>52</v>
      </c>
      <c r="U70" s="1">
        <v>31</v>
      </c>
      <c r="Z70">
        <f t="shared" si="20"/>
        <v>68</v>
      </c>
      <c r="AA70">
        <f t="shared" si="22"/>
        <v>0</v>
      </c>
    </row>
    <row r="71" spans="1:27" x14ac:dyDescent="0.3">
      <c r="A71" s="41">
        <v>56</v>
      </c>
      <c r="B71" s="4"/>
      <c r="C71" s="6" t="s">
        <v>12</v>
      </c>
      <c r="D71" s="5"/>
      <c r="E71" s="5" t="s">
        <v>56</v>
      </c>
      <c r="F71" s="5" t="s">
        <v>47</v>
      </c>
      <c r="G71" s="5" t="s">
        <v>75</v>
      </c>
      <c r="H71" s="5" t="s">
        <v>73</v>
      </c>
      <c r="I71" s="5" t="s">
        <v>54</v>
      </c>
      <c r="J71" s="5" t="s">
        <v>63</v>
      </c>
      <c r="K71" s="5" t="s">
        <v>207</v>
      </c>
      <c r="L71" s="5" t="s">
        <v>60</v>
      </c>
      <c r="M71" s="5" t="s">
        <v>209</v>
      </c>
      <c r="N71" s="5" t="s">
        <v>53</v>
      </c>
      <c r="O71" s="5" t="s">
        <v>210</v>
      </c>
      <c r="P71" s="5" t="s">
        <v>74</v>
      </c>
      <c r="Q71" s="5" t="s">
        <v>52</v>
      </c>
      <c r="R71" s="5" t="s">
        <v>65</v>
      </c>
      <c r="S71" s="1">
        <v>8</v>
      </c>
      <c r="T71" s="1">
        <v>51</v>
      </c>
      <c r="U71" s="1">
        <v>35</v>
      </c>
      <c r="Z71">
        <f t="shared" ref="Z71:Z120" si="23">Z70+1</f>
        <v>69</v>
      </c>
      <c r="AA71">
        <f t="shared" si="22"/>
        <v>0</v>
      </c>
    </row>
    <row r="72" spans="1:27" x14ac:dyDescent="0.3">
      <c r="A72" s="41">
        <v>57</v>
      </c>
      <c r="B72" s="4"/>
      <c r="C72" s="6" t="s">
        <v>201</v>
      </c>
      <c r="D72" s="5"/>
      <c r="E72" s="5" t="s">
        <v>56</v>
      </c>
      <c r="F72" s="5" t="s">
        <v>69</v>
      </c>
      <c r="G72" s="5" t="s">
        <v>75</v>
      </c>
      <c r="H72" s="5" t="s">
        <v>73</v>
      </c>
      <c r="I72" s="5" t="s">
        <v>57</v>
      </c>
      <c r="J72" s="5" t="s">
        <v>63</v>
      </c>
      <c r="K72" s="5" t="s">
        <v>71</v>
      </c>
      <c r="L72" s="5" t="s">
        <v>60</v>
      </c>
      <c r="M72" s="5" t="s">
        <v>209</v>
      </c>
      <c r="N72" s="5" t="s">
        <v>53</v>
      </c>
      <c r="O72" s="5" t="s">
        <v>48</v>
      </c>
      <c r="P72" s="5" t="s">
        <v>74</v>
      </c>
      <c r="Q72" s="5" t="s">
        <v>52</v>
      </c>
      <c r="R72" s="5" t="s">
        <v>65</v>
      </c>
      <c r="S72" s="1">
        <v>8</v>
      </c>
      <c r="T72" s="1">
        <v>35</v>
      </c>
      <c r="U72" s="1">
        <v>28</v>
      </c>
      <c r="Z72">
        <f t="shared" si="23"/>
        <v>70</v>
      </c>
      <c r="AA72">
        <f t="shared" si="22"/>
        <v>0</v>
      </c>
    </row>
    <row r="73" spans="1:27" ht="28.8" x14ac:dyDescent="0.3">
      <c r="A73" s="41">
        <v>58</v>
      </c>
      <c r="B73" s="4"/>
      <c r="C73" s="6" t="s">
        <v>34</v>
      </c>
      <c r="D73" s="5"/>
      <c r="E73" s="5" t="s">
        <v>51</v>
      </c>
      <c r="F73" s="5" t="s">
        <v>47</v>
      </c>
      <c r="G73" s="5" t="s">
        <v>75</v>
      </c>
      <c r="H73" s="5" t="s">
        <v>73</v>
      </c>
      <c r="I73" s="5" t="s">
        <v>54</v>
      </c>
      <c r="J73" s="5" t="s">
        <v>63</v>
      </c>
      <c r="K73" s="5" t="s">
        <v>207</v>
      </c>
      <c r="L73" s="5" t="s">
        <v>72</v>
      </c>
      <c r="M73" s="5" t="s">
        <v>209</v>
      </c>
      <c r="N73" s="5" t="s">
        <v>53</v>
      </c>
      <c r="O73" s="5" t="s">
        <v>48</v>
      </c>
      <c r="P73" s="5" t="s">
        <v>74</v>
      </c>
      <c r="Q73" s="5" t="s">
        <v>52</v>
      </c>
      <c r="R73" s="5" t="s">
        <v>55</v>
      </c>
      <c r="S73" s="1">
        <v>8</v>
      </c>
      <c r="T73" s="1">
        <v>49</v>
      </c>
      <c r="U73" s="1">
        <v>36</v>
      </c>
      <c r="Z73">
        <f t="shared" si="23"/>
        <v>71</v>
      </c>
      <c r="AA73">
        <f t="shared" si="22"/>
        <v>0</v>
      </c>
    </row>
    <row r="74" spans="1:27" ht="28.8" x14ac:dyDescent="0.3">
      <c r="A74" s="41">
        <v>59</v>
      </c>
      <c r="B74" s="4"/>
      <c r="C74" s="6" t="s">
        <v>159</v>
      </c>
      <c r="D74" s="5"/>
      <c r="E74" s="5" t="s">
        <v>56</v>
      </c>
      <c r="F74" s="5" t="s">
        <v>47</v>
      </c>
      <c r="G74" s="5" t="s">
        <v>75</v>
      </c>
      <c r="H74" s="5" t="s">
        <v>73</v>
      </c>
      <c r="I74" s="5" t="s">
        <v>54</v>
      </c>
      <c r="J74" s="5" t="s">
        <v>208</v>
      </c>
      <c r="K74" s="5" t="s">
        <v>71</v>
      </c>
      <c r="L74" s="5" t="s">
        <v>60</v>
      </c>
      <c r="M74" s="5" t="s">
        <v>209</v>
      </c>
      <c r="N74" s="5" t="s">
        <v>68</v>
      </c>
      <c r="O74" s="5" t="s">
        <v>210</v>
      </c>
      <c r="P74" s="5" t="s">
        <v>74</v>
      </c>
      <c r="Q74" s="5" t="s">
        <v>52</v>
      </c>
      <c r="R74" s="5" t="s">
        <v>55</v>
      </c>
      <c r="S74" s="1">
        <v>8</v>
      </c>
      <c r="T74" s="1">
        <v>43</v>
      </c>
      <c r="U74" s="1">
        <v>39</v>
      </c>
      <c r="Z74">
        <f t="shared" si="23"/>
        <v>72</v>
      </c>
      <c r="AA74">
        <f t="shared" si="22"/>
        <v>1</v>
      </c>
    </row>
    <row r="75" spans="1:27" x14ac:dyDescent="0.3">
      <c r="A75" s="41">
        <v>60</v>
      </c>
      <c r="B75" s="4"/>
      <c r="C75" s="6" t="s">
        <v>142</v>
      </c>
      <c r="D75" s="5"/>
      <c r="E75" s="5" t="s">
        <v>51</v>
      </c>
      <c r="F75" s="5" t="s">
        <v>69</v>
      </c>
      <c r="G75" s="5" t="s">
        <v>75</v>
      </c>
      <c r="H75" s="5" t="s">
        <v>73</v>
      </c>
      <c r="I75" s="5" t="s">
        <v>54</v>
      </c>
      <c r="J75" s="5" t="s">
        <v>208</v>
      </c>
      <c r="K75" s="5" t="s">
        <v>71</v>
      </c>
      <c r="L75" s="5" t="s">
        <v>72</v>
      </c>
      <c r="M75" s="5" t="s">
        <v>209</v>
      </c>
      <c r="N75" s="5" t="s">
        <v>53</v>
      </c>
      <c r="O75" s="5" t="s">
        <v>210</v>
      </c>
      <c r="P75" s="5" t="s">
        <v>67</v>
      </c>
      <c r="Q75" s="5" t="s">
        <v>59</v>
      </c>
      <c r="R75" s="5" t="s">
        <v>55</v>
      </c>
      <c r="S75" s="1">
        <v>8</v>
      </c>
      <c r="T75" s="1">
        <v>52</v>
      </c>
      <c r="U75" s="1">
        <v>40</v>
      </c>
      <c r="Z75">
        <f t="shared" si="23"/>
        <v>73</v>
      </c>
      <c r="AA75">
        <f t="shared" si="22"/>
        <v>0</v>
      </c>
    </row>
    <row r="76" spans="1:27" ht="28.8" x14ac:dyDescent="0.3">
      <c r="A76" s="41">
        <v>61</v>
      </c>
      <c r="B76" s="4"/>
      <c r="C76" s="6" t="s">
        <v>20</v>
      </c>
      <c r="D76" s="5"/>
      <c r="E76" s="5" t="s">
        <v>51</v>
      </c>
      <c r="F76" s="5" t="s">
        <v>69</v>
      </c>
      <c r="G76" s="5" t="s">
        <v>75</v>
      </c>
      <c r="H76" s="5" t="s">
        <v>73</v>
      </c>
      <c r="I76" s="5" t="s">
        <v>57</v>
      </c>
      <c r="J76" s="5" t="s">
        <v>63</v>
      </c>
      <c r="K76" s="5" t="s">
        <v>71</v>
      </c>
      <c r="L76" s="5" t="s">
        <v>60</v>
      </c>
      <c r="M76" s="5" t="s">
        <v>209</v>
      </c>
      <c r="N76" s="5" t="s">
        <v>53</v>
      </c>
      <c r="O76" s="5" t="s">
        <v>48</v>
      </c>
      <c r="P76" s="5" t="s">
        <v>74</v>
      </c>
      <c r="Q76" s="5" t="s">
        <v>59</v>
      </c>
      <c r="R76" s="5" t="s">
        <v>65</v>
      </c>
      <c r="S76" s="1">
        <v>8</v>
      </c>
      <c r="T76" s="1">
        <v>51</v>
      </c>
      <c r="U76" s="1">
        <v>42</v>
      </c>
      <c r="Z76">
        <f t="shared" si="23"/>
        <v>74</v>
      </c>
      <c r="AA76">
        <f t="shared" si="22"/>
        <v>0</v>
      </c>
    </row>
    <row r="77" spans="1:27" ht="28.8" x14ac:dyDescent="0.3">
      <c r="A77" s="41">
        <v>62</v>
      </c>
      <c r="B77" s="4"/>
      <c r="C77" s="6" t="s">
        <v>104</v>
      </c>
      <c r="D77" s="5"/>
      <c r="E77" s="5" t="s">
        <v>51</v>
      </c>
      <c r="F77" s="5" t="s">
        <v>69</v>
      </c>
      <c r="G77" s="5" t="s">
        <v>75</v>
      </c>
      <c r="H77" s="5" t="s">
        <v>73</v>
      </c>
      <c r="I77" s="5" t="s">
        <v>54</v>
      </c>
      <c r="J77" s="5" t="s">
        <v>63</v>
      </c>
      <c r="K77" s="5" t="s">
        <v>207</v>
      </c>
      <c r="L77" s="5" t="s">
        <v>60</v>
      </c>
      <c r="M77" s="5" t="s">
        <v>209</v>
      </c>
      <c r="N77" s="5" t="s">
        <v>53</v>
      </c>
      <c r="O77" s="5" t="s">
        <v>210</v>
      </c>
      <c r="P77" s="5" t="s">
        <v>74</v>
      </c>
      <c r="Q77" s="5" t="s">
        <v>52</v>
      </c>
      <c r="R77" s="5" t="s">
        <v>65</v>
      </c>
      <c r="S77" s="1">
        <v>8</v>
      </c>
      <c r="T77" s="1">
        <v>52</v>
      </c>
      <c r="U77" s="1">
        <v>42</v>
      </c>
      <c r="Z77">
        <f t="shared" si="23"/>
        <v>75</v>
      </c>
      <c r="AA77">
        <f t="shared" si="22"/>
        <v>0</v>
      </c>
    </row>
    <row r="78" spans="1:27" x14ac:dyDescent="0.3">
      <c r="A78" s="41">
        <v>63</v>
      </c>
      <c r="B78" s="4"/>
      <c r="C78" s="6" t="s">
        <v>7</v>
      </c>
      <c r="D78" s="5"/>
      <c r="E78" s="5" t="s">
        <v>56</v>
      </c>
      <c r="F78" s="5" t="s">
        <v>69</v>
      </c>
      <c r="G78" s="5" t="s">
        <v>75</v>
      </c>
      <c r="H78" s="5" t="s">
        <v>73</v>
      </c>
      <c r="I78" s="5" t="s">
        <v>54</v>
      </c>
      <c r="J78" s="5" t="s">
        <v>63</v>
      </c>
      <c r="K78" s="5" t="s">
        <v>207</v>
      </c>
      <c r="L78" s="5" t="s">
        <v>72</v>
      </c>
      <c r="M78" s="5" t="s">
        <v>66</v>
      </c>
      <c r="N78" s="5" t="s">
        <v>53</v>
      </c>
      <c r="O78" s="5" t="s">
        <v>210</v>
      </c>
      <c r="P78" s="5" t="s">
        <v>67</v>
      </c>
      <c r="Q78" s="5" t="s">
        <v>52</v>
      </c>
      <c r="R78" s="5" t="s">
        <v>65</v>
      </c>
      <c r="S78" s="1">
        <v>8</v>
      </c>
      <c r="T78" s="1">
        <v>40</v>
      </c>
      <c r="U78" s="1">
        <v>43</v>
      </c>
      <c r="Z78">
        <f t="shared" si="23"/>
        <v>76</v>
      </c>
      <c r="AA78">
        <f t="shared" si="22"/>
        <v>0</v>
      </c>
    </row>
    <row r="79" spans="1:27" x14ac:dyDescent="0.3">
      <c r="A79" s="41">
        <v>64</v>
      </c>
      <c r="B79" s="4"/>
      <c r="C79" s="6" t="s">
        <v>39</v>
      </c>
      <c r="D79" s="5"/>
      <c r="E79" s="5" t="s">
        <v>51</v>
      </c>
      <c r="F79" s="5" t="s">
        <v>47</v>
      </c>
      <c r="G79" s="5" t="s">
        <v>62</v>
      </c>
      <c r="H79" s="5" t="s">
        <v>73</v>
      </c>
      <c r="I79" s="5" t="s">
        <v>54</v>
      </c>
      <c r="J79" s="5" t="s">
        <v>63</v>
      </c>
      <c r="K79" s="5" t="s">
        <v>207</v>
      </c>
      <c r="L79" s="5" t="s">
        <v>60</v>
      </c>
      <c r="M79" s="5" t="s">
        <v>66</v>
      </c>
      <c r="N79" s="5" t="s">
        <v>68</v>
      </c>
      <c r="O79" s="5" t="s">
        <v>210</v>
      </c>
      <c r="P79" s="5" t="s">
        <v>67</v>
      </c>
      <c r="Q79" s="5" t="s">
        <v>59</v>
      </c>
      <c r="R79" s="5" t="s">
        <v>65</v>
      </c>
      <c r="S79" s="1">
        <v>8</v>
      </c>
      <c r="T79" s="1">
        <v>56</v>
      </c>
      <c r="U79" s="1">
        <v>43</v>
      </c>
      <c r="Z79">
        <f t="shared" si="23"/>
        <v>77</v>
      </c>
      <c r="AA79">
        <f t="shared" si="22"/>
        <v>0</v>
      </c>
    </row>
    <row r="80" spans="1:27" x14ac:dyDescent="0.3">
      <c r="A80" s="41">
        <v>65</v>
      </c>
      <c r="B80" s="4"/>
      <c r="C80" s="6" t="s">
        <v>150</v>
      </c>
      <c r="D80" s="5"/>
      <c r="E80" s="5" t="s">
        <v>56</v>
      </c>
      <c r="F80" s="5" t="s">
        <v>69</v>
      </c>
      <c r="G80" s="5" t="s">
        <v>62</v>
      </c>
      <c r="H80" s="5" t="s">
        <v>73</v>
      </c>
      <c r="I80" s="5" t="s">
        <v>57</v>
      </c>
      <c r="J80" s="5" t="s">
        <v>63</v>
      </c>
      <c r="K80" s="5" t="s">
        <v>71</v>
      </c>
      <c r="L80" s="5" t="s">
        <v>60</v>
      </c>
      <c r="M80" s="5" t="s">
        <v>209</v>
      </c>
      <c r="N80" s="5" t="s">
        <v>53</v>
      </c>
      <c r="O80" s="5" t="s">
        <v>48</v>
      </c>
      <c r="P80" s="5" t="s">
        <v>74</v>
      </c>
      <c r="Q80" s="5" t="s">
        <v>52</v>
      </c>
      <c r="R80" s="5" t="s">
        <v>55</v>
      </c>
      <c r="S80" s="1">
        <v>8</v>
      </c>
      <c r="T80" s="1">
        <v>48</v>
      </c>
      <c r="U80" s="1">
        <v>44</v>
      </c>
      <c r="Z80">
        <f t="shared" si="23"/>
        <v>78</v>
      </c>
      <c r="AA80">
        <f t="shared" si="22"/>
        <v>0</v>
      </c>
    </row>
    <row r="81" spans="1:27" x14ac:dyDescent="0.3">
      <c r="A81" s="41">
        <v>66</v>
      </c>
      <c r="B81" s="4"/>
      <c r="C81" s="6" t="s">
        <v>199</v>
      </c>
      <c r="D81" s="5"/>
      <c r="E81" s="5" t="s">
        <v>51</v>
      </c>
      <c r="F81" s="5" t="s">
        <v>69</v>
      </c>
      <c r="G81" s="5" t="s">
        <v>75</v>
      </c>
      <c r="H81" s="5" t="s">
        <v>73</v>
      </c>
      <c r="I81" s="5" t="s">
        <v>54</v>
      </c>
      <c r="J81" s="5" t="s">
        <v>208</v>
      </c>
      <c r="K81" s="5" t="s">
        <v>71</v>
      </c>
      <c r="L81" s="5" t="s">
        <v>72</v>
      </c>
      <c r="M81" s="5" t="s">
        <v>209</v>
      </c>
      <c r="N81" s="5" t="s">
        <v>53</v>
      </c>
      <c r="O81" s="5" t="s">
        <v>210</v>
      </c>
      <c r="P81" s="5" t="s">
        <v>67</v>
      </c>
      <c r="Q81" s="5" t="s">
        <v>52</v>
      </c>
      <c r="R81" s="5" t="s">
        <v>65</v>
      </c>
      <c r="S81" s="1">
        <v>8</v>
      </c>
      <c r="T81" s="1">
        <v>45</v>
      </c>
      <c r="U81" s="1">
        <v>44</v>
      </c>
      <c r="Z81">
        <f t="shared" si="23"/>
        <v>79</v>
      </c>
      <c r="AA81">
        <f t="shared" si="22"/>
        <v>0</v>
      </c>
    </row>
    <row r="82" spans="1:27" x14ac:dyDescent="0.3">
      <c r="A82" s="41">
        <v>67</v>
      </c>
      <c r="B82" s="4"/>
      <c r="C82" s="6" t="s">
        <v>151</v>
      </c>
      <c r="D82" s="5"/>
      <c r="E82" s="5" t="s">
        <v>51</v>
      </c>
      <c r="F82" s="5" t="s">
        <v>47</v>
      </c>
      <c r="G82" s="5" t="s">
        <v>75</v>
      </c>
      <c r="H82" s="5" t="s">
        <v>73</v>
      </c>
      <c r="I82" s="5" t="s">
        <v>57</v>
      </c>
      <c r="J82" s="5" t="s">
        <v>208</v>
      </c>
      <c r="K82" s="5" t="s">
        <v>71</v>
      </c>
      <c r="L82" s="5" t="s">
        <v>72</v>
      </c>
      <c r="M82" s="5" t="s">
        <v>209</v>
      </c>
      <c r="N82" s="5" t="s">
        <v>53</v>
      </c>
      <c r="O82" s="5" t="s">
        <v>48</v>
      </c>
      <c r="P82" s="5" t="s">
        <v>74</v>
      </c>
      <c r="Q82" s="5" t="s">
        <v>59</v>
      </c>
      <c r="R82" s="5" t="s">
        <v>55</v>
      </c>
      <c r="S82" s="1">
        <v>8</v>
      </c>
      <c r="T82" s="1">
        <v>50</v>
      </c>
      <c r="U82" s="1">
        <v>44</v>
      </c>
      <c r="Z82">
        <f t="shared" si="23"/>
        <v>80</v>
      </c>
      <c r="AA82">
        <f t="shared" si="22"/>
        <v>0</v>
      </c>
    </row>
    <row r="83" spans="1:27" ht="28.8" x14ac:dyDescent="0.3">
      <c r="A83" s="41">
        <v>68</v>
      </c>
      <c r="B83" s="4"/>
      <c r="C83" s="6" t="s">
        <v>81</v>
      </c>
      <c r="D83" s="5"/>
      <c r="E83" s="5" t="s">
        <v>56</v>
      </c>
      <c r="F83" s="5" t="s">
        <v>69</v>
      </c>
      <c r="G83" s="5" t="s">
        <v>75</v>
      </c>
      <c r="H83" s="5" t="s">
        <v>73</v>
      </c>
      <c r="I83" s="5" t="s">
        <v>57</v>
      </c>
      <c r="J83" s="5" t="s">
        <v>63</v>
      </c>
      <c r="K83" s="5" t="s">
        <v>71</v>
      </c>
      <c r="L83" s="5" t="s">
        <v>60</v>
      </c>
      <c r="M83" s="5" t="s">
        <v>209</v>
      </c>
      <c r="N83" s="5" t="s">
        <v>53</v>
      </c>
      <c r="O83" s="5" t="s">
        <v>48</v>
      </c>
      <c r="P83" s="5" t="s">
        <v>74</v>
      </c>
      <c r="Q83" s="5" t="s">
        <v>52</v>
      </c>
      <c r="R83" s="5" t="s">
        <v>65</v>
      </c>
      <c r="S83" s="1">
        <v>8</v>
      </c>
      <c r="T83" s="1">
        <v>58</v>
      </c>
      <c r="U83" s="1">
        <v>44</v>
      </c>
      <c r="Z83">
        <f t="shared" si="23"/>
        <v>81</v>
      </c>
      <c r="AA83">
        <f t="shared" si="22"/>
        <v>0</v>
      </c>
    </row>
    <row r="84" spans="1:27" ht="28.8" x14ac:dyDescent="0.3">
      <c r="A84" s="41">
        <v>69</v>
      </c>
      <c r="B84" s="4"/>
      <c r="C84" s="6" t="s">
        <v>153</v>
      </c>
      <c r="D84" s="5"/>
      <c r="E84" s="5" t="s">
        <v>51</v>
      </c>
      <c r="F84" s="5" t="s">
        <v>69</v>
      </c>
      <c r="G84" s="5" t="s">
        <v>62</v>
      </c>
      <c r="H84" s="5" t="s">
        <v>73</v>
      </c>
      <c r="I84" s="5" t="s">
        <v>54</v>
      </c>
      <c r="J84" s="5" t="s">
        <v>63</v>
      </c>
      <c r="K84" s="5" t="s">
        <v>71</v>
      </c>
      <c r="L84" s="5" t="s">
        <v>60</v>
      </c>
      <c r="M84" s="5" t="s">
        <v>209</v>
      </c>
      <c r="N84" s="5" t="s">
        <v>53</v>
      </c>
      <c r="O84" s="5" t="s">
        <v>210</v>
      </c>
      <c r="P84" s="5" t="s">
        <v>74</v>
      </c>
      <c r="Q84" s="5" t="s">
        <v>59</v>
      </c>
      <c r="R84" s="5" t="s">
        <v>55</v>
      </c>
      <c r="S84" s="1">
        <v>8</v>
      </c>
      <c r="T84" s="1">
        <v>48</v>
      </c>
      <c r="U84" s="1">
        <v>44</v>
      </c>
      <c r="Z84">
        <f t="shared" si="23"/>
        <v>82</v>
      </c>
      <c r="AA84">
        <f t="shared" si="22"/>
        <v>0</v>
      </c>
    </row>
    <row r="85" spans="1:27" ht="28.8" x14ac:dyDescent="0.3">
      <c r="A85" s="41">
        <v>70</v>
      </c>
      <c r="B85" s="4"/>
      <c r="C85" s="6" t="s">
        <v>89</v>
      </c>
      <c r="D85" s="5"/>
      <c r="E85" s="5" t="s">
        <v>56</v>
      </c>
      <c r="F85" s="5" t="s">
        <v>47</v>
      </c>
      <c r="G85" s="5" t="s">
        <v>75</v>
      </c>
      <c r="H85" s="5" t="s">
        <v>73</v>
      </c>
      <c r="I85" s="5" t="s">
        <v>54</v>
      </c>
      <c r="J85" s="5" t="s">
        <v>63</v>
      </c>
      <c r="K85" s="5" t="s">
        <v>71</v>
      </c>
      <c r="L85" s="5" t="s">
        <v>60</v>
      </c>
      <c r="M85" s="5" t="s">
        <v>209</v>
      </c>
      <c r="N85" s="5" t="s">
        <v>53</v>
      </c>
      <c r="O85" s="5" t="s">
        <v>48</v>
      </c>
      <c r="P85" s="5" t="s">
        <v>74</v>
      </c>
      <c r="Q85" s="5" t="s">
        <v>52</v>
      </c>
      <c r="R85" s="5" t="s">
        <v>65</v>
      </c>
      <c r="S85" s="1">
        <v>8</v>
      </c>
      <c r="T85" s="1">
        <v>54</v>
      </c>
      <c r="U85" s="1">
        <v>45</v>
      </c>
      <c r="Z85">
        <f t="shared" si="23"/>
        <v>83</v>
      </c>
      <c r="AA85">
        <f t="shared" si="22"/>
        <v>0</v>
      </c>
    </row>
    <row r="86" spans="1:27" ht="43.2" x14ac:dyDescent="0.3">
      <c r="A86" s="41">
        <v>71</v>
      </c>
      <c r="B86" s="4"/>
      <c r="C86" s="6" t="s">
        <v>171</v>
      </c>
      <c r="D86" s="5"/>
      <c r="E86" s="5" t="s">
        <v>51</v>
      </c>
      <c r="F86" s="5" t="s">
        <v>69</v>
      </c>
      <c r="G86" s="5" t="s">
        <v>62</v>
      </c>
      <c r="H86" s="5" t="s">
        <v>73</v>
      </c>
      <c r="I86" s="5" t="s">
        <v>54</v>
      </c>
      <c r="J86" s="5" t="s">
        <v>63</v>
      </c>
      <c r="K86" s="5" t="s">
        <v>71</v>
      </c>
      <c r="L86" s="5" t="s">
        <v>60</v>
      </c>
      <c r="M86" s="5" t="s">
        <v>209</v>
      </c>
      <c r="N86" s="5" t="s">
        <v>53</v>
      </c>
      <c r="O86" s="5" t="s">
        <v>210</v>
      </c>
      <c r="P86" s="5" t="s">
        <v>74</v>
      </c>
      <c r="Q86" s="5" t="s">
        <v>52</v>
      </c>
      <c r="R86" s="5" t="s">
        <v>65</v>
      </c>
      <c r="S86" s="1">
        <v>8</v>
      </c>
      <c r="T86" s="1">
        <v>49</v>
      </c>
      <c r="U86" s="1">
        <v>45</v>
      </c>
      <c r="Z86">
        <f t="shared" si="23"/>
        <v>84</v>
      </c>
      <c r="AA86">
        <f t="shared" si="22"/>
        <v>0</v>
      </c>
    </row>
    <row r="87" spans="1:27" x14ac:dyDescent="0.3">
      <c r="A87" s="41">
        <v>72</v>
      </c>
      <c r="B87" s="4"/>
      <c r="C87" s="6" t="s">
        <v>189</v>
      </c>
      <c r="D87" s="5"/>
      <c r="E87" s="5" t="s">
        <v>51</v>
      </c>
      <c r="F87" s="5" t="s">
        <v>69</v>
      </c>
      <c r="G87" s="5" t="s">
        <v>62</v>
      </c>
      <c r="H87" s="5" t="s">
        <v>73</v>
      </c>
      <c r="I87" s="5" t="s">
        <v>54</v>
      </c>
      <c r="J87" s="5" t="s">
        <v>63</v>
      </c>
      <c r="K87" s="5" t="s">
        <v>71</v>
      </c>
      <c r="L87" s="5" t="s">
        <v>60</v>
      </c>
      <c r="M87" s="5" t="s">
        <v>209</v>
      </c>
      <c r="N87" s="5" t="s">
        <v>53</v>
      </c>
      <c r="O87" s="5" t="s">
        <v>48</v>
      </c>
      <c r="P87" s="5" t="s">
        <v>74</v>
      </c>
      <c r="Q87" s="5" t="s">
        <v>52</v>
      </c>
      <c r="R87" s="5" t="s">
        <v>55</v>
      </c>
      <c r="S87" s="1">
        <v>8</v>
      </c>
      <c r="T87" s="1">
        <v>53</v>
      </c>
      <c r="U87" s="1">
        <v>45</v>
      </c>
      <c r="Z87">
        <f t="shared" si="23"/>
        <v>85</v>
      </c>
      <c r="AA87">
        <f t="shared" si="22"/>
        <v>0</v>
      </c>
    </row>
    <row r="88" spans="1:27" ht="28.8" x14ac:dyDescent="0.3">
      <c r="A88" s="41">
        <v>73</v>
      </c>
      <c r="B88" s="4"/>
      <c r="C88" s="6" t="s">
        <v>182</v>
      </c>
      <c r="D88" s="5"/>
      <c r="E88" s="5" t="s">
        <v>51</v>
      </c>
      <c r="F88" s="5" t="s">
        <v>47</v>
      </c>
      <c r="G88" s="5" t="s">
        <v>75</v>
      </c>
      <c r="H88" s="5" t="s">
        <v>61</v>
      </c>
      <c r="I88" s="5" t="s">
        <v>54</v>
      </c>
      <c r="J88" s="5" t="s">
        <v>63</v>
      </c>
      <c r="K88" s="5" t="s">
        <v>71</v>
      </c>
      <c r="L88" s="5" t="s">
        <v>60</v>
      </c>
      <c r="M88" s="5" t="s">
        <v>209</v>
      </c>
      <c r="N88" s="5" t="s">
        <v>68</v>
      </c>
      <c r="O88" s="5" t="s">
        <v>210</v>
      </c>
      <c r="P88" s="5" t="s">
        <v>74</v>
      </c>
      <c r="Q88" s="5" t="s">
        <v>52</v>
      </c>
      <c r="R88" s="5" t="s">
        <v>65</v>
      </c>
      <c r="S88" s="1">
        <v>8</v>
      </c>
      <c r="T88" s="1">
        <v>44</v>
      </c>
      <c r="U88" s="1">
        <v>45</v>
      </c>
      <c r="Z88">
        <f t="shared" si="23"/>
        <v>86</v>
      </c>
      <c r="AA88">
        <f t="shared" si="22"/>
        <v>0</v>
      </c>
    </row>
    <row r="89" spans="1:27" ht="28.8" x14ac:dyDescent="0.3">
      <c r="A89" s="41">
        <v>74</v>
      </c>
      <c r="B89" s="4"/>
      <c r="C89" s="6" t="s">
        <v>185</v>
      </c>
      <c r="D89" s="5"/>
      <c r="E89" s="5" t="s">
        <v>56</v>
      </c>
      <c r="F89" s="5" t="s">
        <v>69</v>
      </c>
      <c r="G89" s="5" t="s">
        <v>75</v>
      </c>
      <c r="H89" s="5" t="s">
        <v>73</v>
      </c>
      <c r="I89" s="5" t="s">
        <v>54</v>
      </c>
      <c r="J89" s="5" t="s">
        <v>63</v>
      </c>
      <c r="K89" s="5" t="s">
        <v>71</v>
      </c>
      <c r="L89" s="5" t="s">
        <v>60</v>
      </c>
      <c r="M89" s="5" t="s">
        <v>209</v>
      </c>
      <c r="N89" s="5" t="s">
        <v>53</v>
      </c>
      <c r="O89" s="5" t="s">
        <v>210</v>
      </c>
      <c r="P89" s="5" t="s">
        <v>74</v>
      </c>
      <c r="Q89" s="5" t="s">
        <v>52</v>
      </c>
      <c r="R89" s="5" t="s">
        <v>65</v>
      </c>
      <c r="S89" s="1">
        <v>8</v>
      </c>
      <c r="T89" s="1">
        <v>50</v>
      </c>
      <c r="U89" s="1">
        <v>46</v>
      </c>
      <c r="Z89">
        <f t="shared" si="23"/>
        <v>87</v>
      </c>
      <c r="AA89">
        <f t="shared" si="22"/>
        <v>0</v>
      </c>
    </row>
    <row r="90" spans="1:27" ht="28.8" x14ac:dyDescent="0.3">
      <c r="A90" s="41">
        <v>75</v>
      </c>
      <c r="B90" s="4"/>
      <c r="C90" s="6" t="s">
        <v>143</v>
      </c>
      <c r="D90" s="5"/>
      <c r="E90" s="5" t="s">
        <v>56</v>
      </c>
      <c r="F90" s="5" t="s">
        <v>69</v>
      </c>
      <c r="G90" s="5" t="s">
        <v>75</v>
      </c>
      <c r="H90" s="5" t="s">
        <v>73</v>
      </c>
      <c r="I90" s="5" t="s">
        <v>57</v>
      </c>
      <c r="J90" s="5" t="s">
        <v>63</v>
      </c>
      <c r="K90" s="5" t="s">
        <v>71</v>
      </c>
      <c r="L90" s="5" t="s">
        <v>60</v>
      </c>
      <c r="M90" s="5" t="s">
        <v>209</v>
      </c>
      <c r="N90" s="5" t="s">
        <v>53</v>
      </c>
      <c r="O90" s="5" t="s">
        <v>48</v>
      </c>
      <c r="P90" s="5" t="s">
        <v>74</v>
      </c>
      <c r="Q90" s="5" t="s">
        <v>59</v>
      </c>
      <c r="R90" s="5" t="s">
        <v>55</v>
      </c>
      <c r="S90" s="1">
        <v>8</v>
      </c>
      <c r="T90" s="1">
        <v>49</v>
      </c>
      <c r="U90" s="1">
        <v>46</v>
      </c>
      <c r="Z90">
        <f t="shared" si="23"/>
        <v>88</v>
      </c>
      <c r="AA90">
        <f t="shared" si="22"/>
        <v>0</v>
      </c>
    </row>
    <row r="91" spans="1:27" x14ac:dyDescent="0.3">
      <c r="A91" s="41">
        <v>76</v>
      </c>
      <c r="B91" s="4"/>
      <c r="C91" s="6" t="s">
        <v>82</v>
      </c>
      <c r="D91" s="5"/>
      <c r="E91" s="5" t="s">
        <v>56</v>
      </c>
      <c r="F91" s="5" t="s">
        <v>69</v>
      </c>
      <c r="G91" s="5" t="s">
        <v>75</v>
      </c>
      <c r="H91" s="5" t="s">
        <v>73</v>
      </c>
      <c r="I91" s="5" t="s">
        <v>54</v>
      </c>
      <c r="J91" s="5" t="s">
        <v>63</v>
      </c>
      <c r="K91" s="5" t="s">
        <v>207</v>
      </c>
      <c r="L91" s="5" t="s">
        <v>72</v>
      </c>
      <c r="M91" s="5" t="s">
        <v>209</v>
      </c>
      <c r="N91" s="5" t="s">
        <v>53</v>
      </c>
      <c r="O91" s="5" t="s">
        <v>210</v>
      </c>
      <c r="P91" s="5" t="s">
        <v>67</v>
      </c>
      <c r="Q91" s="5" t="s">
        <v>52</v>
      </c>
      <c r="R91" s="5" t="s">
        <v>55</v>
      </c>
      <c r="S91" s="1">
        <v>8</v>
      </c>
      <c r="T91" s="1">
        <v>51</v>
      </c>
      <c r="U91" s="1">
        <v>46</v>
      </c>
      <c r="Z91">
        <f t="shared" si="23"/>
        <v>89</v>
      </c>
      <c r="AA91">
        <f t="shared" si="22"/>
        <v>0</v>
      </c>
    </row>
    <row r="92" spans="1:27" ht="28.8" x14ac:dyDescent="0.3">
      <c r="A92" s="41">
        <v>77</v>
      </c>
      <c r="B92" s="4"/>
      <c r="C92" s="6" t="s">
        <v>87</v>
      </c>
      <c r="D92" s="5"/>
      <c r="E92" s="5" t="s">
        <v>56</v>
      </c>
      <c r="F92" s="5" t="s">
        <v>47</v>
      </c>
      <c r="G92" s="5" t="s">
        <v>75</v>
      </c>
      <c r="H92" s="5" t="s">
        <v>61</v>
      </c>
      <c r="I92" s="5" t="s">
        <v>54</v>
      </c>
      <c r="J92" s="5" t="s">
        <v>208</v>
      </c>
      <c r="K92" s="5" t="s">
        <v>71</v>
      </c>
      <c r="L92" s="5" t="s">
        <v>60</v>
      </c>
      <c r="M92" s="5" t="s">
        <v>209</v>
      </c>
      <c r="N92" s="5" t="s">
        <v>53</v>
      </c>
      <c r="O92" s="5" t="s">
        <v>210</v>
      </c>
      <c r="P92" s="5" t="s">
        <v>74</v>
      </c>
      <c r="Q92" s="5" t="s">
        <v>52</v>
      </c>
      <c r="R92" s="5" t="s">
        <v>55</v>
      </c>
      <c r="S92" s="1">
        <v>8</v>
      </c>
      <c r="T92" s="1">
        <v>42</v>
      </c>
      <c r="U92" s="1">
        <v>47</v>
      </c>
      <c r="Z92">
        <f t="shared" si="23"/>
        <v>90</v>
      </c>
      <c r="AA92">
        <f t="shared" si="22"/>
        <v>0</v>
      </c>
    </row>
    <row r="93" spans="1:27" x14ac:dyDescent="0.3">
      <c r="A93" s="41">
        <v>78</v>
      </c>
      <c r="B93" s="4"/>
      <c r="C93" s="6" t="s">
        <v>127</v>
      </c>
      <c r="D93" s="5"/>
      <c r="E93" s="5" t="s">
        <v>51</v>
      </c>
      <c r="F93" s="5" t="s">
        <v>69</v>
      </c>
      <c r="G93" s="5" t="s">
        <v>75</v>
      </c>
      <c r="H93" s="5" t="s">
        <v>73</v>
      </c>
      <c r="I93" s="5" t="s">
        <v>57</v>
      </c>
      <c r="J93" s="5" t="s">
        <v>208</v>
      </c>
      <c r="K93" s="5" t="s">
        <v>207</v>
      </c>
      <c r="L93" s="5" t="s">
        <v>60</v>
      </c>
      <c r="M93" s="5" t="s">
        <v>209</v>
      </c>
      <c r="N93" s="5" t="s">
        <v>53</v>
      </c>
      <c r="O93" s="5" t="s">
        <v>210</v>
      </c>
      <c r="P93" s="5" t="s">
        <v>74</v>
      </c>
      <c r="Q93" s="5" t="s">
        <v>59</v>
      </c>
      <c r="R93" s="5" t="s">
        <v>55</v>
      </c>
      <c r="S93" s="1">
        <v>8</v>
      </c>
      <c r="T93" s="1">
        <v>47</v>
      </c>
      <c r="U93" s="1">
        <v>47</v>
      </c>
      <c r="Z93">
        <f t="shared" si="23"/>
        <v>91</v>
      </c>
      <c r="AA93">
        <f t="shared" si="22"/>
        <v>0</v>
      </c>
    </row>
    <row r="94" spans="1:27" ht="28.8" x14ac:dyDescent="0.3">
      <c r="A94" s="41">
        <v>79</v>
      </c>
      <c r="B94" s="4"/>
      <c r="C94" s="6" t="s">
        <v>146</v>
      </c>
      <c r="D94" s="5"/>
      <c r="E94" s="5" t="s">
        <v>56</v>
      </c>
      <c r="F94" s="5" t="s">
        <v>69</v>
      </c>
      <c r="G94" s="5" t="s">
        <v>75</v>
      </c>
      <c r="H94" s="5" t="s">
        <v>73</v>
      </c>
      <c r="I94" s="5" t="s">
        <v>57</v>
      </c>
      <c r="J94" s="5" t="s">
        <v>63</v>
      </c>
      <c r="K94" s="5" t="s">
        <v>71</v>
      </c>
      <c r="L94" s="5" t="s">
        <v>72</v>
      </c>
      <c r="M94" s="5" t="s">
        <v>209</v>
      </c>
      <c r="N94" s="5" t="s">
        <v>68</v>
      </c>
      <c r="O94" s="5" t="s">
        <v>210</v>
      </c>
      <c r="P94" s="5" t="s">
        <v>67</v>
      </c>
      <c r="Q94" s="5" t="s">
        <v>59</v>
      </c>
      <c r="R94" s="5" t="s">
        <v>55</v>
      </c>
      <c r="S94" s="1">
        <v>8</v>
      </c>
      <c r="T94" s="1">
        <v>47</v>
      </c>
      <c r="U94" s="1">
        <v>47</v>
      </c>
      <c r="Z94">
        <f t="shared" si="23"/>
        <v>92</v>
      </c>
      <c r="AA94">
        <f t="shared" si="22"/>
        <v>0</v>
      </c>
    </row>
    <row r="95" spans="1:27" ht="28.8" x14ac:dyDescent="0.3">
      <c r="A95" s="41">
        <v>80</v>
      </c>
      <c r="B95" s="4"/>
      <c r="C95" s="6" t="s">
        <v>154</v>
      </c>
      <c r="D95" s="5"/>
      <c r="E95" s="5" t="s">
        <v>56</v>
      </c>
      <c r="F95" s="5" t="s">
        <v>47</v>
      </c>
      <c r="G95" s="5" t="s">
        <v>75</v>
      </c>
      <c r="H95" s="5" t="s">
        <v>73</v>
      </c>
      <c r="I95" s="5" t="s">
        <v>54</v>
      </c>
      <c r="J95" s="5" t="s">
        <v>63</v>
      </c>
      <c r="K95" s="5" t="s">
        <v>207</v>
      </c>
      <c r="L95" s="5" t="s">
        <v>60</v>
      </c>
      <c r="M95" s="5" t="s">
        <v>209</v>
      </c>
      <c r="N95" s="5" t="s">
        <v>53</v>
      </c>
      <c r="O95" s="5" t="s">
        <v>48</v>
      </c>
      <c r="P95" s="5" t="s">
        <v>67</v>
      </c>
      <c r="Q95" s="5" t="s">
        <v>59</v>
      </c>
      <c r="R95" s="5" t="s">
        <v>55</v>
      </c>
      <c r="S95" s="1">
        <v>8</v>
      </c>
      <c r="T95" s="1">
        <v>53</v>
      </c>
      <c r="U95" s="1">
        <v>47</v>
      </c>
      <c r="Z95">
        <f t="shared" si="23"/>
        <v>93</v>
      </c>
      <c r="AA95">
        <f t="shared" si="22"/>
        <v>0</v>
      </c>
    </row>
    <row r="96" spans="1:27" x14ac:dyDescent="0.3">
      <c r="A96" s="41">
        <v>81</v>
      </c>
      <c r="B96" s="4"/>
      <c r="C96" s="6" t="s">
        <v>13</v>
      </c>
      <c r="D96" s="5"/>
      <c r="E96" s="5" t="s">
        <v>51</v>
      </c>
      <c r="F96" s="5" t="s">
        <v>69</v>
      </c>
      <c r="G96" s="5" t="s">
        <v>75</v>
      </c>
      <c r="H96" s="5" t="s">
        <v>73</v>
      </c>
      <c r="I96" s="5" t="s">
        <v>54</v>
      </c>
      <c r="J96" s="5" t="s">
        <v>63</v>
      </c>
      <c r="K96" s="5" t="s">
        <v>71</v>
      </c>
      <c r="L96" s="5" t="s">
        <v>72</v>
      </c>
      <c r="M96" s="5" t="s">
        <v>209</v>
      </c>
      <c r="N96" s="5" t="s">
        <v>53</v>
      </c>
      <c r="O96" s="5" t="s">
        <v>48</v>
      </c>
      <c r="P96" s="5" t="s">
        <v>67</v>
      </c>
      <c r="Q96" s="5" t="s">
        <v>52</v>
      </c>
      <c r="R96" s="5" t="s">
        <v>65</v>
      </c>
      <c r="S96" s="1">
        <v>8</v>
      </c>
      <c r="T96" s="1">
        <v>56</v>
      </c>
      <c r="U96" s="1">
        <v>47</v>
      </c>
      <c r="Z96">
        <f t="shared" si="23"/>
        <v>94</v>
      </c>
      <c r="AA96">
        <f t="shared" si="22"/>
        <v>0</v>
      </c>
    </row>
    <row r="97" spans="1:27" x14ac:dyDescent="0.3">
      <c r="A97" s="41">
        <v>82</v>
      </c>
      <c r="B97" s="4"/>
      <c r="C97" s="6" t="s">
        <v>144</v>
      </c>
      <c r="D97" s="5"/>
      <c r="E97" s="5" t="s">
        <v>56</v>
      </c>
      <c r="F97" s="5" t="s">
        <v>69</v>
      </c>
      <c r="G97" s="5" t="s">
        <v>62</v>
      </c>
      <c r="H97" s="5" t="s">
        <v>73</v>
      </c>
      <c r="I97" s="5" t="s">
        <v>57</v>
      </c>
      <c r="J97" s="5" t="s">
        <v>63</v>
      </c>
      <c r="K97" s="5" t="s">
        <v>71</v>
      </c>
      <c r="L97" s="5" t="s">
        <v>72</v>
      </c>
      <c r="M97" s="5" t="s">
        <v>209</v>
      </c>
      <c r="N97" s="5" t="s">
        <v>53</v>
      </c>
      <c r="O97" s="5" t="s">
        <v>210</v>
      </c>
      <c r="P97" s="5" t="s">
        <v>67</v>
      </c>
      <c r="Q97" s="5" t="s">
        <v>59</v>
      </c>
      <c r="R97" s="5" t="s">
        <v>55</v>
      </c>
      <c r="S97" s="1">
        <v>8</v>
      </c>
      <c r="T97" s="1">
        <v>54</v>
      </c>
      <c r="U97" s="1">
        <v>48</v>
      </c>
      <c r="Z97">
        <f t="shared" si="23"/>
        <v>95</v>
      </c>
      <c r="AA97">
        <f t="shared" si="22"/>
        <v>0</v>
      </c>
    </row>
    <row r="98" spans="1:27" x14ac:dyDescent="0.3">
      <c r="A98" s="41">
        <v>83</v>
      </c>
      <c r="B98" s="4"/>
      <c r="C98" s="6" t="s">
        <v>109</v>
      </c>
      <c r="D98" s="5"/>
      <c r="E98" s="5" t="s">
        <v>56</v>
      </c>
      <c r="F98" s="5" t="s">
        <v>69</v>
      </c>
      <c r="G98" s="5" t="s">
        <v>75</v>
      </c>
      <c r="H98" s="5" t="s">
        <v>73</v>
      </c>
      <c r="I98" s="5" t="s">
        <v>57</v>
      </c>
      <c r="J98" s="5" t="s">
        <v>63</v>
      </c>
      <c r="K98" s="5" t="s">
        <v>207</v>
      </c>
      <c r="L98" s="5" t="s">
        <v>72</v>
      </c>
      <c r="M98" s="5" t="s">
        <v>66</v>
      </c>
      <c r="N98" s="5" t="s">
        <v>53</v>
      </c>
      <c r="O98" s="5" t="s">
        <v>48</v>
      </c>
      <c r="P98" s="5" t="s">
        <v>74</v>
      </c>
      <c r="Q98" s="5" t="s">
        <v>52</v>
      </c>
      <c r="R98" s="5" t="s">
        <v>55</v>
      </c>
      <c r="S98" s="1">
        <v>8</v>
      </c>
      <c r="T98" s="1">
        <v>55</v>
      </c>
      <c r="U98" s="1">
        <v>48</v>
      </c>
      <c r="Z98">
        <f t="shared" si="23"/>
        <v>96</v>
      </c>
      <c r="AA98">
        <f t="shared" si="22"/>
        <v>0</v>
      </c>
    </row>
    <row r="99" spans="1:27" ht="28.8" x14ac:dyDescent="0.3">
      <c r="A99" s="41">
        <v>84</v>
      </c>
      <c r="B99" s="4"/>
      <c r="C99" s="6" t="s">
        <v>9</v>
      </c>
      <c r="D99" s="5"/>
      <c r="E99" s="5" t="s">
        <v>56</v>
      </c>
      <c r="F99" s="5" t="s">
        <v>69</v>
      </c>
      <c r="G99" s="5" t="s">
        <v>75</v>
      </c>
      <c r="H99" s="5" t="s">
        <v>73</v>
      </c>
      <c r="I99" s="5" t="s">
        <v>57</v>
      </c>
      <c r="J99" s="5" t="s">
        <v>63</v>
      </c>
      <c r="K99" s="5" t="s">
        <v>71</v>
      </c>
      <c r="L99" s="5" t="s">
        <v>60</v>
      </c>
      <c r="M99" s="5" t="s">
        <v>209</v>
      </c>
      <c r="N99" s="5" t="s">
        <v>53</v>
      </c>
      <c r="O99" s="5" t="s">
        <v>48</v>
      </c>
      <c r="P99" s="5" t="s">
        <v>74</v>
      </c>
      <c r="Q99" s="5" t="s">
        <v>52</v>
      </c>
      <c r="R99" s="5" t="s">
        <v>65</v>
      </c>
      <c r="S99" s="1">
        <v>8</v>
      </c>
      <c r="T99" s="1">
        <v>55</v>
      </c>
      <c r="U99" s="1">
        <v>48</v>
      </c>
      <c r="Z99">
        <f t="shared" si="23"/>
        <v>97</v>
      </c>
      <c r="AA99">
        <f t="shared" si="22"/>
        <v>0</v>
      </c>
    </row>
    <row r="100" spans="1:27" x14ac:dyDescent="0.3">
      <c r="A100" s="41">
        <v>85</v>
      </c>
      <c r="B100" s="4"/>
      <c r="C100" s="6" t="s">
        <v>101</v>
      </c>
      <c r="D100" s="5"/>
      <c r="E100" s="5" t="s">
        <v>56</v>
      </c>
      <c r="F100" s="5" t="s">
        <v>69</v>
      </c>
      <c r="G100" s="5" t="s">
        <v>75</v>
      </c>
      <c r="H100" s="5" t="s">
        <v>61</v>
      </c>
      <c r="I100" s="5" t="s">
        <v>57</v>
      </c>
      <c r="J100" s="5" t="s">
        <v>63</v>
      </c>
      <c r="K100" s="5" t="s">
        <v>71</v>
      </c>
      <c r="L100" s="5" t="s">
        <v>60</v>
      </c>
      <c r="M100" s="5" t="s">
        <v>66</v>
      </c>
      <c r="N100" s="5" t="s">
        <v>53</v>
      </c>
      <c r="O100" s="5" t="s">
        <v>48</v>
      </c>
      <c r="P100" s="5" t="s">
        <v>67</v>
      </c>
      <c r="Q100" s="5" t="s">
        <v>59</v>
      </c>
      <c r="R100" s="5" t="s">
        <v>65</v>
      </c>
      <c r="S100" s="1">
        <v>8</v>
      </c>
      <c r="T100" s="1">
        <v>51</v>
      </c>
      <c r="U100" s="1">
        <v>48</v>
      </c>
      <c r="Z100">
        <f t="shared" si="23"/>
        <v>98</v>
      </c>
      <c r="AA100">
        <f t="shared" si="22"/>
        <v>0</v>
      </c>
    </row>
    <row r="101" spans="1:27" x14ac:dyDescent="0.3">
      <c r="A101" s="41">
        <v>86</v>
      </c>
      <c r="B101" s="4"/>
      <c r="C101" s="6" t="s">
        <v>83</v>
      </c>
      <c r="D101" s="5"/>
      <c r="E101" s="5" t="s">
        <v>56</v>
      </c>
      <c r="F101" s="5" t="s">
        <v>69</v>
      </c>
      <c r="G101" s="5" t="s">
        <v>62</v>
      </c>
      <c r="H101" s="5" t="s">
        <v>73</v>
      </c>
      <c r="I101" s="5" t="s">
        <v>54</v>
      </c>
      <c r="J101" s="5" t="s">
        <v>63</v>
      </c>
      <c r="K101" s="5" t="s">
        <v>71</v>
      </c>
      <c r="L101" s="5" t="s">
        <v>60</v>
      </c>
      <c r="M101" s="5" t="s">
        <v>66</v>
      </c>
      <c r="N101" s="5" t="s">
        <v>68</v>
      </c>
      <c r="O101" s="5" t="s">
        <v>210</v>
      </c>
      <c r="P101" s="5" t="s">
        <v>74</v>
      </c>
      <c r="Q101" s="5" t="s">
        <v>52</v>
      </c>
      <c r="R101" s="5" t="s">
        <v>55</v>
      </c>
      <c r="S101" s="1">
        <v>8</v>
      </c>
      <c r="T101" s="1">
        <v>56</v>
      </c>
      <c r="U101" s="1">
        <v>49</v>
      </c>
      <c r="Z101">
        <f t="shared" si="23"/>
        <v>99</v>
      </c>
      <c r="AA101">
        <f t="shared" si="22"/>
        <v>0</v>
      </c>
    </row>
    <row r="102" spans="1:27" x14ac:dyDescent="0.3">
      <c r="A102" s="41">
        <v>87</v>
      </c>
      <c r="B102" s="4"/>
      <c r="C102" s="6" t="s">
        <v>128</v>
      </c>
      <c r="D102" s="5"/>
      <c r="E102" s="5" t="s">
        <v>51</v>
      </c>
      <c r="F102" s="5" t="s">
        <v>69</v>
      </c>
      <c r="G102" s="5" t="s">
        <v>62</v>
      </c>
      <c r="H102" s="5" t="s">
        <v>73</v>
      </c>
      <c r="I102" s="5" t="s">
        <v>57</v>
      </c>
      <c r="J102" s="5" t="s">
        <v>63</v>
      </c>
      <c r="K102" s="5" t="s">
        <v>71</v>
      </c>
      <c r="L102" s="5" t="s">
        <v>60</v>
      </c>
      <c r="M102" s="5" t="s">
        <v>209</v>
      </c>
      <c r="N102" s="5" t="s">
        <v>53</v>
      </c>
      <c r="O102" s="5" t="s">
        <v>48</v>
      </c>
      <c r="P102" s="5" t="s">
        <v>74</v>
      </c>
      <c r="Q102" s="5" t="s">
        <v>59</v>
      </c>
      <c r="R102" s="5" t="s">
        <v>55</v>
      </c>
      <c r="S102" s="1">
        <v>8</v>
      </c>
      <c r="T102" s="1">
        <v>50</v>
      </c>
      <c r="U102" s="1">
        <v>55</v>
      </c>
      <c r="Z102">
        <f t="shared" si="23"/>
        <v>100</v>
      </c>
      <c r="AA102">
        <f t="shared" si="22"/>
        <v>0</v>
      </c>
    </row>
    <row r="103" spans="1:27" x14ac:dyDescent="0.3">
      <c r="A103" s="41">
        <v>88</v>
      </c>
      <c r="B103" s="4"/>
      <c r="C103" s="6" t="s">
        <v>161</v>
      </c>
      <c r="D103" s="5"/>
      <c r="E103" s="5" t="s">
        <v>56</v>
      </c>
      <c r="F103" s="5" t="s">
        <v>47</v>
      </c>
      <c r="G103" s="5" t="s">
        <v>75</v>
      </c>
      <c r="H103" s="5" t="s">
        <v>73</v>
      </c>
      <c r="I103" s="5" t="s">
        <v>54</v>
      </c>
      <c r="J103" s="5" t="s">
        <v>63</v>
      </c>
      <c r="K103" s="5" t="s">
        <v>207</v>
      </c>
      <c r="L103" s="5" t="s">
        <v>60</v>
      </c>
      <c r="M103" s="5" t="s">
        <v>209</v>
      </c>
      <c r="N103" s="5" t="s">
        <v>53</v>
      </c>
      <c r="O103" s="5" t="s">
        <v>210</v>
      </c>
      <c r="P103" s="5" t="s">
        <v>74</v>
      </c>
      <c r="Q103" s="5" t="s">
        <v>59</v>
      </c>
      <c r="R103" s="5" t="s">
        <v>55</v>
      </c>
      <c r="S103" s="1">
        <v>8</v>
      </c>
      <c r="T103" s="1">
        <v>52</v>
      </c>
      <c r="U103" s="1">
        <v>441</v>
      </c>
      <c r="Z103">
        <f t="shared" si="23"/>
        <v>101</v>
      </c>
      <c r="AA103">
        <f t="shared" si="22"/>
        <v>0</v>
      </c>
    </row>
    <row r="104" spans="1:27" ht="28.8" x14ac:dyDescent="0.3">
      <c r="A104" s="41">
        <v>89</v>
      </c>
      <c r="B104" s="4"/>
      <c r="C104" s="6" t="s">
        <v>8</v>
      </c>
      <c r="D104" s="5"/>
      <c r="E104" s="5" t="s">
        <v>56</v>
      </c>
      <c r="F104" s="5" t="s">
        <v>69</v>
      </c>
      <c r="G104" s="5" t="s">
        <v>62</v>
      </c>
      <c r="H104" s="5" t="s">
        <v>73</v>
      </c>
      <c r="I104" s="5" t="s">
        <v>54</v>
      </c>
      <c r="J104" s="5" t="s">
        <v>63</v>
      </c>
      <c r="K104" s="5" t="s">
        <v>207</v>
      </c>
      <c r="L104" s="5" t="s">
        <v>60</v>
      </c>
      <c r="M104" s="5" t="s">
        <v>209</v>
      </c>
      <c r="N104" s="5" t="s">
        <v>53</v>
      </c>
      <c r="O104" s="5" t="s">
        <v>210</v>
      </c>
      <c r="P104" s="5" t="s">
        <v>67</v>
      </c>
      <c r="Q104" s="5" t="s">
        <v>52</v>
      </c>
      <c r="R104" s="5" t="s">
        <v>65</v>
      </c>
      <c r="S104" s="1">
        <v>7</v>
      </c>
      <c r="T104" s="1">
        <v>52</v>
      </c>
      <c r="U104" s="1">
        <v>34</v>
      </c>
      <c r="Z104">
        <f t="shared" si="23"/>
        <v>102</v>
      </c>
      <c r="AA104">
        <f t="shared" si="22"/>
        <v>0</v>
      </c>
    </row>
    <row r="105" spans="1:27" x14ac:dyDescent="0.3">
      <c r="A105" s="41">
        <v>90</v>
      </c>
      <c r="B105" s="4"/>
      <c r="C105" s="6" t="s">
        <v>121</v>
      </c>
      <c r="D105" s="5"/>
      <c r="E105" s="5" t="s">
        <v>56</v>
      </c>
      <c r="F105" s="5" t="s">
        <v>69</v>
      </c>
      <c r="G105" s="5" t="s">
        <v>75</v>
      </c>
      <c r="H105" s="5" t="s">
        <v>73</v>
      </c>
      <c r="I105" s="5" t="s">
        <v>57</v>
      </c>
      <c r="J105" s="5" t="s">
        <v>208</v>
      </c>
      <c r="K105" s="5" t="s">
        <v>71</v>
      </c>
      <c r="L105" s="5" t="s">
        <v>60</v>
      </c>
      <c r="M105" s="5" t="s">
        <v>209</v>
      </c>
      <c r="N105" s="5" t="s">
        <v>53</v>
      </c>
      <c r="O105" s="5" t="s">
        <v>210</v>
      </c>
      <c r="P105" s="5" t="s">
        <v>74</v>
      </c>
      <c r="Q105" s="5" t="s">
        <v>59</v>
      </c>
      <c r="R105" s="5" t="s">
        <v>65</v>
      </c>
      <c r="S105" s="1">
        <v>7</v>
      </c>
      <c r="T105" s="1">
        <v>59</v>
      </c>
      <c r="U105" s="1">
        <v>34</v>
      </c>
      <c r="Z105">
        <f t="shared" si="23"/>
        <v>103</v>
      </c>
      <c r="AA105">
        <f t="shared" si="22"/>
        <v>0</v>
      </c>
    </row>
    <row r="106" spans="1:27" ht="28.8" x14ac:dyDescent="0.3">
      <c r="A106" s="41">
        <v>91</v>
      </c>
      <c r="B106" s="4"/>
      <c r="C106" s="6" t="s">
        <v>135</v>
      </c>
      <c r="D106" s="5"/>
      <c r="E106" s="5" t="s">
        <v>51</v>
      </c>
      <c r="F106" s="5" t="s">
        <v>69</v>
      </c>
      <c r="G106" s="5" t="s">
        <v>62</v>
      </c>
      <c r="H106" s="5" t="s">
        <v>61</v>
      </c>
      <c r="I106" s="5" t="s">
        <v>57</v>
      </c>
      <c r="J106" s="5" t="s">
        <v>63</v>
      </c>
      <c r="K106" s="5" t="s">
        <v>71</v>
      </c>
      <c r="L106" s="5" t="s">
        <v>60</v>
      </c>
      <c r="M106" s="5" t="s">
        <v>209</v>
      </c>
      <c r="N106" s="5" t="s">
        <v>68</v>
      </c>
      <c r="O106" s="5" t="s">
        <v>210</v>
      </c>
      <c r="P106" s="5" t="s">
        <v>74</v>
      </c>
      <c r="Q106" s="5" t="s">
        <v>52</v>
      </c>
      <c r="R106" s="5" t="s">
        <v>65</v>
      </c>
      <c r="S106" s="1">
        <v>7</v>
      </c>
      <c r="T106" s="1">
        <v>48</v>
      </c>
      <c r="U106" s="1">
        <v>35</v>
      </c>
      <c r="Z106">
        <f t="shared" si="23"/>
        <v>104</v>
      </c>
      <c r="AA106">
        <f t="shared" si="22"/>
        <v>0</v>
      </c>
    </row>
    <row r="107" spans="1:27" x14ac:dyDescent="0.3">
      <c r="A107" s="41">
        <v>92</v>
      </c>
      <c r="B107" s="4"/>
      <c r="C107" s="6" t="s">
        <v>145</v>
      </c>
      <c r="D107" s="5"/>
      <c r="E107" s="5" t="s">
        <v>56</v>
      </c>
      <c r="F107" s="5" t="s">
        <v>69</v>
      </c>
      <c r="G107" s="5" t="s">
        <v>75</v>
      </c>
      <c r="H107" s="5" t="s">
        <v>73</v>
      </c>
      <c r="I107" s="5" t="s">
        <v>54</v>
      </c>
      <c r="J107" s="5" t="s">
        <v>208</v>
      </c>
      <c r="K107" s="5" t="s">
        <v>71</v>
      </c>
      <c r="L107" s="5" t="s">
        <v>72</v>
      </c>
      <c r="M107" s="5" t="s">
        <v>209</v>
      </c>
      <c r="N107" s="5" t="s">
        <v>53</v>
      </c>
      <c r="O107" s="5" t="s">
        <v>210</v>
      </c>
      <c r="P107" s="5" t="s">
        <v>74</v>
      </c>
      <c r="Q107" s="5" t="s">
        <v>52</v>
      </c>
      <c r="R107" s="5" t="s">
        <v>55</v>
      </c>
      <c r="S107" s="1">
        <v>7</v>
      </c>
      <c r="T107" s="1">
        <v>53</v>
      </c>
      <c r="U107" s="1">
        <v>35</v>
      </c>
      <c r="Z107">
        <f t="shared" si="23"/>
        <v>105</v>
      </c>
      <c r="AA107">
        <f t="shared" si="22"/>
        <v>0</v>
      </c>
    </row>
    <row r="108" spans="1:27" x14ac:dyDescent="0.3">
      <c r="A108" s="41">
        <v>93</v>
      </c>
      <c r="B108" s="4"/>
      <c r="C108" s="6" t="s">
        <v>18</v>
      </c>
      <c r="D108" s="5"/>
      <c r="E108" s="5" t="s">
        <v>56</v>
      </c>
      <c r="F108" s="5" t="s">
        <v>69</v>
      </c>
      <c r="G108" s="5" t="s">
        <v>75</v>
      </c>
      <c r="H108" s="5" t="s">
        <v>73</v>
      </c>
      <c r="I108" s="5" t="s">
        <v>54</v>
      </c>
      <c r="J108" s="5" t="s">
        <v>63</v>
      </c>
      <c r="K108" s="5" t="s">
        <v>71</v>
      </c>
      <c r="L108" s="5" t="s">
        <v>72</v>
      </c>
      <c r="M108" s="5" t="s">
        <v>209</v>
      </c>
      <c r="N108" s="5" t="s">
        <v>53</v>
      </c>
      <c r="O108" s="5" t="s">
        <v>210</v>
      </c>
      <c r="P108" s="5" t="s">
        <v>67</v>
      </c>
      <c r="Q108" s="5" t="s">
        <v>59</v>
      </c>
      <c r="R108" s="5" t="s">
        <v>65</v>
      </c>
      <c r="S108" s="1">
        <v>7</v>
      </c>
      <c r="T108" s="1">
        <v>43</v>
      </c>
      <c r="U108" s="1">
        <v>38</v>
      </c>
      <c r="Z108">
        <f t="shared" si="23"/>
        <v>106</v>
      </c>
      <c r="AA108">
        <f t="shared" si="22"/>
        <v>0</v>
      </c>
    </row>
    <row r="109" spans="1:27" ht="28.8" x14ac:dyDescent="0.3">
      <c r="A109" s="41">
        <v>94</v>
      </c>
      <c r="B109" s="4"/>
      <c r="C109" s="6" t="s">
        <v>17</v>
      </c>
      <c r="D109" s="5"/>
      <c r="E109" s="5" t="s">
        <v>56</v>
      </c>
      <c r="F109" s="5" t="s">
        <v>69</v>
      </c>
      <c r="G109" s="5" t="s">
        <v>62</v>
      </c>
      <c r="H109" s="5" t="s">
        <v>61</v>
      </c>
      <c r="I109" s="5" t="s">
        <v>54</v>
      </c>
      <c r="J109" s="5" t="s">
        <v>63</v>
      </c>
      <c r="K109" s="5" t="s">
        <v>71</v>
      </c>
      <c r="L109" s="5" t="s">
        <v>60</v>
      </c>
      <c r="M109" s="5" t="s">
        <v>66</v>
      </c>
      <c r="N109" s="5" t="s">
        <v>53</v>
      </c>
      <c r="O109" s="5" t="s">
        <v>48</v>
      </c>
      <c r="P109" s="5" t="s">
        <v>67</v>
      </c>
      <c r="Q109" s="5" t="s">
        <v>59</v>
      </c>
      <c r="R109" s="5" t="s">
        <v>55</v>
      </c>
      <c r="S109" s="1">
        <v>7</v>
      </c>
      <c r="T109" s="1">
        <v>58</v>
      </c>
      <c r="U109" s="1">
        <v>40</v>
      </c>
      <c r="Z109">
        <f t="shared" si="23"/>
        <v>107</v>
      </c>
      <c r="AA109">
        <f t="shared" si="22"/>
        <v>0</v>
      </c>
    </row>
    <row r="110" spans="1:27" ht="28.8" x14ac:dyDescent="0.3">
      <c r="A110" s="41">
        <v>95</v>
      </c>
      <c r="B110" s="4"/>
      <c r="C110" s="6" t="s">
        <v>29</v>
      </c>
      <c r="D110" s="5"/>
      <c r="E110" s="5" t="s">
        <v>56</v>
      </c>
      <c r="F110" s="5" t="s">
        <v>47</v>
      </c>
      <c r="G110" s="5" t="s">
        <v>75</v>
      </c>
      <c r="H110" s="5" t="s">
        <v>73</v>
      </c>
      <c r="I110" s="5" t="s">
        <v>54</v>
      </c>
      <c r="J110" s="5" t="s">
        <v>208</v>
      </c>
      <c r="K110" s="5" t="s">
        <v>71</v>
      </c>
      <c r="L110" s="5" t="s">
        <v>72</v>
      </c>
      <c r="M110" s="5" t="s">
        <v>209</v>
      </c>
      <c r="N110" s="5" t="s">
        <v>53</v>
      </c>
      <c r="O110" s="5" t="s">
        <v>210</v>
      </c>
      <c r="P110" s="5" t="s">
        <v>74</v>
      </c>
      <c r="Q110" s="5" t="s">
        <v>52</v>
      </c>
      <c r="R110" s="5" t="s">
        <v>65</v>
      </c>
      <c r="S110" s="1">
        <v>7</v>
      </c>
      <c r="T110" s="1">
        <v>46</v>
      </c>
      <c r="U110" s="1">
        <v>40</v>
      </c>
      <c r="Z110">
        <f t="shared" si="23"/>
        <v>108</v>
      </c>
      <c r="AA110">
        <f t="shared" si="22"/>
        <v>0</v>
      </c>
    </row>
    <row r="111" spans="1:27" x14ac:dyDescent="0.3">
      <c r="A111" s="41">
        <v>96</v>
      </c>
      <c r="B111" s="4"/>
      <c r="C111" s="6" t="s">
        <v>16</v>
      </c>
      <c r="D111" s="5"/>
      <c r="E111" s="5" t="s">
        <v>51</v>
      </c>
      <c r="F111" s="5" t="s">
        <v>69</v>
      </c>
      <c r="G111" s="5" t="s">
        <v>75</v>
      </c>
      <c r="H111" s="5" t="s">
        <v>73</v>
      </c>
      <c r="I111" s="5" t="s">
        <v>54</v>
      </c>
      <c r="J111" s="5" t="s">
        <v>63</v>
      </c>
      <c r="K111" s="5" t="s">
        <v>71</v>
      </c>
      <c r="L111" s="5" t="s">
        <v>72</v>
      </c>
      <c r="M111" s="5" t="s">
        <v>209</v>
      </c>
      <c r="N111" s="5" t="s">
        <v>53</v>
      </c>
      <c r="O111" s="5" t="s">
        <v>48</v>
      </c>
      <c r="P111" s="5" t="s">
        <v>67</v>
      </c>
      <c r="Q111" s="5" t="s">
        <v>59</v>
      </c>
      <c r="R111" s="5" t="s">
        <v>65</v>
      </c>
      <c r="S111" s="1">
        <v>7</v>
      </c>
      <c r="T111" s="1">
        <v>57</v>
      </c>
      <c r="U111" s="1">
        <v>41</v>
      </c>
      <c r="Z111">
        <f t="shared" si="23"/>
        <v>109</v>
      </c>
      <c r="AA111">
        <f t="shared" si="22"/>
        <v>0</v>
      </c>
    </row>
    <row r="112" spans="1:27" ht="28.8" x14ac:dyDescent="0.3">
      <c r="A112" s="41">
        <v>97</v>
      </c>
      <c r="B112" s="4"/>
      <c r="C112" s="6" t="s">
        <v>32</v>
      </c>
      <c r="D112" s="5"/>
      <c r="E112" s="5" t="s">
        <v>51</v>
      </c>
      <c r="F112" s="5" t="s">
        <v>69</v>
      </c>
      <c r="G112" s="5" t="s">
        <v>75</v>
      </c>
      <c r="H112" s="5" t="s">
        <v>73</v>
      </c>
      <c r="I112" s="5" t="s">
        <v>54</v>
      </c>
      <c r="J112" s="5" t="s">
        <v>63</v>
      </c>
      <c r="K112" s="5" t="s">
        <v>71</v>
      </c>
      <c r="L112" s="5" t="s">
        <v>72</v>
      </c>
      <c r="M112" s="5" t="s">
        <v>209</v>
      </c>
      <c r="N112" s="5" t="s">
        <v>68</v>
      </c>
      <c r="O112" s="5" t="s">
        <v>48</v>
      </c>
      <c r="P112" s="5" t="s">
        <v>67</v>
      </c>
      <c r="Q112" s="5" t="s">
        <v>52</v>
      </c>
      <c r="R112" s="5" t="s">
        <v>65</v>
      </c>
      <c r="S112" s="1">
        <v>7</v>
      </c>
      <c r="T112" s="1">
        <v>47</v>
      </c>
      <c r="U112" s="1">
        <v>41</v>
      </c>
      <c r="Z112">
        <f t="shared" si="23"/>
        <v>110</v>
      </c>
      <c r="AA112">
        <f t="shared" si="22"/>
        <v>0</v>
      </c>
    </row>
    <row r="113" spans="1:27" ht="28.8" x14ac:dyDescent="0.3">
      <c r="A113" s="41">
        <v>98</v>
      </c>
      <c r="B113" s="4"/>
      <c r="C113" s="6" t="s">
        <v>36</v>
      </c>
      <c r="D113" s="5"/>
      <c r="E113" s="5" t="s">
        <v>56</v>
      </c>
      <c r="F113" s="5" t="s">
        <v>69</v>
      </c>
      <c r="G113" s="5" t="s">
        <v>75</v>
      </c>
      <c r="H113" s="5" t="s">
        <v>73</v>
      </c>
      <c r="I113" s="5" t="s">
        <v>54</v>
      </c>
      <c r="J113" s="5" t="s">
        <v>208</v>
      </c>
      <c r="K113" s="5" t="s">
        <v>71</v>
      </c>
      <c r="L113" s="5" t="s">
        <v>60</v>
      </c>
      <c r="M113" s="5" t="s">
        <v>209</v>
      </c>
      <c r="N113" s="5" t="s">
        <v>53</v>
      </c>
      <c r="O113" s="5" t="s">
        <v>210</v>
      </c>
      <c r="P113" s="5" t="s">
        <v>67</v>
      </c>
      <c r="Q113" s="5" t="s">
        <v>59</v>
      </c>
      <c r="R113" s="5" t="s">
        <v>65</v>
      </c>
      <c r="S113" s="1">
        <v>7</v>
      </c>
      <c r="T113" s="1">
        <v>50</v>
      </c>
      <c r="U113" s="1">
        <v>42</v>
      </c>
      <c r="Z113">
        <f t="shared" si="23"/>
        <v>111</v>
      </c>
      <c r="AA113">
        <f t="shared" si="22"/>
        <v>0</v>
      </c>
    </row>
    <row r="114" spans="1:27" x14ac:dyDescent="0.3">
      <c r="A114" s="41">
        <v>99</v>
      </c>
      <c r="B114" s="4"/>
      <c r="C114" s="6" t="s">
        <v>169</v>
      </c>
      <c r="D114" s="5"/>
      <c r="E114" s="5" t="s">
        <v>51</v>
      </c>
      <c r="F114" s="5" t="s">
        <v>69</v>
      </c>
      <c r="G114" s="5" t="s">
        <v>75</v>
      </c>
      <c r="H114" s="5" t="s">
        <v>73</v>
      </c>
      <c r="I114" s="5" t="s">
        <v>54</v>
      </c>
      <c r="J114" s="5" t="s">
        <v>208</v>
      </c>
      <c r="K114" s="5" t="s">
        <v>71</v>
      </c>
      <c r="L114" s="5" t="s">
        <v>72</v>
      </c>
      <c r="M114" s="5" t="s">
        <v>209</v>
      </c>
      <c r="N114" s="5" t="s">
        <v>53</v>
      </c>
      <c r="O114" s="5" t="s">
        <v>48</v>
      </c>
      <c r="P114" s="5" t="s">
        <v>67</v>
      </c>
      <c r="Q114" s="5" t="s">
        <v>59</v>
      </c>
      <c r="R114" s="5" t="s">
        <v>55</v>
      </c>
      <c r="S114" s="1">
        <v>7</v>
      </c>
      <c r="T114" s="1">
        <v>48</v>
      </c>
      <c r="U114" s="1">
        <v>43</v>
      </c>
      <c r="Z114">
        <f t="shared" si="23"/>
        <v>112</v>
      </c>
      <c r="AA114">
        <f t="shared" si="22"/>
        <v>0</v>
      </c>
    </row>
    <row r="115" spans="1:27" x14ac:dyDescent="0.3">
      <c r="A115" s="41">
        <v>100</v>
      </c>
      <c r="B115" s="4"/>
      <c r="C115" s="6" t="s">
        <v>141</v>
      </c>
      <c r="D115" s="5"/>
      <c r="E115" s="5" t="s">
        <v>56</v>
      </c>
      <c r="F115" s="5" t="s">
        <v>69</v>
      </c>
      <c r="G115" s="5" t="s">
        <v>62</v>
      </c>
      <c r="H115" s="5" t="s">
        <v>73</v>
      </c>
      <c r="I115" s="5" t="s">
        <v>54</v>
      </c>
      <c r="J115" s="5" t="s">
        <v>63</v>
      </c>
      <c r="K115" s="5" t="s">
        <v>71</v>
      </c>
      <c r="L115" s="5" t="s">
        <v>72</v>
      </c>
      <c r="M115" s="5" t="s">
        <v>209</v>
      </c>
      <c r="N115" s="5" t="s">
        <v>53</v>
      </c>
      <c r="O115" s="5" t="s">
        <v>210</v>
      </c>
      <c r="P115" s="5" t="s">
        <v>67</v>
      </c>
      <c r="Q115" s="5" t="s">
        <v>59</v>
      </c>
      <c r="R115" s="5" t="s">
        <v>55</v>
      </c>
      <c r="S115" s="1">
        <v>7</v>
      </c>
      <c r="T115" s="1">
        <v>45</v>
      </c>
      <c r="U115" s="1">
        <v>43</v>
      </c>
      <c r="Z115">
        <f t="shared" si="23"/>
        <v>113</v>
      </c>
      <c r="AA115">
        <f t="shared" si="22"/>
        <v>0</v>
      </c>
    </row>
    <row r="116" spans="1:27" ht="28.8" x14ac:dyDescent="0.3">
      <c r="A116" s="41">
        <v>101</v>
      </c>
      <c r="B116" s="4"/>
      <c r="C116" s="6" t="s">
        <v>28</v>
      </c>
      <c r="D116" s="5"/>
      <c r="E116" s="5" t="s">
        <v>51</v>
      </c>
      <c r="F116" s="5" t="s">
        <v>47</v>
      </c>
      <c r="G116" s="5" t="s">
        <v>75</v>
      </c>
      <c r="H116" s="5" t="s">
        <v>61</v>
      </c>
      <c r="I116" s="5" t="s">
        <v>54</v>
      </c>
      <c r="J116" s="5" t="s">
        <v>63</v>
      </c>
      <c r="K116" s="5" t="s">
        <v>207</v>
      </c>
      <c r="L116" s="5" t="s">
        <v>60</v>
      </c>
      <c r="M116" s="5" t="s">
        <v>209</v>
      </c>
      <c r="N116" s="5" t="s">
        <v>53</v>
      </c>
      <c r="O116" s="5" t="s">
        <v>48</v>
      </c>
      <c r="P116" s="5" t="s">
        <v>74</v>
      </c>
      <c r="Q116" s="5" t="s">
        <v>52</v>
      </c>
      <c r="R116" s="5" t="s">
        <v>65</v>
      </c>
      <c r="S116" s="1">
        <v>7</v>
      </c>
      <c r="T116" s="1">
        <v>48</v>
      </c>
      <c r="U116" s="1">
        <v>44</v>
      </c>
      <c r="Z116">
        <f t="shared" si="23"/>
        <v>114</v>
      </c>
      <c r="AA116">
        <f t="shared" si="22"/>
        <v>0</v>
      </c>
    </row>
    <row r="117" spans="1:27" ht="28.8" x14ac:dyDescent="0.3">
      <c r="A117" s="41">
        <v>102</v>
      </c>
      <c r="B117" s="4"/>
      <c r="C117" s="6" t="s">
        <v>165</v>
      </c>
      <c r="D117" s="5"/>
      <c r="E117" s="5" t="s">
        <v>56</v>
      </c>
      <c r="F117" s="5" t="s">
        <v>47</v>
      </c>
      <c r="G117" s="5" t="s">
        <v>62</v>
      </c>
      <c r="H117" s="5" t="s">
        <v>61</v>
      </c>
      <c r="I117" s="5" t="s">
        <v>57</v>
      </c>
      <c r="J117" s="5" t="s">
        <v>208</v>
      </c>
      <c r="K117" s="5" t="s">
        <v>71</v>
      </c>
      <c r="L117" s="5" t="s">
        <v>72</v>
      </c>
      <c r="M117" s="5" t="s">
        <v>66</v>
      </c>
      <c r="N117" s="5" t="s">
        <v>68</v>
      </c>
      <c r="O117" s="5" t="s">
        <v>210</v>
      </c>
      <c r="P117" s="5" t="s">
        <v>67</v>
      </c>
      <c r="Q117" s="5" t="s">
        <v>59</v>
      </c>
      <c r="R117" s="5" t="s">
        <v>55</v>
      </c>
      <c r="S117" s="1">
        <v>7</v>
      </c>
      <c r="T117" s="1">
        <v>46</v>
      </c>
      <c r="U117" s="1">
        <v>44</v>
      </c>
      <c r="Z117">
        <f t="shared" si="23"/>
        <v>115</v>
      </c>
      <c r="AA117">
        <f t="shared" si="22"/>
        <v>0</v>
      </c>
    </row>
    <row r="118" spans="1:27" x14ac:dyDescent="0.3">
      <c r="A118" s="41">
        <v>103</v>
      </c>
      <c r="B118" s="4"/>
      <c r="C118" s="6" t="s">
        <v>136</v>
      </c>
      <c r="D118" s="5"/>
      <c r="E118" s="5" t="s">
        <v>56</v>
      </c>
      <c r="F118" s="5" t="s">
        <v>47</v>
      </c>
      <c r="G118" s="5" t="s">
        <v>75</v>
      </c>
      <c r="H118" s="5" t="s">
        <v>73</v>
      </c>
      <c r="I118" s="5" t="s">
        <v>57</v>
      </c>
      <c r="J118" s="5" t="s">
        <v>208</v>
      </c>
      <c r="K118" s="5" t="s">
        <v>207</v>
      </c>
      <c r="L118" s="5" t="s">
        <v>60</v>
      </c>
      <c r="M118" s="5" t="s">
        <v>209</v>
      </c>
      <c r="N118" s="5" t="s">
        <v>53</v>
      </c>
      <c r="O118" s="5" t="s">
        <v>48</v>
      </c>
      <c r="P118" s="5" t="s">
        <v>74</v>
      </c>
      <c r="Q118" s="5" t="s">
        <v>52</v>
      </c>
      <c r="R118" s="5" t="s">
        <v>65</v>
      </c>
      <c r="S118" s="1">
        <v>7</v>
      </c>
      <c r="T118" s="1">
        <v>48</v>
      </c>
      <c r="U118" s="1">
        <v>44</v>
      </c>
      <c r="Z118">
        <f t="shared" si="23"/>
        <v>116</v>
      </c>
      <c r="AA118">
        <f t="shared" si="22"/>
        <v>0</v>
      </c>
    </row>
    <row r="119" spans="1:27" ht="28.8" x14ac:dyDescent="0.3">
      <c r="A119" s="41">
        <v>104</v>
      </c>
      <c r="B119" s="4"/>
      <c r="C119" s="6" t="s">
        <v>114</v>
      </c>
      <c r="D119" s="5"/>
      <c r="E119" s="5" t="s">
        <v>56</v>
      </c>
      <c r="F119" s="5" t="s">
        <v>47</v>
      </c>
      <c r="G119" s="5" t="s">
        <v>75</v>
      </c>
      <c r="H119" s="5" t="s">
        <v>73</v>
      </c>
      <c r="I119" s="5" t="s">
        <v>57</v>
      </c>
      <c r="J119" s="5" t="s">
        <v>63</v>
      </c>
      <c r="K119" s="5" t="s">
        <v>71</v>
      </c>
      <c r="L119" s="5" t="s">
        <v>60</v>
      </c>
      <c r="M119" s="5" t="s">
        <v>209</v>
      </c>
      <c r="N119" s="5" t="s">
        <v>68</v>
      </c>
      <c r="O119" s="5" t="s">
        <v>48</v>
      </c>
      <c r="P119" s="5" t="s">
        <v>74</v>
      </c>
      <c r="Q119" s="5" t="s">
        <v>59</v>
      </c>
      <c r="R119" s="5" t="s">
        <v>65</v>
      </c>
      <c r="S119" s="1">
        <v>7</v>
      </c>
      <c r="T119" s="1">
        <v>52</v>
      </c>
      <c r="U119" s="1">
        <v>45</v>
      </c>
      <c r="Z119">
        <f t="shared" si="23"/>
        <v>117</v>
      </c>
      <c r="AA119">
        <f t="shared" si="22"/>
        <v>0</v>
      </c>
    </row>
    <row r="120" spans="1:27" x14ac:dyDescent="0.3">
      <c r="A120" s="41">
        <v>105</v>
      </c>
      <c r="B120" s="4"/>
      <c r="C120" s="6" t="s">
        <v>98</v>
      </c>
      <c r="D120" s="5"/>
      <c r="E120" s="5" t="s">
        <v>56</v>
      </c>
      <c r="F120" s="5" t="s">
        <v>69</v>
      </c>
      <c r="G120" s="5" t="s">
        <v>75</v>
      </c>
      <c r="H120" s="5" t="s">
        <v>73</v>
      </c>
      <c r="I120" s="5" t="s">
        <v>57</v>
      </c>
      <c r="J120" s="5" t="s">
        <v>63</v>
      </c>
      <c r="K120" s="5" t="s">
        <v>207</v>
      </c>
      <c r="L120" s="5" t="s">
        <v>60</v>
      </c>
      <c r="M120" s="5" t="s">
        <v>66</v>
      </c>
      <c r="N120" s="5" t="s">
        <v>53</v>
      </c>
      <c r="O120" s="5" t="s">
        <v>48</v>
      </c>
      <c r="P120" s="5" t="s">
        <v>74</v>
      </c>
      <c r="Q120" s="5" t="s">
        <v>59</v>
      </c>
      <c r="R120" s="5" t="s">
        <v>65</v>
      </c>
      <c r="S120" s="1">
        <v>7</v>
      </c>
      <c r="T120" s="1">
        <v>54</v>
      </c>
      <c r="U120" s="1">
        <v>45</v>
      </c>
      <c r="Z120">
        <f t="shared" si="23"/>
        <v>118</v>
      </c>
      <c r="AA120">
        <f t="shared" si="22"/>
        <v>0</v>
      </c>
    </row>
    <row r="121" spans="1:27" ht="28.8" x14ac:dyDescent="0.3">
      <c r="A121" s="41">
        <v>106</v>
      </c>
      <c r="B121" s="4"/>
      <c r="C121" s="6" t="s">
        <v>175</v>
      </c>
      <c r="D121" s="5"/>
      <c r="E121" s="5" t="s">
        <v>56</v>
      </c>
      <c r="F121" s="5" t="s">
        <v>47</v>
      </c>
      <c r="G121" s="5" t="s">
        <v>62</v>
      </c>
      <c r="H121" s="5" t="s">
        <v>73</v>
      </c>
      <c r="I121" s="5" t="s">
        <v>54</v>
      </c>
      <c r="J121" s="5" t="s">
        <v>63</v>
      </c>
      <c r="K121" s="5" t="s">
        <v>71</v>
      </c>
      <c r="L121" s="5" t="s">
        <v>60</v>
      </c>
      <c r="M121" s="5" t="s">
        <v>209</v>
      </c>
      <c r="N121" s="5" t="s">
        <v>68</v>
      </c>
      <c r="O121" s="5" t="s">
        <v>210</v>
      </c>
      <c r="P121" s="5" t="s">
        <v>67</v>
      </c>
      <c r="Q121" s="5" t="s">
        <v>59</v>
      </c>
      <c r="R121" s="5" t="s">
        <v>65</v>
      </c>
      <c r="S121" s="1">
        <v>7</v>
      </c>
      <c r="T121" s="1">
        <v>38</v>
      </c>
      <c r="U121" s="1">
        <v>45</v>
      </c>
    </row>
    <row r="122" spans="1:27" x14ac:dyDescent="0.3">
      <c r="A122" s="41">
        <v>107</v>
      </c>
      <c r="B122" s="4"/>
      <c r="C122" s="6" t="s">
        <v>156</v>
      </c>
      <c r="D122" s="5"/>
      <c r="E122" s="5" t="s">
        <v>56</v>
      </c>
      <c r="F122" s="5" t="s">
        <v>69</v>
      </c>
      <c r="G122" s="5" t="s">
        <v>75</v>
      </c>
      <c r="H122" s="5" t="s">
        <v>73</v>
      </c>
      <c r="I122" s="5" t="s">
        <v>57</v>
      </c>
      <c r="J122" s="5" t="s">
        <v>63</v>
      </c>
      <c r="K122" s="5" t="s">
        <v>71</v>
      </c>
      <c r="L122" s="5" t="s">
        <v>60</v>
      </c>
      <c r="M122" s="5" t="s">
        <v>209</v>
      </c>
      <c r="N122" s="5" t="s">
        <v>68</v>
      </c>
      <c r="O122" s="5" t="s">
        <v>48</v>
      </c>
      <c r="P122" s="5" t="s">
        <v>74</v>
      </c>
      <c r="Q122" s="5" t="s">
        <v>59</v>
      </c>
      <c r="R122" s="5" t="s">
        <v>55</v>
      </c>
      <c r="S122" s="1">
        <v>7</v>
      </c>
      <c r="T122" s="1">
        <v>50</v>
      </c>
      <c r="U122" s="1">
        <v>45</v>
      </c>
    </row>
    <row r="123" spans="1:27" ht="28.8" x14ac:dyDescent="0.3">
      <c r="A123" s="41">
        <v>108</v>
      </c>
      <c r="B123" s="4"/>
      <c r="C123" s="6" t="s">
        <v>176</v>
      </c>
      <c r="D123" s="5"/>
      <c r="E123" s="5" t="s">
        <v>51</v>
      </c>
      <c r="F123" s="5" t="s">
        <v>69</v>
      </c>
      <c r="G123" s="5" t="s">
        <v>62</v>
      </c>
      <c r="H123" s="5" t="s">
        <v>73</v>
      </c>
      <c r="I123" s="5" t="s">
        <v>57</v>
      </c>
      <c r="J123" s="5" t="s">
        <v>208</v>
      </c>
      <c r="K123" s="5" t="s">
        <v>71</v>
      </c>
      <c r="L123" s="5" t="s">
        <v>72</v>
      </c>
      <c r="M123" s="5" t="s">
        <v>209</v>
      </c>
      <c r="N123" s="5" t="s">
        <v>53</v>
      </c>
      <c r="O123" s="5" t="s">
        <v>48</v>
      </c>
      <c r="P123" s="5" t="s">
        <v>74</v>
      </c>
      <c r="Q123" s="5" t="s">
        <v>52</v>
      </c>
      <c r="R123" s="5" t="s">
        <v>55</v>
      </c>
      <c r="S123" s="1">
        <v>7</v>
      </c>
      <c r="T123" s="1">
        <v>50</v>
      </c>
      <c r="U123" s="1">
        <v>45</v>
      </c>
    </row>
    <row r="124" spans="1:27" x14ac:dyDescent="0.3">
      <c r="A124" s="41">
        <v>109</v>
      </c>
      <c r="B124" s="4"/>
      <c r="C124" s="6" t="s">
        <v>94</v>
      </c>
      <c r="D124" s="5"/>
      <c r="E124" s="5" t="s">
        <v>56</v>
      </c>
      <c r="F124" s="5" t="s">
        <v>69</v>
      </c>
      <c r="G124" s="5" t="s">
        <v>75</v>
      </c>
      <c r="H124" s="5" t="s">
        <v>73</v>
      </c>
      <c r="I124" s="5" t="s">
        <v>57</v>
      </c>
      <c r="J124" s="5" t="s">
        <v>63</v>
      </c>
      <c r="K124" s="5" t="s">
        <v>71</v>
      </c>
      <c r="L124" s="5" t="s">
        <v>60</v>
      </c>
      <c r="M124" s="5" t="s">
        <v>209</v>
      </c>
      <c r="N124" s="5" t="s">
        <v>53</v>
      </c>
      <c r="O124" s="5" t="s">
        <v>48</v>
      </c>
      <c r="P124" s="5" t="s">
        <v>74</v>
      </c>
      <c r="Q124" s="5" t="s">
        <v>59</v>
      </c>
      <c r="R124" s="5" t="s">
        <v>65</v>
      </c>
      <c r="S124" s="1">
        <v>7</v>
      </c>
      <c r="T124" s="1">
        <v>58</v>
      </c>
      <c r="U124" s="1">
        <v>46</v>
      </c>
    </row>
    <row r="125" spans="1:27" x14ac:dyDescent="0.3">
      <c r="A125" s="41">
        <v>110</v>
      </c>
      <c r="B125" s="4"/>
      <c r="C125" s="6" t="s">
        <v>173</v>
      </c>
      <c r="D125" s="5"/>
      <c r="E125" s="5" t="s">
        <v>51</v>
      </c>
      <c r="F125" s="5" t="s">
        <v>69</v>
      </c>
      <c r="G125" s="5" t="s">
        <v>75</v>
      </c>
      <c r="H125" s="5" t="s">
        <v>61</v>
      </c>
      <c r="I125" s="5" t="s">
        <v>54</v>
      </c>
      <c r="J125" s="5" t="s">
        <v>63</v>
      </c>
      <c r="K125" s="5" t="s">
        <v>71</v>
      </c>
      <c r="L125" s="5" t="s">
        <v>72</v>
      </c>
      <c r="M125" s="5" t="s">
        <v>66</v>
      </c>
      <c r="N125" s="5" t="s">
        <v>68</v>
      </c>
      <c r="O125" s="5" t="s">
        <v>210</v>
      </c>
      <c r="P125" s="5" t="s">
        <v>67</v>
      </c>
      <c r="Q125" s="5" t="s">
        <v>59</v>
      </c>
      <c r="R125" s="5" t="s">
        <v>65</v>
      </c>
      <c r="S125" s="1">
        <v>7</v>
      </c>
      <c r="T125" s="1">
        <v>51</v>
      </c>
      <c r="U125" s="1">
        <v>46</v>
      </c>
    </row>
    <row r="126" spans="1:27" x14ac:dyDescent="0.3">
      <c r="A126" s="41">
        <v>111</v>
      </c>
      <c r="B126" s="4"/>
      <c r="C126" s="6" t="s">
        <v>168</v>
      </c>
      <c r="D126" s="5"/>
      <c r="E126" s="5" t="s">
        <v>51</v>
      </c>
      <c r="F126" s="5" t="s">
        <v>47</v>
      </c>
      <c r="G126" s="5" t="s">
        <v>62</v>
      </c>
      <c r="H126" s="5" t="s">
        <v>73</v>
      </c>
      <c r="I126" s="5" t="s">
        <v>54</v>
      </c>
      <c r="J126" s="5" t="s">
        <v>63</v>
      </c>
      <c r="K126" s="5" t="s">
        <v>71</v>
      </c>
      <c r="L126" s="5" t="s">
        <v>72</v>
      </c>
      <c r="M126" s="5" t="s">
        <v>66</v>
      </c>
      <c r="N126" s="5" t="s">
        <v>68</v>
      </c>
      <c r="O126" s="5" t="s">
        <v>48</v>
      </c>
      <c r="P126" s="5" t="s">
        <v>74</v>
      </c>
      <c r="Q126" s="5" t="s">
        <v>52</v>
      </c>
      <c r="R126" s="5" t="s">
        <v>65</v>
      </c>
      <c r="S126" s="1">
        <v>7</v>
      </c>
      <c r="T126" s="1">
        <v>53</v>
      </c>
      <c r="U126" s="1">
        <v>47</v>
      </c>
    </row>
    <row r="127" spans="1:27" x14ac:dyDescent="0.3">
      <c r="A127" s="41">
        <v>112</v>
      </c>
      <c r="B127" s="4"/>
      <c r="C127" s="6" t="s">
        <v>186</v>
      </c>
      <c r="D127" s="5"/>
      <c r="E127" s="5" t="s">
        <v>56</v>
      </c>
      <c r="F127" s="5" t="s">
        <v>69</v>
      </c>
      <c r="G127" s="5" t="s">
        <v>75</v>
      </c>
      <c r="H127" s="5" t="s">
        <v>61</v>
      </c>
      <c r="I127" s="5" t="s">
        <v>54</v>
      </c>
      <c r="J127" s="5" t="s">
        <v>63</v>
      </c>
      <c r="K127" s="5" t="s">
        <v>207</v>
      </c>
      <c r="L127" s="5" t="s">
        <v>60</v>
      </c>
      <c r="M127" s="5" t="s">
        <v>209</v>
      </c>
      <c r="N127" s="5" t="s">
        <v>53</v>
      </c>
      <c r="O127" s="5" t="s">
        <v>210</v>
      </c>
      <c r="P127" s="5" t="s">
        <v>67</v>
      </c>
      <c r="Q127" s="5" t="s">
        <v>59</v>
      </c>
      <c r="R127" s="5" t="s">
        <v>55</v>
      </c>
      <c r="S127" s="1">
        <v>7</v>
      </c>
      <c r="T127" s="1">
        <v>45</v>
      </c>
      <c r="U127" s="1">
        <v>49</v>
      </c>
    </row>
    <row r="128" spans="1:27" ht="28.8" x14ac:dyDescent="0.3">
      <c r="A128" s="41">
        <v>113</v>
      </c>
      <c r="B128" s="4"/>
      <c r="C128" s="6" t="s">
        <v>184</v>
      </c>
      <c r="D128" s="5"/>
      <c r="E128" s="5" t="s">
        <v>51</v>
      </c>
      <c r="F128" s="5" t="s">
        <v>69</v>
      </c>
      <c r="G128" s="5" t="s">
        <v>75</v>
      </c>
      <c r="H128" s="5" t="s">
        <v>73</v>
      </c>
      <c r="I128" s="5" t="s">
        <v>54</v>
      </c>
      <c r="J128" s="5" t="s">
        <v>208</v>
      </c>
      <c r="K128" s="5" t="s">
        <v>71</v>
      </c>
      <c r="L128" s="5" t="s">
        <v>72</v>
      </c>
      <c r="M128" s="5" t="s">
        <v>209</v>
      </c>
      <c r="N128" s="5" t="s">
        <v>53</v>
      </c>
      <c r="O128" s="5" t="s">
        <v>48</v>
      </c>
      <c r="P128" s="5" t="s">
        <v>74</v>
      </c>
      <c r="Q128" s="5" t="s">
        <v>52</v>
      </c>
      <c r="R128" s="5" t="s">
        <v>55</v>
      </c>
      <c r="S128" s="1">
        <v>7</v>
      </c>
      <c r="T128" s="1">
        <v>51</v>
      </c>
      <c r="U128" s="1">
        <v>52</v>
      </c>
    </row>
    <row r="129" spans="1:21" ht="28.8" x14ac:dyDescent="0.3">
      <c r="A129" s="41">
        <v>114</v>
      </c>
      <c r="B129" s="4"/>
      <c r="C129" s="6" t="s">
        <v>92</v>
      </c>
      <c r="D129" s="5"/>
      <c r="E129" s="5" t="s">
        <v>56</v>
      </c>
      <c r="F129" s="5" t="s">
        <v>69</v>
      </c>
      <c r="G129" s="5" t="s">
        <v>75</v>
      </c>
      <c r="H129" s="5" t="s">
        <v>73</v>
      </c>
      <c r="I129" s="5" t="s">
        <v>57</v>
      </c>
      <c r="J129" s="5" t="s">
        <v>208</v>
      </c>
      <c r="K129" s="5" t="s">
        <v>71</v>
      </c>
      <c r="L129" s="5" t="s">
        <v>72</v>
      </c>
      <c r="M129" s="5" t="s">
        <v>209</v>
      </c>
      <c r="N129" s="5" t="s">
        <v>53</v>
      </c>
      <c r="O129" s="5" t="s">
        <v>210</v>
      </c>
      <c r="P129" s="5" t="s">
        <v>74</v>
      </c>
      <c r="Q129" s="5" t="s">
        <v>59</v>
      </c>
      <c r="R129" s="5" t="s">
        <v>65</v>
      </c>
      <c r="S129" s="1">
        <v>6</v>
      </c>
      <c r="T129" s="1">
        <v>50</v>
      </c>
      <c r="U129" s="1">
        <v>37</v>
      </c>
    </row>
    <row r="130" spans="1:21" ht="28.8" x14ac:dyDescent="0.3">
      <c r="A130" s="41">
        <v>115</v>
      </c>
      <c r="B130" s="4"/>
      <c r="C130" s="6" t="s">
        <v>103</v>
      </c>
      <c r="D130" s="5"/>
      <c r="E130" s="5" t="s">
        <v>56</v>
      </c>
      <c r="F130" s="5" t="s">
        <v>69</v>
      </c>
      <c r="G130" s="5" t="s">
        <v>75</v>
      </c>
      <c r="H130" s="5" t="s">
        <v>61</v>
      </c>
      <c r="I130" s="5" t="s">
        <v>54</v>
      </c>
      <c r="J130" s="5" t="s">
        <v>63</v>
      </c>
      <c r="K130" s="5" t="s">
        <v>71</v>
      </c>
      <c r="L130" s="5" t="s">
        <v>60</v>
      </c>
      <c r="M130" s="5" t="s">
        <v>209</v>
      </c>
      <c r="N130" s="5" t="s">
        <v>68</v>
      </c>
      <c r="O130" s="5" t="s">
        <v>210</v>
      </c>
      <c r="P130" s="5" t="s">
        <v>74</v>
      </c>
      <c r="Q130" s="5" t="s">
        <v>52</v>
      </c>
      <c r="R130" s="5" t="s">
        <v>65</v>
      </c>
      <c r="S130" s="1">
        <v>6</v>
      </c>
      <c r="T130" s="1">
        <v>48</v>
      </c>
      <c r="U130" s="1">
        <v>37</v>
      </c>
    </row>
    <row r="131" spans="1:21" ht="28.8" x14ac:dyDescent="0.3">
      <c r="A131" s="41">
        <v>116</v>
      </c>
      <c r="B131" s="4"/>
      <c r="C131" s="6" t="s">
        <v>193</v>
      </c>
      <c r="D131" s="5"/>
      <c r="E131" s="5" t="s">
        <v>56</v>
      </c>
      <c r="F131" s="5" t="s">
        <v>69</v>
      </c>
      <c r="G131" s="5" t="s">
        <v>75</v>
      </c>
      <c r="H131" s="5" t="s">
        <v>73</v>
      </c>
      <c r="I131" s="5" t="s">
        <v>57</v>
      </c>
      <c r="J131" s="5" t="s">
        <v>63</v>
      </c>
      <c r="K131" s="5" t="s">
        <v>207</v>
      </c>
      <c r="L131" s="5" t="s">
        <v>60</v>
      </c>
      <c r="M131" s="5" t="s">
        <v>209</v>
      </c>
      <c r="N131" s="5" t="s">
        <v>53</v>
      </c>
      <c r="O131" s="5" t="s">
        <v>48</v>
      </c>
      <c r="P131" s="5" t="s">
        <v>74</v>
      </c>
      <c r="Q131" s="5" t="s">
        <v>59</v>
      </c>
      <c r="R131" s="5" t="s">
        <v>65</v>
      </c>
      <c r="S131" s="1">
        <v>6</v>
      </c>
      <c r="T131" s="1">
        <v>47</v>
      </c>
      <c r="U131" s="1">
        <v>38</v>
      </c>
    </row>
    <row r="132" spans="1:21" x14ac:dyDescent="0.3">
      <c r="A132" s="41">
        <v>117</v>
      </c>
      <c r="B132" s="4"/>
      <c r="C132" s="6" t="s">
        <v>93</v>
      </c>
      <c r="D132" s="5"/>
      <c r="E132" s="5" t="s">
        <v>51</v>
      </c>
      <c r="F132" s="5" t="s">
        <v>69</v>
      </c>
      <c r="G132" s="5" t="s">
        <v>75</v>
      </c>
      <c r="H132" s="5" t="s">
        <v>73</v>
      </c>
      <c r="I132" s="5" t="s">
        <v>54</v>
      </c>
      <c r="J132" s="5" t="s">
        <v>208</v>
      </c>
      <c r="K132" s="5" t="s">
        <v>207</v>
      </c>
      <c r="L132" s="5" t="s">
        <v>60</v>
      </c>
      <c r="M132" s="5" t="s">
        <v>209</v>
      </c>
      <c r="N132" s="5" t="s">
        <v>53</v>
      </c>
      <c r="O132" s="5" t="s">
        <v>48</v>
      </c>
      <c r="P132" s="5" t="s">
        <v>67</v>
      </c>
      <c r="Q132" s="5" t="s">
        <v>59</v>
      </c>
      <c r="R132" s="5" t="s">
        <v>65</v>
      </c>
      <c r="S132" s="1">
        <v>6</v>
      </c>
      <c r="T132" s="1">
        <v>55</v>
      </c>
      <c r="U132" s="1">
        <v>39</v>
      </c>
    </row>
    <row r="133" spans="1:21" x14ac:dyDescent="0.3">
      <c r="A133" s="41">
        <v>118</v>
      </c>
      <c r="B133" s="4"/>
      <c r="C133" s="6" t="s">
        <v>157</v>
      </c>
      <c r="D133" s="5"/>
      <c r="E133" s="5" t="s">
        <v>51</v>
      </c>
      <c r="F133" s="5" t="s">
        <v>69</v>
      </c>
      <c r="G133" s="5" t="s">
        <v>62</v>
      </c>
      <c r="H133" s="5" t="s">
        <v>73</v>
      </c>
      <c r="I133" s="5" t="s">
        <v>54</v>
      </c>
      <c r="J133" s="5" t="s">
        <v>208</v>
      </c>
      <c r="K133" s="5" t="s">
        <v>207</v>
      </c>
      <c r="L133" s="5" t="s">
        <v>60</v>
      </c>
      <c r="M133" s="5" t="s">
        <v>209</v>
      </c>
      <c r="N133" s="5" t="s">
        <v>53</v>
      </c>
      <c r="O133" s="5" t="s">
        <v>210</v>
      </c>
      <c r="P133" s="5" t="s">
        <v>67</v>
      </c>
      <c r="Q133" s="5" t="s">
        <v>59</v>
      </c>
      <c r="R133" s="5" t="s">
        <v>65</v>
      </c>
      <c r="S133" s="1">
        <v>6</v>
      </c>
      <c r="T133" s="1">
        <v>44</v>
      </c>
      <c r="U133" s="1">
        <v>40</v>
      </c>
    </row>
    <row r="134" spans="1:21" ht="28.8" x14ac:dyDescent="0.3">
      <c r="A134" s="41">
        <v>119</v>
      </c>
      <c r="B134" s="4"/>
      <c r="C134" s="6" t="s">
        <v>158</v>
      </c>
      <c r="D134" s="5"/>
      <c r="E134" s="5" t="s">
        <v>51</v>
      </c>
      <c r="F134" s="5" t="s">
        <v>69</v>
      </c>
      <c r="G134" s="5" t="s">
        <v>62</v>
      </c>
      <c r="H134" s="5" t="s">
        <v>61</v>
      </c>
      <c r="I134" s="5" t="s">
        <v>54</v>
      </c>
      <c r="J134" s="5" t="s">
        <v>63</v>
      </c>
      <c r="K134" s="5" t="s">
        <v>71</v>
      </c>
      <c r="L134" s="5" t="s">
        <v>60</v>
      </c>
      <c r="M134" s="5" t="s">
        <v>209</v>
      </c>
      <c r="N134" s="5" t="s">
        <v>53</v>
      </c>
      <c r="O134" s="5" t="s">
        <v>48</v>
      </c>
      <c r="P134" s="5" t="s">
        <v>74</v>
      </c>
      <c r="Q134" s="5" t="s">
        <v>52</v>
      </c>
      <c r="R134" s="5" t="s">
        <v>65</v>
      </c>
      <c r="S134" s="1">
        <v>6</v>
      </c>
      <c r="T134" s="1">
        <v>50</v>
      </c>
      <c r="U134" s="1">
        <v>42</v>
      </c>
    </row>
    <row r="135" spans="1:21" x14ac:dyDescent="0.3">
      <c r="A135" s="41">
        <v>120</v>
      </c>
      <c r="B135" s="4"/>
      <c r="C135" s="6" t="s">
        <v>155</v>
      </c>
      <c r="D135" s="5"/>
      <c r="E135" s="5" t="s">
        <v>51</v>
      </c>
      <c r="F135" s="5" t="s">
        <v>69</v>
      </c>
      <c r="G135" s="5" t="s">
        <v>75</v>
      </c>
      <c r="H135" s="5" t="s">
        <v>61</v>
      </c>
      <c r="I135" s="5" t="s">
        <v>54</v>
      </c>
      <c r="J135" s="5" t="s">
        <v>63</v>
      </c>
      <c r="K135" s="5" t="s">
        <v>207</v>
      </c>
      <c r="L135" s="5" t="s">
        <v>72</v>
      </c>
      <c r="M135" s="5" t="s">
        <v>209</v>
      </c>
      <c r="N135" s="5" t="s">
        <v>53</v>
      </c>
      <c r="O135" s="5" t="s">
        <v>48</v>
      </c>
      <c r="P135" s="5" t="s">
        <v>67</v>
      </c>
      <c r="Q135" s="5" t="s">
        <v>59</v>
      </c>
      <c r="R135" s="5" t="s">
        <v>55</v>
      </c>
      <c r="S135" s="1">
        <v>6</v>
      </c>
      <c r="T135" s="1">
        <v>43</v>
      </c>
      <c r="U135" s="1">
        <v>42</v>
      </c>
    </row>
    <row r="136" spans="1:21" x14ac:dyDescent="0.3">
      <c r="A136" s="41">
        <v>121</v>
      </c>
      <c r="B136" s="4"/>
      <c r="C136" s="6" t="s">
        <v>111</v>
      </c>
      <c r="D136" s="5"/>
      <c r="E136" s="5" t="s">
        <v>56</v>
      </c>
      <c r="F136" s="5" t="s">
        <v>47</v>
      </c>
      <c r="G136" s="5" t="s">
        <v>62</v>
      </c>
      <c r="H136" s="5" t="s">
        <v>61</v>
      </c>
      <c r="I136" s="5" t="s">
        <v>57</v>
      </c>
      <c r="J136" s="5" t="s">
        <v>63</v>
      </c>
      <c r="K136" s="5" t="s">
        <v>207</v>
      </c>
      <c r="L136" s="5" t="s">
        <v>72</v>
      </c>
      <c r="M136" s="5" t="s">
        <v>66</v>
      </c>
      <c r="N136" s="5" t="s">
        <v>68</v>
      </c>
      <c r="O136" s="5" t="s">
        <v>48</v>
      </c>
      <c r="P136" s="5" t="s">
        <v>74</v>
      </c>
      <c r="Q136" s="5" t="s">
        <v>52</v>
      </c>
      <c r="R136" s="5" t="s">
        <v>55</v>
      </c>
      <c r="S136" s="1">
        <v>6</v>
      </c>
      <c r="T136" s="1">
        <v>49</v>
      </c>
      <c r="U136" s="1">
        <v>21</v>
      </c>
    </row>
    <row r="137" spans="1:21" x14ac:dyDescent="0.3">
      <c r="A137" s="41">
        <v>122</v>
      </c>
      <c r="B137" s="4"/>
      <c r="C137" s="6" t="s">
        <v>23</v>
      </c>
      <c r="D137" s="5"/>
      <c r="E137" s="5" t="s">
        <v>56</v>
      </c>
      <c r="F137" s="5" t="s">
        <v>69</v>
      </c>
      <c r="G137" s="5" t="s">
        <v>75</v>
      </c>
      <c r="H137" s="5" t="s">
        <v>73</v>
      </c>
      <c r="I137" s="5" t="s">
        <v>54</v>
      </c>
      <c r="J137" s="5" t="s">
        <v>63</v>
      </c>
      <c r="K137" s="5" t="s">
        <v>71</v>
      </c>
      <c r="L137" s="5" t="s">
        <v>60</v>
      </c>
      <c r="M137" s="5" t="s">
        <v>209</v>
      </c>
      <c r="N137" s="5" t="s">
        <v>53</v>
      </c>
      <c r="O137" s="5" t="s">
        <v>48</v>
      </c>
      <c r="P137" s="5" t="s">
        <v>74</v>
      </c>
      <c r="Q137" s="5" t="s">
        <v>59</v>
      </c>
      <c r="R137" s="5" t="s">
        <v>65</v>
      </c>
      <c r="S137" s="1">
        <v>6</v>
      </c>
      <c r="T137" s="1">
        <v>53</v>
      </c>
      <c r="U137" s="1">
        <v>43</v>
      </c>
    </row>
    <row r="138" spans="1:21" ht="28.8" x14ac:dyDescent="0.3">
      <c r="A138" s="41">
        <v>123</v>
      </c>
      <c r="B138" s="4"/>
      <c r="C138" s="6" t="s">
        <v>139</v>
      </c>
      <c r="D138" s="5"/>
      <c r="E138" s="5" t="s">
        <v>56</v>
      </c>
      <c r="F138" s="5" t="s">
        <v>69</v>
      </c>
      <c r="G138" s="5" t="s">
        <v>75</v>
      </c>
      <c r="H138" s="5" t="s">
        <v>73</v>
      </c>
      <c r="I138" s="5" t="s">
        <v>54</v>
      </c>
      <c r="J138" s="5" t="s">
        <v>63</v>
      </c>
      <c r="K138" s="5" t="s">
        <v>207</v>
      </c>
      <c r="L138" s="5" t="s">
        <v>72</v>
      </c>
      <c r="M138" s="5" t="s">
        <v>209</v>
      </c>
      <c r="N138" s="5" t="s">
        <v>53</v>
      </c>
      <c r="O138" s="5" t="s">
        <v>48</v>
      </c>
      <c r="P138" s="5" t="s">
        <v>67</v>
      </c>
      <c r="Q138" s="5" t="s">
        <v>52</v>
      </c>
      <c r="R138" s="5" t="s">
        <v>65</v>
      </c>
      <c r="S138" s="1">
        <v>6</v>
      </c>
      <c r="T138" s="1">
        <v>56</v>
      </c>
      <c r="U138" s="1">
        <v>43</v>
      </c>
    </row>
    <row r="139" spans="1:21" ht="28.8" x14ac:dyDescent="0.3">
      <c r="A139" s="41">
        <v>124</v>
      </c>
      <c r="B139" s="4"/>
      <c r="C139" s="6" t="s">
        <v>197</v>
      </c>
      <c r="D139" s="5"/>
      <c r="E139" s="5" t="s">
        <v>56</v>
      </c>
      <c r="F139" s="5" t="s">
        <v>69</v>
      </c>
      <c r="G139" s="5" t="s">
        <v>75</v>
      </c>
      <c r="H139" s="5" t="s">
        <v>73</v>
      </c>
      <c r="I139" s="5" t="s">
        <v>57</v>
      </c>
      <c r="J139" s="5" t="s">
        <v>208</v>
      </c>
      <c r="K139" s="5" t="s">
        <v>71</v>
      </c>
      <c r="L139" s="5" t="s">
        <v>60</v>
      </c>
      <c r="M139" s="5" t="s">
        <v>209</v>
      </c>
      <c r="N139" s="5" t="s">
        <v>53</v>
      </c>
      <c r="O139" s="5" t="s">
        <v>48</v>
      </c>
      <c r="P139" s="5" t="s">
        <v>74</v>
      </c>
      <c r="Q139" s="5" t="s">
        <v>59</v>
      </c>
      <c r="R139" s="5" t="s">
        <v>65</v>
      </c>
      <c r="S139" s="1">
        <v>6</v>
      </c>
      <c r="T139" s="1">
        <v>41</v>
      </c>
      <c r="U139" s="1">
        <v>43</v>
      </c>
    </row>
    <row r="140" spans="1:21" ht="28.8" x14ac:dyDescent="0.3">
      <c r="A140" s="41">
        <v>125</v>
      </c>
      <c r="B140" s="4"/>
      <c r="C140" s="6" t="s">
        <v>170</v>
      </c>
      <c r="D140" s="5"/>
      <c r="E140" s="5" t="s">
        <v>51</v>
      </c>
      <c r="F140" s="5" t="s">
        <v>69</v>
      </c>
      <c r="G140" s="5" t="s">
        <v>62</v>
      </c>
      <c r="H140" s="5" t="s">
        <v>61</v>
      </c>
      <c r="I140" s="5" t="s">
        <v>57</v>
      </c>
      <c r="J140" s="5" t="s">
        <v>208</v>
      </c>
      <c r="K140" s="5" t="s">
        <v>207</v>
      </c>
      <c r="L140" s="5" t="s">
        <v>60</v>
      </c>
      <c r="M140" s="5" t="s">
        <v>66</v>
      </c>
      <c r="N140" s="5" t="s">
        <v>53</v>
      </c>
      <c r="O140" s="5" t="s">
        <v>48</v>
      </c>
      <c r="P140" s="5" t="s">
        <v>67</v>
      </c>
      <c r="Q140" s="5" t="s">
        <v>59</v>
      </c>
      <c r="R140" s="5" t="s">
        <v>65</v>
      </c>
      <c r="S140" s="1">
        <v>6</v>
      </c>
      <c r="T140" s="1">
        <v>43</v>
      </c>
      <c r="U140" s="1">
        <v>43</v>
      </c>
    </row>
    <row r="141" spans="1:21" ht="28.8" x14ac:dyDescent="0.3">
      <c r="A141" s="41">
        <v>126</v>
      </c>
      <c r="B141" s="4"/>
      <c r="C141" s="6" t="s">
        <v>124</v>
      </c>
      <c r="D141" s="5"/>
      <c r="E141" s="5" t="s">
        <v>51</v>
      </c>
      <c r="F141" s="5" t="s">
        <v>69</v>
      </c>
      <c r="G141" s="5" t="s">
        <v>75</v>
      </c>
      <c r="H141" s="5" t="s">
        <v>61</v>
      </c>
      <c r="I141" s="5" t="s">
        <v>54</v>
      </c>
      <c r="J141" s="5" t="s">
        <v>63</v>
      </c>
      <c r="K141" s="5" t="s">
        <v>207</v>
      </c>
      <c r="L141" s="5" t="s">
        <v>72</v>
      </c>
      <c r="M141" s="5" t="s">
        <v>209</v>
      </c>
      <c r="N141" s="5" t="s">
        <v>53</v>
      </c>
      <c r="O141" s="5" t="s">
        <v>48</v>
      </c>
      <c r="P141" s="5" t="s">
        <v>67</v>
      </c>
      <c r="Q141" s="5" t="s">
        <v>59</v>
      </c>
      <c r="R141" s="5" t="s">
        <v>55</v>
      </c>
      <c r="S141" s="1">
        <v>6</v>
      </c>
      <c r="T141" s="1">
        <v>32</v>
      </c>
      <c r="U141" s="1">
        <v>21</v>
      </c>
    </row>
    <row r="142" spans="1:21" ht="28.8" x14ac:dyDescent="0.3">
      <c r="A142" s="41">
        <v>127</v>
      </c>
      <c r="B142" s="4"/>
      <c r="C142" s="6" t="s">
        <v>147</v>
      </c>
      <c r="D142" s="5"/>
      <c r="E142" s="5" t="s">
        <v>56</v>
      </c>
      <c r="F142" s="5" t="s">
        <v>69</v>
      </c>
      <c r="G142" s="5" t="s">
        <v>75</v>
      </c>
      <c r="H142" s="5" t="s">
        <v>73</v>
      </c>
      <c r="I142" s="5" t="s">
        <v>57</v>
      </c>
      <c r="J142" s="5" t="s">
        <v>208</v>
      </c>
      <c r="K142" s="5" t="s">
        <v>207</v>
      </c>
      <c r="L142" s="5" t="s">
        <v>72</v>
      </c>
      <c r="M142" s="5" t="s">
        <v>209</v>
      </c>
      <c r="N142" s="5" t="s">
        <v>53</v>
      </c>
      <c r="O142" s="5" t="s">
        <v>210</v>
      </c>
      <c r="P142" s="5" t="s">
        <v>74</v>
      </c>
      <c r="Q142" s="5" t="s">
        <v>52</v>
      </c>
      <c r="R142" s="5" t="s">
        <v>65</v>
      </c>
      <c r="S142" s="1">
        <v>6</v>
      </c>
      <c r="T142" s="1">
        <v>55</v>
      </c>
      <c r="U142" s="1">
        <v>44</v>
      </c>
    </row>
    <row r="143" spans="1:21" x14ac:dyDescent="0.3">
      <c r="A143" s="41">
        <v>128</v>
      </c>
      <c r="B143" s="4"/>
      <c r="C143" s="6" t="s">
        <v>120</v>
      </c>
      <c r="D143" s="5"/>
      <c r="E143" s="5" t="s">
        <v>56</v>
      </c>
      <c r="F143" s="5" t="s">
        <v>69</v>
      </c>
      <c r="G143" s="5" t="s">
        <v>62</v>
      </c>
      <c r="H143" s="5" t="s">
        <v>73</v>
      </c>
      <c r="I143" s="5" t="s">
        <v>54</v>
      </c>
      <c r="J143" s="5" t="s">
        <v>63</v>
      </c>
      <c r="K143" s="5" t="s">
        <v>71</v>
      </c>
      <c r="L143" s="5" t="s">
        <v>72</v>
      </c>
      <c r="M143" s="5" t="s">
        <v>209</v>
      </c>
      <c r="N143" s="5" t="s">
        <v>53</v>
      </c>
      <c r="O143" s="5" t="s">
        <v>210</v>
      </c>
      <c r="P143" s="5" t="s">
        <v>74</v>
      </c>
      <c r="Q143" s="5" t="s">
        <v>59</v>
      </c>
      <c r="R143" s="5" t="s">
        <v>55</v>
      </c>
      <c r="S143" s="1">
        <v>6</v>
      </c>
      <c r="T143" s="1">
        <v>48</v>
      </c>
      <c r="U143" s="1">
        <v>44</v>
      </c>
    </row>
    <row r="144" spans="1:21" ht="28.8" x14ac:dyDescent="0.3">
      <c r="A144" s="41">
        <v>129</v>
      </c>
      <c r="B144" s="4"/>
      <c r="C144" s="6" t="s">
        <v>80</v>
      </c>
      <c r="D144" s="5"/>
      <c r="E144" s="5" t="s">
        <v>56</v>
      </c>
      <c r="F144" s="5" t="s">
        <v>69</v>
      </c>
      <c r="G144" s="5" t="s">
        <v>75</v>
      </c>
      <c r="H144" s="5" t="s">
        <v>73</v>
      </c>
      <c r="I144" s="5" t="s">
        <v>54</v>
      </c>
      <c r="J144" s="5" t="s">
        <v>208</v>
      </c>
      <c r="K144" s="5" t="s">
        <v>71</v>
      </c>
      <c r="L144" s="5" t="s">
        <v>60</v>
      </c>
      <c r="M144" s="5" t="s">
        <v>209</v>
      </c>
      <c r="N144" s="5" t="s">
        <v>68</v>
      </c>
      <c r="O144" s="5" t="s">
        <v>210</v>
      </c>
      <c r="P144" s="5" t="s">
        <v>74</v>
      </c>
      <c r="Q144" s="5" t="s">
        <v>52</v>
      </c>
      <c r="R144" s="5" t="s">
        <v>65</v>
      </c>
      <c r="S144" s="1">
        <v>6</v>
      </c>
      <c r="T144" s="1">
        <v>50</v>
      </c>
      <c r="U144" s="1">
        <v>44</v>
      </c>
    </row>
    <row r="145" spans="1:21" x14ac:dyDescent="0.3">
      <c r="A145" s="41">
        <v>130</v>
      </c>
      <c r="B145" s="4"/>
      <c r="C145" s="6" t="s">
        <v>91</v>
      </c>
      <c r="D145" s="5"/>
      <c r="E145" s="5" t="s">
        <v>51</v>
      </c>
      <c r="F145" s="5" t="s">
        <v>69</v>
      </c>
      <c r="G145" s="5" t="s">
        <v>75</v>
      </c>
      <c r="H145" s="5" t="s">
        <v>61</v>
      </c>
      <c r="I145" s="5" t="s">
        <v>54</v>
      </c>
      <c r="J145" s="5" t="s">
        <v>63</v>
      </c>
      <c r="K145" s="5" t="s">
        <v>207</v>
      </c>
      <c r="L145" s="5" t="s">
        <v>72</v>
      </c>
      <c r="M145" s="5" t="s">
        <v>209</v>
      </c>
      <c r="N145" s="5" t="s">
        <v>53</v>
      </c>
      <c r="O145" s="5" t="s">
        <v>48</v>
      </c>
      <c r="P145" s="5" t="s">
        <v>67</v>
      </c>
      <c r="Q145" s="5" t="s">
        <v>59</v>
      </c>
      <c r="R145" s="5" t="s">
        <v>55</v>
      </c>
      <c r="S145" s="1">
        <v>6</v>
      </c>
      <c r="T145" s="1">
        <v>54</v>
      </c>
      <c r="U145" s="1">
        <v>20</v>
      </c>
    </row>
    <row r="146" spans="1:21" ht="28.8" x14ac:dyDescent="0.3">
      <c r="A146" s="41">
        <v>131</v>
      </c>
      <c r="B146" s="4"/>
      <c r="C146" s="6" t="s">
        <v>30</v>
      </c>
      <c r="D146" s="5"/>
      <c r="E146" s="5" t="s">
        <v>56</v>
      </c>
      <c r="F146" s="5" t="s">
        <v>69</v>
      </c>
      <c r="G146" s="5" t="s">
        <v>62</v>
      </c>
      <c r="H146" s="5" t="s">
        <v>73</v>
      </c>
      <c r="I146" s="5" t="s">
        <v>54</v>
      </c>
      <c r="J146" s="5" t="s">
        <v>63</v>
      </c>
      <c r="K146" s="5" t="s">
        <v>71</v>
      </c>
      <c r="L146" s="5" t="s">
        <v>60</v>
      </c>
      <c r="M146" s="5" t="s">
        <v>209</v>
      </c>
      <c r="N146" s="5" t="s">
        <v>68</v>
      </c>
      <c r="O146" s="5" t="s">
        <v>210</v>
      </c>
      <c r="P146" s="5" t="s">
        <v>74</v>
      </c>
      <c r="Q146" s="5" t="s">
        <v>52</v>
      </c>
      <c r="R146" s="5" t="s">
        <v>65</v>
      </c>
      <c r="S146" s="1">
        <v>6</v>
      </c>
      <c r="T146" s="1">
        <v>52</v>
      </c>
      <c r="U146" s="1">
        <v>46</v>
      </c>
    </row>
    <row r="147" spans="1:21" x14ac:dyDescent="0.3">
      <c r="A147" s="41">
        <v>132</v>
      </c>
      <c r="B147" s="4"/>
      <c r="C147" s="6" t="s">
        <v>97</v>
      </c>
      <c r="D147" s="5"/>
      <c r="E147" s="5" t="s">
        <v>56</v>
      </c>
      <c r="F147" s="5" t="s">
        <v>69</v>
      </c>
      <c r="G147" s="5" t="s">
        <v>75</v>
      </c>
      <c r="H147" s="5" t="s">
        <v>73</v>
      </c>
      <c r="I147" s="5" t="s">
        <v>54</v>
      </c>
      <c r="J147" s="5" t="s">
        <v>208</v>
      </c>
      <c r="K147" s="5" t="s">
        <v>71</v>
      </c>
      <c r="L147" s="5" t="s">
        <v>60</v>
      </c>
      <c r="M147" s="5" t="s">
        <v>209</v>
      </c>
      <c r="N147" s="5" t="s">
        <v>53</v>
      </c>
      <c r="O147" s="5" t="s">
        <v>210</v>
      </c>
      <c r="P147" s="5" t="s">
        <v>74</v>
      </c>
      <c r="Q147" s="5" t="s">
        <v>59</v>
      </c>
      <c r="R147" s="5" t="s">
        <v>65</v>
      </c>
      <c r="S147" s="1">
        <v>6</v>
      </c>
      <c r="T147" s="1">
        <v>48</v>
      </c>
      <c r="U147" s="1">
        <v>47</v>
      </c>
    </row>
    <row r="148" spans="1:21" ht="28.8" x14ac:dyDescent="0.3">
      <c r="A148" s="41">
        <v>133</v>
      </c>
      <c r="B148" s="4"/>
      <c r="C148" s="6" t="s">
        <v>167</v>
      </c>
      <c r="D148" s="5"/>
      <c r="E148" s="5" t="s">
        <v>56</v>
      </c>
      <c r="F148" s="5" t="s">
        <v>47</v>
      </c>
      <c r="G148" s="5" t="s">
        <v>75</v>
      </c>
      <c r="H148" s="5" t="s">
        <v>73</v>
      </c>
      <c r="I148" s="5" t="s">
        <v>57</v>
      </c>
      <c r="J148" s="5" t="s">
        <v>208</v>
      </c>
      <c r="K148" s="5" t="s">
        <v>207</v>
      </c>
      <c r="L148" s="5" t="s">
        <v>72</v>
      </c>
      <c r="M148" s="5" t="s">
        <v>209</v>
      </c>
      <c r="N148" s="5" t="s">
        <v>53</v>
      </c>
      <c r="O148" s="5" t="s">
        <v>210</v>
      </c>
      <c r="P148" s="5" t="s">
        <v>74</v>
      </c>
      <c r="Q148" s="5" t="s">
        <v>59</v>
      </c>
      <c r="R148" s="5" t="s">
        <v>65</v>
      </c>
      <c r="S148" s="1">
        <v>6</v>
      </c>
      <c r="T148" s="1">
        <v>48</v>
      </c>
      <c r="U148" s="1">
        <v>47</v>
      </c>
    </row>
    <row r="149" spans="1:21" x14ac:dyDescent="0.3">
      <c r="A149" s="41">
        <v>134</v>
      </c>
      <c r="B149" s="4"/>
      <c r="C149" s="6" t="s">
        <v>45</v>
      </c>
      <c r="D149" s="5"/>
      <c r="E149" s="5" t="s">
        <v>51</v>
      </c>
      <c r="F149" s="5" t="s">
        <v>69</v>
      </c>
      <c r="G149" s="5" t="s">
        <v>75</v>
      </c>
      <c r="H149" s="5" t="s">
        <v>61</v>
      </c>
      <c r="I149" s="5" t="s">
        <v>54</v>
      </c>
      <c r="J149" s="5" t="s">
        <v>63</v>
      </c>
      <c r="K149" s="5" t="s">
        <v>207</v>
      </c>
      <c r="L149" s="5" t="s">
        <v>72</v>
      </c>
      <c r="M149" s="5" t="s">
        <v>209</v>
      </c>
      <c r="N149" s="5" t="s">
        <v>53</v>
      </c>
      <c r="O149" s="5" t="s">
        <v>48</v>
      </c>
      <c r="P149" s="5" t="s">
        <v>67</v>
      </c>
      <c r="Q149" s="5" t="s">
        <v>59</v>
      </c>
      <c r="R149" s="5" t="s">
        <v>55</v>
      </c>
      <c r="S149" s="1">
        <v>6</v>
      </c>
      <c r="T149" s="1">
        <v>46</v>
      </c>
      <c r="U149" s="1">
        <v>48</v>
      </c>
    </row>
    <row r="150" spans="1:21" x14ac:dyDescent="0.3">
      <c r="A150" s="41">
        <v>135</v>
      </c>
      <c r="B150" s="4"/>
      <c r="C150" s="6" t="s">
        <v>84</v>
      </c>
      <c r="D150" s="5"/>
      <c r="E150" s="5" t="s">
        <v>56</v>
      </c>
      <c r="F150" s="5" t="s">
        <v>69</v>
      </c>
      <c r="G150" s="5" t="s">
        <v>75</v>
      </c>
      <c r="H150" s="5" t="s">
        <v>61</v>
      </c>
      <c r="I150" s="5" t="s">
        <v>54</v>
      </c>
      <c r="J150" s="5" t="s">
        <v>63</v>
      </c>
      <c r="K150" s="5" t="s">
        <v>207</v>
      </c>
      <c r="L150" s="5" t="s">
        <v>72</v>
      </c>
      <c r="M150" s="5" t="s">
        <v>209</v>
      </c>
      <c r="N150" s="5" t="s">
        <v>53</v>
      </c>
      <c r="O150" s="5" t="s">
        <v>210</v>
      </c>
      <c r="P150" s="5" t="s">
        <v>67</v>
      </c>
      <c r="Q150" s="5" t="s">
        <v>59</v>
      </c>
      <c r="R150" s="5" t="s">
        <v>55</v>
      </c>
      <c r="S150" s="1">
        <v>6</v>
      </c>
      <c r="T150" s="1">
        <v>50</v>
      </c>
      <c r="U150" s="1">
        <v>50</v>
      </c>
    </row>
    <row r="151" spans="1:21" ht="28.8" x14ac:dyDescent="0.3">
      <c r="A151" s="41">
        <v>136</v>
      </c>
      <c r="B151" s="4"/>
      <c r="C151" s="6" t="s">
        <v>192</v>
      </c>
      <c r="D151" s="5"/>
      <c r="E151" s="5" t="s">
        <v>51</v>
      </c>
      <c r="F151" s="5" t="s">
        <v>69</v>
      </c>
      <c r="G151" s="5" t="s">
        <v>62</v>
      </c>
      <c r="H151" s="5" t="s">
        <v>61</v>
      </c>
      <c r="I151" s="5" t="s">
        <v>57</v>
      </c>
      <c r="J151" s="5" t="s">
        <v>63</v>
      </c>
      <c r="K151" s="5" t="s">
        <v>207</v>
      </c>
      <c r="L151" s="5" t="s">
        <v>60</v>
      </c>
      <c r="M151" s="5" t="s">
        <v>66</v>
      </c>
      <c r="N151" s="5" t="s">
        <v>68</v>
      </c>
      <c r="O151" s="5" t="s">
        <v>48</v>
      </c>
      <c r="P151" s="5" t="s">
        <v>74</v>
      </c>
      <c r="Q151" s="5" t="s">
        <v>52</v>
      </c>
      <c r="R151" s="5" t="s">
        <v>65</v>
      </c>
      <c r="S151" s="1">
        <v>6</v>
      </c>
      <c r="T151" s="1">
        <v>51</v>
      </c>
      <c r="U151" s="1">
        <v>50</v>
      </c>
    </row>
    <row r="152" spans="1:21" ht="28.8" x14ac:dyDescent="0.3">
      <c r="A152" s="41">
        <v>137</v>
      </c>
      <c r="B152" s="4"/>
      <c r="C152" s="6" t="s">
        <v>116</v>
      </c>
      <c r="D152" s="5"/>
      <c r="E152" s="5" t="s">
        <v>56</v>
      </c>
      <c r="F152" s="5" t="s">
        <v>69</v>
      </c>
      <c r="G152" s="5" t="s">
        <v>75</v>
      </c>
      <c r="H152" s="5" t="s">
        <v>73</v>
      </c>
      <c r="I152" s="5" t="s">
        <v>54</v>
      </c>
      <c r="J152" s="5" t="s">
        <v>63</v>
      </c>
      <c r="K152" s="5" t="s">
        <v>71</v>
      </c>
      <c r="L152" s="5" t="s">
        <v>72</v>
      </c>
      <c r="M152" s="5" t="s">
        <v>209</v>
      </c>
      <c r="N152" s="5" t="s">
        <v>68</v>
      </c>
      <c r="O152" s="5" t="s">
        <v>210</v>
      </c>
      <c r="P152" s="5" t="s">
        <v>74</v>
      </c>
      <c r="Q152" s="5" t="s">
        <v>52</v>
      </c>
      <c r="R152" s="5" t="s">
        <v>65</v>
      </c>
      <c r="S152" s="1">
        <v>6</v>
      </c>
      <c r="T152" s="1">
        <v>46</v>
      </c>
      <c r="U152" s="1">
        <v>52</v>
      </c>
    </row>
    <row r="153" spans="1:21" ht="28.8" x14ac:dyDescent="0.3">
      <c r="A153" s="41">
        <v>138</v>
      </c>
      <c r="B153" s="4"/>
      <c r="C153" s="6" t="s">
        <v>117</v>
      </c>
      <c r="D153" s="5"/>
      <c r="E153" s="5" t="s">
        <v>56</v>
      </c>
      <c r="F153" s="5" t="s">
        <v>69</v>
      </c>
      <c r="G153" s="5" t="s">
        <v>75</v>
      </c>
      <c r="H153" s="5" t="s">
        <v>73</v>
      </c>
      <c r="I153" s="5" t="s">
        <v>57</v>
      </c>
      <c r="J153" s="5" t="s">
        <v>63</v>
      </c>
      <c r="K153" s="5" t="s">
        <v>207</v>
      </c>
      <c r="L153" s="5" t="s">
        <v>72</v>
      </c>
      <c r="M153" s="5" t="s">
        <v>209</v>
      </c>
      <c r="N153" s="5" t="s">
        <v>53</v>
      </c>
      <c r="O153" s="5" t="s">
        <v>210</v>
      </c>
      <c r="P153" s="5" t="s">
        <v>74</v>
      </c>
      <c r="Q153" s="5" t="s">
        <v>59</v>
      </c>
      <c r="R153" s="5" t="s">
        <v>65</v>
      </c>
      <c r="S153" s="1">
        <v>6</v>
      </c>
      <c r="T153" s="1">
        <v>55</v>
      </c>
      <c r="U153" s="1">
        <v>52</v>
      </c>
    </row>
    <row r="154" spans="1:21" ht="28.8" x14ac:dyDescent="0.3">
      <c r="A154" s="41">
        <v>139</v>
      </c>
      <c r="B154" s="4"/>
      <c r="C154" s="6" t="s">
        <v>6</v>
      </c>
      <c r="D154" s="5"/>
      <c r="E154" s="5" t="s">
        <v>51</v>
      </c>
      <c r="F154" s="5" t="s">
        <v>47</v>
      </c>
      <c r="G154" s="5" t="s">
        <v>75</v>
      </c>
      <c r="H154" s="5" t="s">
        <v>73</v>
      </c>
      <c r="I154" s="5" t="s">
        <v>54</v>
      </c>
      <c r="J154" s="5" t="s">
        <v>208</v>
      </c>
      <c r="K154" s="5" t="s">
        <v>207</v>
      </c>
      <c r="L154" s="5" t="s">
        <v>60</v>
      </c>
      <c r="M154" s="5" t="s">
        <v>209</v>
      </c>
      <c r="N154" s="5" t="s">
        <v>68</v>
      </c>
      <c r="O154" s="5" t="s">
        <v>48</v>
      </c>
      <c r="P154" s="5" t="s">
        <v>74</v>
      </c>
      <c r="Q154" s="5" t="s">
        <v>59</v>
      </c>
      <c r="R154" s="5" t="s">
        <v>65</v>
      </c>
      <c r="S154" s="1">
        <v>5</v>
      </c>
      <c r="T154" s="1">
        <v>48</v>
      </c>
      <c r="U154" s="1">
        <v>31</v>
      </c>
    </row>
    <row r="155" spans="1:21" x14ac:dyDescent="0.3">
      <c r="A155" s="41">
        <v>140</v>
      </c>
      <c r="B155" s="4"/>
      <c r="C155" s="6" t="s">
        <v>178</v>
      </c>
      <c r="D155" s="5"/>
      <c r="E155" s="5" t="s">
        <v>56</v>
      </c>
      <c r="F155" s="5" t="s">
        <v>69</v>
      </c>
      <c r="G155" s="5" t="s">
        <v>75</v>
      </c>
      <c r="H155" s="5" t="s">
        <v>61</v>
      </c>
      <c r="I155" s="5" t="s">
        <v>54</v>
      </c>
      <c r="J155" s="5" t="s">
        <v>208</v>
      </c>
      <c r="K155" s="5" t="s">
        <v>207</v>
      </c>
      <c r="L155" s="5" t="s">
        <v>72</v>
      </c>
      <c r="M155" s="5" t="s">
        <v>209</v>
      </c>
      <c r="N155" s="5" t="s">
        <v>53</v>
      </c>
      <c r="O155" s="5" t="s">
        <v>210</v>
      </c>
      <c r="P155" s="5" t="s">
        <v>67</v>
      </c>
      <c r="Q155" s="5" t="s">
        <v>52</v>
      </c>
      <c r="R155" s="5" t="s">
        <v>65</v>
      </c>
      <c r="S155" s="1">
        <v>5</v>
      </c>
      <c r="T155" s="1">
        <v>50</v>
      </c>
      <c r="U155" s="1">
        <v>35</v>
      </c>
    </row>
    <row r="156" spans="1:21" ht="28.8" x14ac:dyDescent="0.3">
      <c r="A156" s="41">
        <v>141</v>
      </c>
      <c r="B156" s="4"/>
      <c r="C156" s="6" t="s">
        <v>140</v>
      </c>
      <c r="D156" s="5"/>
      <c r="E156" s="5" t="s">
        <v>51</v>
      </c>
      <c r="F156" s="5" t="s">
        <v>69</v>
      </c>
      <c r="G156" s="5" t="s">
        <v>75</v>
      </c>
      <c r="H156" s="5" t="s">
        <v>61</v>
      </c>
      <c r="I156" s="5" t="s">
        <v>54</v>
      </c>
      <c r="J156" s="5" t="s">
        <v>208</v>
      </c>
      <c r="K156" s="5" t="s">
        <v>207</v>
      </c>
      <c r="L156" s="5" t="s">
        <v>72</v>
      </c>
      <c r="M156" s="5" t="s">
        <v>209</v>
      </c>
      <c r="N156" s="5" t="s">
        <v>53</v>
      </c>
      <c r="O156" s="5" t="s">
        <v>48</v>
      </c>
      <c r="P156" s="5" t="s">
        <v>67</v>
      </c>
      <c r="Q156" s="5" t="s">
        <v>59</v>
      </c>
      <c r="R156" s="5" t="s">
        <v>55</v>
      </c>
      <c r="S156" s="1">
        <v>5</v>
      </c>
      <c r="T156" s="1">
        <v>51</v>
      </c>
      <c r="U156" s="1">
        <v>42</v>
      </c>
    </row>
    <row r="157" spans="1:21" x14ac:dyDescent="0.3">
      <c r="A157" s="41">
        <v>142</v>
      </c>
      <c r="B157" s="4"/>
      <c r="C157" s="6" t="s">
        <v>33</v>
      </c>
      <c r="D157" s="5"/>
      <c r="E157" s="5" t="s">
        <v>51</v>
      </c>
      <c r="F157" s="5" t="s">
        <v>47</v>
      </c>
      <c r="G157" s="5" t="s">
        <v>62</v>
      </c>
      <c r="H157" s="5" t="s">
        <v>61</v>
      </c>
      <c r="I157" s="5" t="s">
        <v>54</v>
      </c>
      <c r="J157" s="5" t="s">
        <v>208</v>
      </c>
      <c r="K157" s="5" t="s">
        <v>207</v>
      </c>
      <c r="L157" s="5" t="s">
        <v>72</v>
      </c>
      <c r="M157" s="5" t="s">
        <v>209</v>
      </c>
      <c r="N157" s="5" t="s">
        <v>53</v>
      </c>
      <c r="O157" s="5" t="s">
        <v>210</v>
      </c>
      <c r="P157" s="5" t="s">
        <v>67</v>
      </c>
      <c r="Q157" s="5" t="s">
        <v>59</v>
      </c>
      <c r="R157" s="5" t="s">
        <v>65</v>
      </c>
      <c r="S157" s="1">
        <v>5</v>
      </c>
      <c r="T157" s="1">
        <v>49</v>
      </c>
      <c r="U157" s="1">
        <v>42</v>
      </c>
    </row>
    <row r="158" spans="1:21" x14ac:dyDescent="0.3">
      <c r="A158" s="41">
        <v>143</v>
      </c>
      <c r="B158" s="4"/>
      <c r="C158" s="6" t="s">
        <v>166</v>
      </c>
      <c r="D158" s="5"/>
      <c r="E158" s="5" t="s">
        <v>51</v>
      </c>
      <c r="F158" s="5" t="s">
        <v>69</v>
      </c>
      <c r="G158" s="5" t="s">
        <v>75</v>
      </c>
      <c r="H158" s="5" t="s">
        <v>73</v>
      </c>
      <c r="I158" s="5" t="s">
        <v>54</v>
      </c>
      <c r="J158" s="5" t="s">
        <v>208</v>
      </c>
      <c r="K158" s="5" t="s">
        <v>71</v>
      </c>
      <c r="L158" s="5" t="s">
        <v>72</v>
      </c>
      <c r="M158" s="5" t="s">
        <v>209</v>
      </c>
      <c r="N158" s="5" t="s">
        <v>68</v>
      </c>
      <c r="O158" s="5" t="s">
        <v>48</v>
      </c>
      <c r="P158" s="5" t="s">
        <v>74</v>
      </c>
      <c r="Q158" s="5" t="s">
        <v>59</v>
      </c>
      <c r="R158" s="5" t="s">
        <v>55</v>
      </c>
      <c r="S158" s="1">
        <v>5</v>
      </c>
      <c r="T158" s="1">
        <v>42</v>
      </c>
      <c r="U158" s="1">
        <v>44</v>
      </c>
    </row>
    <row r="159" spans="1:21" x14ac:dyDescent="0.3">
      <c r="A159" s="41">
        <v>144</v>
      </c>
      <c r="B159" s="4"/>
      <c r="C159" s="6" t="s">
        <v>37</v>
      </c>
      <c r="D159" s="5"/>
      <c r="E159" s="5" t="s">
        <v>56</v>
      </c>
      <c r="F159" s="5" t="s">
        <v>47</v>
      </c>
      <c r="G159" s="5" t="s">
        <v>75</v>
      </c>
      <c r="H159" s="5" t="s">
        <v>61</v>
      </c>
      <c r="I159" s="5" t="s">
        <v>54</v>
      </c>
      <c r="J159" s="5" t="s">
        <v>208</v>
      </c>
      <c r="K159" s="5" t="s">
        <v>207</v>
      </c>
      <c r="L159" s="5" t="s">
        <v>60</v>
      </c>
      <c r="M159" s="5" t="s">
        <v>209</v>
      </c>
      <c r="N159" s="5" t="s">
        <v>53</v>
      </c>
      <c r="O159" s="5" t="s">
        <v>48</v>
      </c>
      <c r="P159" s="5" t="s">
        <v>74</v>
      </c>
      <c r="Q159" s="5" t="s">
        <v>59</v>
      </c>
      <c r="R159" s="5" t="s">
        <v>55</v>
      </c>
      <c r="S159" s="1">
        <v>5</v>
      </c>
      <c r="T159" s="1">
        <v>51</v>
      </c>
      <c r="U159" s="1">
        <v>44</v>
      </c>
    </row>
    <row r="160" spans="1:21" ht="28.8" x14ac:dyDescent="0.3">
      <c r="A160" s="41">
        <v>145</v>
      </c>
      <c r="B160" s="4"/>
      <c r="C160" s="6" t="s">
        <v>148</v>
      </c>
      <c r="D160" s="5"/>
      <c r="E160" s="5" t="s">
        <v>51</v>
      </c>
      <c r="F160" s="5" t="s">
        <v>69</v>
      </c>
      <c r="G160" s="5" t="s">
        <v>62</v>
      </c>
      <c r="H160" s="5" t="s">
        <v>73</v>
      </c>
      <c r="I160" s="5" t="s">
        <v>54</v>
      </c>
      <c r="J160" s="5" t="s">
        <v>208</v>
      </c>
      <c r="K160" s="5" t="s">
        <v>71</v>
      </c>
      <c r="L160" s="5" t="s">
        <v>72</v>
      </c>
      <c r="M160" s="5" t="s">
        <v>209</v>
      </c>
      <c r="N160" s="5" t="s">
        <v>53</v>
      </c>
      <c r="O160" s="5" t="s">
        <v>48</v>
      </c>
      <c r="P160" s="5" t="s">
        <v>74</v>
      </c>
      <c r="Q160" s="5" t="s">
        <v>59</v>
      </c>
      <c r="R160" s="5" t="s">
        <v>55</v>
      </c>
      <c r="S160" s="1">
        <v>5</v>
      </c>
      <c r="T160" s="1">
        <v>48</v>
      </c>
      <c r="U160" s="1">
        <v>44</v>
      </c>
    </row>
    <row r="161" spans="1:21" x14ac:dyDescent="0.3">
      <c r="A161" s="41">
        <v>146</v>
      </c>
      <c r="B161" s="4"/>
      <c r="C161" s="6" t="s">
        <v>138</v>
      </c>
      <c r="D161" s="5"/>
      <c r="E161" s="5" t="s">
        <v>56</v>
      </c>
      <c r="F161" s="5" t="s">
        <v>69</v>
      </c>
      <c r="G161" s="5" t="s">
        <v>75</v>
      </c>
      <c r="H161" s="5" t="s">
        <v>61</v>
      </c>
      <c r="I161" s="5" t="s">
        <v>54</v>
      </c>
      <c r="J161" s="5" t="s">
        <v>63</v>
      </c>
      <c r="K161" s="5" t="s">
        <v>71</v>
      </c>
      <c r="L161" s="5" t="s">
        <v>60</v>
      </c>
      <c r="M161" s="5" t="s">
        <v>209</v>
      </c>
      <c r="N161" s="5" t="s">
        <v>68</v>
      </c>
      <c r="O161" s="5" t="s">
        <v>210</v>
      </c>
      <c r="P161" s="5" t="s">
        <v>74</v>
      </c>
      <c r="Q161" s="5" t="s">
        <v>59</v>
      </c>
      <c r="R161" s="5" t="s">
        <v>65</v>
      </c>
      <c r="S161" s="1">
        <v>5</v>
      </c>
      <c r="T161" s="1">
        <v>52</v>
      </c>
      <c r="U161" s="1">
        <v>44</v>
      </c>
    </row>
    <row r="162" spans="1:21" x14ac:dyDescent="0.3">
      <c r="A162" s="41">
        <v>147</v>
      </c>
      <c r="B162" s="4"/>
      <c r="C162" s="6" t="s">
        <v>11</v>
      </c>
      <c r="D162" s="5"/>
      <c r="E162" s="5" t="s">
        <v>56</v>
      </c>
      <c r="F162" s="5" t="s">
        <v>69</v>
      </c>
      <c r="G162" s="5" t="s">
        <v>75</v>
      </c>
      <c r="H162" s="5" t="s">
        <v>61</v>
      </c>
      <c r="I162" s="5" t="s">
        <v>54</v>
      </c>
      <c r="J162" s="5" t="s">
        <v>63</v>
      </c>
      <c r="K162" s="5" t="s">
        <v>207</v>
      </c>
      <c r="L162" s="5" t="s">
        <v>72</v>
      </c>
      <c r="M162" s="5" t="s">
        <v>209</v>
      </c>
      <c r="N162" s="5" t="s">
        <v>53</v>
      </c>
      <c r="O162" s="5" t="s">
        <v>210</v>
      </c>
      <c r="P162" s="5" t="s">
        <v>74</v>
      </c>
      <c r="Q162" s="5" t="s">
        <v>59</v>
      </c>
      <c r="R162" s="5" t="s">
        <v>55</v>
      </c>
      <c r="S162" s="1">
        <v>5</v>
      </c>
      <c r="T162" s="1">
        <v>51</v>
      </c>
      <c r="U162" s="1">
        <v>45</v>
      </c>
    </row>
    <row r="163" spans="1:21" x14ac:dyDescent="0.3">
      <c r="A163" s="41">
        <v>148</v>
      </c>
      <c r="B163" s="4"/>
      <c r="C163" s="6" t="s">
        <v>26</v>
      </c>
      <c r="D163" s="5"/>
      <c r="E163" s="5" t="s">
        <v>56</v>
      </c>
      <c r="F163" s="5" t="s">
        <v>47</v>
      </c>
      <c r="G163" s="5" t="s">
        <v>75</v>
      </c>
      <c r="H163" s="5" t="s">
        <v>61</v>
      </c>
      <c r="I163" s="5" t="s">
        <v>57</v>
      </c>
      <c r="J163" s="5" t="s">
        <v>208</v>
      </c>
      <c r="K163" s="5" t="s">
        <v>207</v>
      </c>
      <c r="L163" s="5" t="s">
        <v>60</v>
      </c>
      <c r="M163" s="5" t="s">
        <v>209</v>
      </c>
      <c r="N163" s="5" t="s">
        <v>53</v>
      </c>
      <c r="O163" s="5" t="s">
        <v>48</v>
      </c>
      <c r="P163" s="5" t="s">
        <v>74</v>
      </c>
      <c r="Q163" s="5" t="s">
        <v>59</v>
      </c>
      <c r="R163" s="5" t="s">
        <v>65</v>
      </c>
      <c r="S163" s="1">
        <v>5</v>
      </c>
      <c r="T163" s="1">
        <v>46</v>
      </c>
      <c r="U163" s="1">
        <v>46</v>
      </c>
    </row>
    <row r="164" spans="1:21" ht="28.8" x14ac:dyDescent="0.3">
      <c r="A164" s="41">
        <v>149</v>
      </c>
      <c r="B164" s="4"/>
      <c r="C164" s="6" t="s">
        <v>133</v>
      </c>
      <c r="D164" s="5"/>
      <c r="E164" s="5" t="s">
        <v>51</v>
      </c>
      <c r="F164" s="5" t="s">
        <v>69</v>
      </c>
      <c r="G164" s="5" t="s">
        <v>75</v>
      </c>
      <c r="H164" s="5" t="s">
        <v>61</v>
      </c>
      <c r="I164" s="5" t="s">
        <v>54</v>
      </c>
      <c r="J164" s="5" t="s">
        <v>63</v>
      </c>
      <c r="K164" s="5" t="s">
        <v>207</v>
      </c>
      <c r="L164" s="5" t="s">
        <v>72</v>
      </c>
      <c r="M164" s="5" t="s">
        <v>209</v>
      </c>
      <c r="N164" s="5" t="s">
        <v>68</v>
      </c>
      <c r="O164" s="5" t="s">
        <v>48</v>
      </c>
      <c r="P164" s="5" t="s">
        <v>67</v>
      </c>
      <c r="Q164" s="5" t="s">
        <v>59</v>
      </c>
      <c r="R164" s="5" t="s">
        <v>55</v>
      </c>
      <c r="S164" s="1">
        <v>5</v>
      </c>
      <c r="T164" s="1">
        <v>40</v>
      </c>
      <c r="U164" s="1">
        <v>46</v>
      </c>
    </row>
    <row r="165" spans="1:21" ht="28.8" x14ac:dyDescent="0.3">
      <c r="A165" s="41">
        <v>150</v>
      </c>
      <c r="B165" s="4"/>
      <c r="C165" s="6" t="s">
        <v>122</v>
      </c>
      <c r="D165" s="5"/>
      <c r="E165" s="5" t="s">
        <v>56</v>
      </c>
      <c r="F165" s="5" t="s">
        <v>69</v>
      </c>
      <c r="G165" s="5" t="s">
        <v>75</v>
      </c>
      <c r="H165" s="5" t="s">
        <v>61</v>
      </c>
      <c r="I165" s="5" t="s">
        <v>57</v>
      </c>
      <c r="J165" s="5" t="s">
        <v>63</v>
      </c>
      <c r="K165" s="5" t="s">
        <v>71</v>
      </c>
      <c r="L165" s="5" t="s">
        <v>72</v>
      </c>
      <c r="M165" s="5" t="s">
        <v>209</v>
      </c>
      <c r="N165" s="5" t="s">
        <v>53</v>
      </c>
      <c r="O165" s="5" t="s">
        <v>48</v>
      </c>
      <c r="P165" s="5" t="s">
        <v>74</v>
      </c>
      <c r="Q165" s="5" t="s">
        <v>59</v>
      </c>
      <c r="R165" s="5" t="s">
        <v>65</v>
      </c>
      <c r="S165" s="1">
        <v>5</v>
      </c>
      <c r="T165" s="1">
        <v>43</v>
      </c>
      <c r="U165" s="1">
        <v>47</v>
      </c>
    </row>
    <row r="166" spans="1:21" ht="28.8" x14ac:dyDescent="0.3">
      <c r="A166" s="41">
        <v>151</v>
      </c>
      <c r="B166" s="4"/>
      <c r="C166" s="6" t="s">
        <v>102</v>
      </c>
      <c r="D166" s="5"/>
      <c r="E166" s="5" t="s">
        <v>56</v>
      </c>
      <c r="F166" s="5" t="s">
        <v>69</v>
      </c>
      <c r="G166" s="5" t="s">
        <v>75</v>
      </c>
      <c r="H166" s="5" t="s">
        <v>73</v>
      </c>
      <c r="I166" s="5" t="s">
        <v>54</v>
      </c>
      <c r="J166" s="5" t="s">
        <v>63</v>
      </c>
      <c r="K166" s="5" t="s">
        <v>207</v>
      </c>
      <c r="L166" s="5" t="s">
        <v>72</v>
      </c>
      <c r="M166" s="5" t="s">
        <v>209</v>
      </c>
      <c r="N166" s="5" t="s">
        <v>68</v>
      </c>
      <c r="O166" s="5" t="s">
        <v>210</v>
      </c>
      <c r="P166" s="5" t="s">
        <v>74</v>
      </c>
      <c r="Q166" s="5" t="s">
        <v>59</v>
      </c>
      <c r="R166" s="5" t="s">
        <v>55</v>
      </c>
      <c r="S166" s="1">
        <v>5</v>
      </c>
      <c r="T166" s="1">
        <v>44</v>
      </c>
      <c r="U166" s="1">
        <v>48</v>
      </c>
    </row>
    <row r="167" spans="1:21" ht="28.8" x14ac:dyDescent="0.3">
      <c r="A167" s="41">
        <v>152</v>
      </c>
      <c r="B167" s="4"/>
      <c r="C167" s="6" t="s">
        <v>191</v>
      </c>
      <c r="D167" s="5"/>
      <c r="E167" s="5" t="s">
        <v>56</v>
      </c>
      <c r="F167" s="5" t="s">
        <v>69</v>
      </c>
      <c r="G167" s="5" t="s">
        <v>62</v>
      </c>
      <c r="H167" s="5" t="s">
        <v>61</v>
      </c>
      <c r="I167" s="5" t="s">
        <v>57</v>
      </c>
      <c r="J167" s="5" t="s">
        <v>208</v>
      </c>
      <c r="K167" s="5" t="s">
        <v>207</v>
      </c>
      <c r="L167" s="5" t="s">
        <v>60</v>
      </c>
      <c r="M167" s="5" t="s">
        <v>66</v>
      </c>
      <c r="N167" s="5" t="s">
        <v>68</v>
      </c>
      <c r="O167" s="5" t="s">
        <v>48</v>
      </c>
      <c r="P167" s="5" t="s">
        <v>67</v>
      </c>
      <c r="Q167" s="5" t="s">
        <v>59</v>
      </c>
      <c r="R167" s="5" t="s">
        <v>55</v>
      </c>
      <c r="S167" s="1">
        <v>5</v>
      </c>
      <c r="T167" s="1">
        <v>48</v>
      </c>
      <c r="U167" s="1">
        <v>48</v>
      </c>
    </row>
    <row r="168" spans="1:21" x14ac:dyDescent="0.3">
      <c r="A168" s="41">
        <v>153</v>
      </c>
      <c r="B168" s="4"/>
      <c r="C168" s="6" t="s">
        <v>96</v>
      </c>
      <c r="D168" s="5"/>
      <c r="E168" s="5" t="s">
        <v>56</v>
      </c>
      <c r="F168" s="5" t="s">
        <v>69</v>
      </c>
      <c r="G168" s="5" t="s">
        <v>75</v>
      </c>
      <c r="H168" s="5" t="s">
        <v>61</v>
      </c>
      <c r="I168" s="5" t="s">
        <v>54</v>
      </c>
      <c r="J168" s="5" t="s">
        <v>63</v>
      </c>
      <c r="K168" s="5" t="s">
        <v>207</v>
      </c>
      <c r="L168" s="5" t="s">
        <v>72</v>
      </c>
      <c r="M168" s="5" t="s">
        <v>209</v>
      </c>
      <c r="N168" s="5" t="s">
        <v>53</v>
      </c>
      <c r="O168" s="5" t="s">
        <v>48</v>
      </c>
      <c r="P168" s="5" t="s">
        <v>67</v>
      </c>
      <c r="Q168" s="5" t="s">
        <v>59</v>
      </c>
      <c r="R168" s="5" t="s">
        <v>55</v>
      </c>
      <c r="S168" s="1">
        <v>5</v>
      </c>
      <c r="T168" s="1">
        <v>46</v>
      </c>
      <c r="U168" s="1">
        <v>50</v>
      </c>
    </row>
    <row r="169" spans="1:21" x14ac:dyDescent="0.3">
      <c r="A169" s="41">
        <v>154</v>
      </c>
      <c r="B169" s="4"/>
      <c r="C169" s="6" t="s">
        <v>118</v>
      </c>
      <c r="D169" s="5"/>
      <c r="E169" s="5" t="s">
        <v>56</v>
      </c>
      <c r="F169" s="5" t="s">
        <v>69</v>
      </c>
      <c r="G169" s="5" t="s">
        <v>75</v>
      </c>
      <c r="H169" s="5" t="s">
        <v>61</v>
      </c>
      <c r="I169" s="5" t="s">
        <v>54</v>
      </c>
      <c r="J169" s="5" t="s">
        <v>208</v>
      </c>
      <c r="K169" s="5" t="s">
        <v>71</v>
      </c>
      <c r="L169" s="5" t="s">
        <v>72</v>
      </c>
      <c r="M169" s="5" t="s">
        <v>209</v>
      </c>
      <c r="N169" s="5" t="s">
        <v>53</v>
      </c>
      <c r="O169" s="5" t="s">
        <v>48</v>
      </c>
      <c r="P169" s="5" t="s">
        <v>67</v>
      </c>
      <c r="Q169" s="5" t="s">
        <v>59</v>
      </c>
      <c r="R169" s="5" t="s">
        <v>55</v>
      </c>
      <c r="S169" s="1">
        <v>5</v>
      </c>
      <c r="T169" s="1">
        <v>48</v>
      </c>
      <c r="U169" s="1">
        <v>52</v>
      </c>
    </row>
    <row r="170" spans="1:21" ht="28.8" x14ac:dyDescent="0.3">
      <c r="A170" s="41">
        <v>155</v>
      </c>
      <c r="B170" s="4"/>
      <c r="C170" s="6" t="s">
        <v>24</v>
      </c>
      <c r="D170" s="5"/>
      <c r="E170" s="5" t="s">
        <v>51</v>
      </c>
      <c r="F170" s="5" t="s">
        <v>69</v>
      </c>
      <c r="G170" s="5" t="s">
        <v>62</v>
      </c>
      <c r="H170" s="5" t="s">
        <v>73</v>
      </c>
      <c r="I170" s="5" t="s">
        <v>54</v>
      </c>
      <c r="J170" s="5" t="s">
        <v>63</v>
      </c>
      <c r="K170" s="5" t="s">
        <v>207</v>
      </c>
      <c r="L170" s="5" t="s">
        <v>72</v>
      </c>
      <c r="M170" s="5" t="s">
        <v>209</v>
      </c>
      <c r="N170" s="5" t="s">
        <v>53</v>
      </c>
      <c r="O170" s="5" t="s">
        <v>210</v>
      </c>
      <c r="P170" s="5" t="s">
        <v>74</v>
      </c>
      <c r="Q170" s="5" t="s">
        <v>59</v>
      </c>
      <c r="R170" s="5" t="s">
        <v>65</v>
      </c>
      <c r="S170" s="1">
        <v>5</v>
      </c>
      <c r="T170" s="1">
        <v>48</v>
      </c>
      <c r="U170" s="1">
        <v>72</v>
      </c>
    </row>
    <row r="171" spans="1:21" x14ac:dyDescent="0.3">
      <c r="A171" s="41">
        <v>156</v>
      </c>
      <c r="B171" s="4"/>
      <c r="C171" s="6" t="s">
        <v>85</v>
      </c>
      <c r="D171" s="5"/>
      <c r="E171" s="5" t="s">
        <v>56</v>
      </c>
      <c r="F171" s="5" t="s">
        <v>69</v>
      </c>
      <c r="G171" s="5" t="s">
        <v>62</v>
      </c>
      <c r="H171" s="5" t="s">
        <v>73</v>
      </c>
      <c r="I171" s="5" t="s">
        <v>54</v>
      </c>
      <c r="J171" s="5" t="s">
        <v>63</v>
      </c>
      <c r="K171" s="5" t="s">
        <v>207</v>
      </c>
      <c r="L171" s="5" t="s">
        <v>60</v>
      </c>
      <c r="M171" s="5" t="s">
        <v>209</v>
      </c>
      <c r="N171" s="5" t="s">
        <v>53</v>
      </c>
      <c r="O171" s="5" t="s">
        <v>48</v>
      </c>
      <c r="P171" s="5" t="s">
        <v>74</v>
      </c>
      <c r="Q171" s="5" t="s">
        <v>59</v>
      </c>
      <c r="R171" s="5" t="s">
        <v>65</v>
      </c>
      <c r="S171" s="1">
        <v>4</v>
      </c>
      <c r="T171" s="1">
        <v>53</v>
      </c>
      <c r="U171" s="1">
        <v>45</v>
      </c>
    </row>
    <row r="172" spans="1:21" x14ac:dyDescent="0.3">
      <c r="A172" s="41">
        <v>157</v>
      </c>
      <c r="B172" s="4"/>
      <c r="C172" s="6" t="s">
        <v>149</v>
      </c>
      <c r="D172" s="5"/>
      <c r="E172" s="5" t="s">
        <v>56</v>
      </c>
      <c r="F172" s="5" t="s">
        <v>69</v>
      </c>
      <c r="G172" s="5" t="s">
        <v>75</v>
      </c>
      <c r="H172" s="5" t="s">
        <v>73</v>
      </c>
      <c r="I172" s="5" t="s">
        <v>54</v>
      </c>
      <c r="J172" s="5" t="s">
        <v>208</v>
      </c>
      <c r="K172" s="5" t="s">
        <v>207</v>
      </c>
      <c r="L172" s="5" t="s">
        <v>72</v>
      </c>
      <c r="M172" s="5" t="s">
        <v>209</v>
      </c>
      <c r="N172" s="5" t="s">
        <v>53</v>
      </c>
      <c r="O172" s="5" t="s">
        <v>48</v>
      </c>
      <c r="P172" s="5" t="s">
        <v>74</v>
      </c>
      <c r="Q172" s="5" t="s">
        <v>59</v>
      </c>
      <c r="R172" s="5" t="s">
        <v>55</v>
      </c>
      <c r="S172" s="1">
        <v>4</v>
      </c>
      <c r="T172" s="1">
        <v>46</v>
      </c>
      <c r="U172" s="1">
        <v>46</v>
      </c>
    </row>
    <row r="173" spans="1:21" ht="28.8" x14ac:dyDescent="0.3">
      <c r="A173" s="41">
        <v>158</v>
      </c>
      <c r="B173" s="4"/>
      <c r="C173" s="6" t="s">
        <v>160</v>
      </c>
      <c r="D173" s="5"/>
      <c r="E173" s="5" t="s">
        <v>56</v>
      </c>
      <c r="F173" s="5" t="s">
        <v>47</v>
      </c>
      <c r="G173" s="5" t="s">
        <v>75</v>
      </c>
      <c r="H173" s="5" t="s">
        <v>61</v>
      </c>
      <c r="I173" s="5" t="s">
        <v>54</v>
      </c>
      <c r="J173" s="5" t="s">
        <v>208</v>
      </c>
      <c r="K173" s="5" t="s">
        <v>207</v>
      </c>
      <c r="L173" s="5" t="s">
        <v>72</v>
      </c>
      <c r="M173" s="5" t="s">
        <v>209</v>
      </c>
      <c r="N173" s="5" t="s">
        <v>68</v>
      </c>
      <c r="O173" s="5" t="s">
        <v>48</v>
      </c>
      <c r="P173" s="5" t="s">
        <v>74</v>
      </c>
      <c r="Q173" s="5" t="s">
        <v>52</v>
      </c>
      <c r="R173" s="5" t="s">
        <v>65</v>
      </c>
      <c r="S173" s="1">
        <v>3</v>
      </c>
      <c r="T173" s="1">
        <v>36</v>
      </c>
      <c r="U173" s="1">
        <v>45</v>
      </c>
    </row>
    <row r="174" spans="1:21" x14ac:dyDescent="0.3">
      <c r="A174" s="41">
        <v>159</v>
      </c>
      <c r="B174" s="4"/>
      <c r="C174" s="6" t="s">
        <v>183</v>
      </c>
      <c r="D174" s="5"/>
      <c r="E174" s="5" t="s">
        <v>56</v>
      </c>
      <c r="F174" s="5" t="s">
        <v>69</v>
      </c>
      <c r="G174" s="5" t="s">
        <v>62</v>
      </c>
      <c r="H174" s="5" t="s">
        <v>73</v>
      </c>
      <c r="I174" s="5" t="s">
        <v>54</v>
      </c>
      <c r="J174" s="5" t="s">
        <v>63</v>
      </c>
      <c r="K174" s="5" t="s">
        <v>207</v>
      </c>
      <c r="L174" s="5" t="s">
        <v>72</v>
      </c>
      <c r="M174" s="5" t="s">
        <v>209</v>
      </c>
      <c r="N174" s="5" t="s">
        <v>53</v>
      </c>
      <c r="O174" s="5" t="s">
        <v>48</v>
      </c>
      <c r="P174" s="5" t="s">
        <v>74</v>
      </c>
      <c r="Q174" s="5" t="s">
        <v>59</v>
      </c>
      <c r="R174" s="5" t="s">
        <v>65</v>
      </c>
      <c r="S174" s="1">
        <v>3</v>
      </c>
      <c r="T174" s="1">
        <v>53</v>
      </c>
      <c r="U174" s="1">
        <v>46</v>
      </c>
    </row>
    <row r="175" spans="1:21" ht="28.8" x14ac:dyDescent="0.3">
      <c r="A175" s="41">
        <v>160</v>
      </c>
      <c r="B175" s="4"/>
      <c r="C175" s="6" t="s">
        <v>137</v>
      </c>
      <c r="D175" s="5"/>
      <c r="E175" s="5" t="s">
        <v>56</v>
      </c>
      <c r="F175" s="5" t="s">
        <v>69</v>
      </c>
      <c r="G175" s="5" t="s">
        <v>62</v>
      </c>
      <c r="H175" s="5" t="s">
        <v>73</v>
      </c>
      <c r="I175" s="5" t="s">
        <v>54</v>
      </c>
      <c r="J175" s="5" t="s">
        <v>208</v>
      </c>
      <c r="K175" s="5" t="s">
        <v>207</v>
      </c>
      <c r="L175" s="5" t="s">
        <v>72</v>
      </c>
      <c r="M175" s="5" t="s">
        <v>209</v>
      </c>
      <c r="N175" s="5" t="s">
        <v>53</v>
      </c>
      <c r="O175" s="5" t="s">
        <v>48</v>
      </c>
      <c r="P175" s="5" t="s">
        <v>74</v>
      </c>
      <c r="Q175" s="5" t="s">
        <v>52</v>
      </c>
      <c r="R175" s="5" t="s">
        <v>65</v>
      </c>
      <c r="S175" s="1">
        <v>3</v>
      </c>
      <c r="T175" s="1">
        <v>47</v>
      </c>
      <c r="U175" s="1">
        <v>65</v>
      </c>
    </row>
    <row r="176" spans="1:21" x14ac:dyDescent="0.3">
      <c r="A176" s="41">
        <v>161</v>
      </c>
      <c r="B176" s="4"/>
      <c r="C176" s="6" t="s">
        <v>21</v>
      </c>
      <c r="D176" s="5"/>
      <c r="E176" s="5" t="s">
        <v>56</v>
      </c>
      <c r="F176" s="5" t="s">
        <v>69</v>
      </c>
      <c r="G176" s="5" t="s">
        <v>62</v>
      </c>
      <c r="H176" s="5" t="s">
        <v>61</v>
      </c>
      <c r="I176" s="5" t="s">
        <v>54</v>
      </c>
      <c r="J176" s="5" t="s">
        <v>208</v>
      </c>
      <c r="K176" s="5" t="s">
        <v>71</v>
      </c>
      <c r="L176" s="5" t="s">
        <v>72</v>
      </c>
      <c r="M176" s="5" t="s">
        <v>209</v>
      </c>
      <c r="N176" s="5" t="s">
        <v>53</v>
      </c>
      <c r="O176" s="5" t="s">
        <v>48</v>
      </c>
      <c r="P176" s="5" t="s">
        <v>74</v>
      </c>
      <c r="Q176" s="5" t="s">
        <v>59</v>
      </c>
      <c r="R176" s="5" t="s">
        <v>65</v>
      </c>
      <c r="S176" s="1">
        <v>2</v>
      </c>
      <c r="T176" s="1">
        <v>46</v>
      </c>
      <c r="U176" s="1">
        <v>40</v>
      </c>
    </row>
    <row r="177" spans="1:21" ht="28.8" x14ac:dyDescent="0.3">
      <c r="A177" s="41">
        <v>162</v>
      </c>
      <c r="B177" s="4"/>
      <c r="C177" s="6" t="s">
        <v>200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1">
        <v>0</v>
      </c>
      <c r="T177" s="1">
        <v>34</v>
      </c>
      <c r="U177" s="1"/>
    </row>
    <row r="178" spans="1:21" x14ac:dyDescent="0.3">
      <c r="A178" s="41">
        <v>163</v>
      </c>
      <c r="B178" s="4"/>
      <c r="C178" s="6" t="s">
        <v>195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1">
        <v>0</v>
      </c>
      <c r="T178" s="1">
        <v>36</v>
      </c>
    </row>
  </sheetData>
  <mergeCells count="4">
    <mergeCell ref="A9:A15"/>
    <mergeCell ref="B9:B15"/>
    <mergeCell ref="S9:S15"/>
    <mergeCell ref="T9:T15"/>
  </mergeCells>
  <conditionalFormatting sqref="E4:O4 Q4:R4">
    <cfRule type="colorScale" priority="12">
      <colorScale>
        <cfvo type="min"/>
        <cfvo type="max"/>
        <color rgb="FFFF7128"/>
        <color rgb="FFFFEF9C"/>
      </colorScale>
    </cfRule>
  </conditionalFormatting>
  <conditionalFormatting sqref="E2:O3 Q2:R3">
    <cfRule type="cellIs" dxfId="99" priority="10" operator="equal">
      <formula>"Y"</formula>
    </cfRule>
    <cfRule type="cellIs" dxfId="98" priority="11" operator="equal">
      <formula>"N"</formula>
    </cfRule>
  </conditionalFormatting>
  <conditionalFormatting sqref="E7:O7 Q7:R7">
    <cfRule type="cellIs" dxfId="97" priority="8" operator="equal">
      <formula>"Y"</formula>
    </cfRule>
    <cfRule type="cellIs" dxfId="96" priority="9" operator="equal">
      <formula>"N"</formula>
    </cfRule>
  </conditionalFormatting>
  <conditionalFormatting sqref="T7">
    <cfRule type="cellIs" dxfId="95" priority="6" operator="equal">
      <formula>"Y"</formula>
    </cfRule>
    <cfRule type="cellIs" dxfId="94" priority="7" operator="equal">
      <formula>"N"</formula>
    </cfRule>
  </conditionalFormatting>
  <conditionalFormatting sqref="P4">
    <cfRule type="colorScale" priority="5">
      <colorScale>
        <cfvo type="min"/>
        <cfvo type="max"/>
        <color rgb="FFFF7128"/>
        <color rgb="FFFFEF9C"/>
      </colorScale>
    </cfRule>
  </conditionalFormatting>
  <conditionalFormatting sqref="P2:P3">
    <cfRule type="cellIs" dxfId="93" priority="3" operator="equal">
      <formula>"Y"</formula>
    </cfRule>
    <cfRule type="cellIs" dxfId="92" priority="4" operator="equal">
      <formula>"N"</formula>
    </cfRule>
  </conditionalFormatting>
  <conditionalFormatting sqref="P7">
    <cfRule type="cellIs" dxfId="91" priority="1" operator="equal">
      <formula>"Y"</formula>
    </cfRule>
    <cfRule type="cellIs" dxfId="90" priority="2" operator="equal">
      <formula>"N"</formula>
    </cfRule>
  </conditionalFormatting>
  <hyperlinks>
    <hyperlink ref="C16" r:id="rId1" display="https://www.poolhost.com/profootball/playerstats/1686915"/>
    <hyperlink ref="C17" r:id="rId2" display="https://www.poolhost.com/profootball/playerstats/1659875"/>
    <hyperlink ref="C18" r:id="rId3" display="https://www.poolhost.com/profootball/playerstats/1708448"/>
    <hyperlink ref="C19" r:id="rId4" display="https://www.poolhost.com/profootball/playerstats/1729314"/>
    <hyperlink ref="C20" r:id="rId5" display="https://www.poolhost.com/profootball/playerstats/1701354"/>
    <hyperlink ref="C21" r:id="rId6" display="https://www.poolhost.com/profootball/playerstats/1666473"/>
    <hyperlink ref="C22" r:id="rId7" display="https://www.poolhost.com/profootball/playerstats/1678377"/>
    <hyperlink ref="C23" r:id="rId8" display="https://www.poolhost.com/profootball/playerstats/1655488"/>
    <hyperlink ref="C24" r:id="rId9" display="https://www.poolhost.com/profootball/playerstats/1679667"/>
    <hyperlink ref="C25" r:id="rId10" display="https://www.poolhost.com/profootball/playerstats/1734172"/>
    <hyperlink ref="C26" r:id="rId11" display="https://www.poolhost.com/profootball/playerstats/1730270"/>
    <hyperlink ref="C27" r:id="rId12" display="https://www.poolhost.com/profootball/playerstats/1699295"/>
    <hyperlink ref="C28" r:id="rId13" display="https://www.poolhost.com/profootball/playerstats/1721401"/>
    <hyperlink ref="C29" r:id="rId14" display="https://www.poolhost.com/profootball/playerstats/1657024"/>
    <hyperlink ref="C30" r:id="rId15" display="https://www.poolhost.com/profootball/playerstats/1731690"/>
    <hyperlink ref="C31" r:id="rId16" display="https://www.poolhost.com/profootball/playerstats/1686727"/>
    <hyperlink ref="C32" r:id="rId17" display="https://www.poolhost.com/profootball/playerstats/1657583"/>
    <hyperlink ref="C33" r:id="rId18" display="https://www.poolhost.com/profootball/playerstats/1671837"/>
    <hyperlink ref="C34" r:id="rId19" display="https://www.poolhost.com/profootball/playerstats/1673234"/>
    <hyperlink ref="C35" r:id="rId20" display="https://www.poolhost.com/profootball/playerstats/1654634"/>
    <hyperlink ref="C36" r:id="rId21" display="https://www.poolhost.com/profootball/playerstats/1703401"/>
    <hyperlink ref="C37" r:id="rId22" display="https://www.poolhost.com/profootball/playerstats/1674022"/>
    <hyperlink ref="C38" r:id="rId23" display="https://www.poolhost.com/profootball/playerstats/1721307"/>
    <hyperlink ref="C39" r:id="rId24" display="https://www.poolhost.com/profootball/playerstats/1668687"/>
    <hyperlink ref="C40" r:id="rId25" display="https://www.poolhost.com/profootball/playerstats/1703435"/>
    <hyperlink ref="C41" r:id="rId26" display="https://www.poolhost.com/profootball/playerstats/1694354"/>
    <hyperlink ref="C42" r:id="rId27" display="https://www.poolhost.com/profootball/playerstats/1672167"/>
    <hyperlink ref="C43" r:id="rId28" display="https://www.poolhost.com/profootball/playerstats/1655447"/>
    <hyperlink ref="C44" r:id="rId29" display="https://www.poolhost.com/profootball/playerstats/1708805"/>
    <hyperlink ref="C45" r:id="rId30" display="https://www.poolhost.com/profootball/playerstats/1733218"/>
    <hyperlink ref="C46" r:id="rId31" display="https://www.poolhost.com/profootball/playerstats/1732254"/>
    <hyperlink ref="C47" r:id="rId32" display="https://www.poolhost.com/profootball/playerstats/1677049"/>
    <hyperlink ref="C48" r:id="rId33" display="https://www.poolhost.com/profootball/playerstats/1667866"/>
    <hyperlink ref="C49" r:id="rId34" display="https://www.poolhost.com/profootball/playerstats/1649341"/>
    <hyperlink ref="C50" r:id="rId35" display="https://www.poolhost.com/profootball/playerstats/1697912"/>
    <hyperlink ref="C51" r:id="rId36" display="https://www.poolhost.com/profootball/playerstats/1699660"/>
    <hyperlink ref="C52" r:id="rId37" display="https://www.poolhost.com/profootball/playerstats/1695492"/>
    <hyperlink ref="C53" r:id="rId38" display="https://www.poolhost.com/profootball/playerstats/1701053"/>
    <hyperlink ref="C54" r:id="rId39" display="https://www.poolhost.com/profootball/playerstats/1672298"/>
    <hyperlink ref="C55" r:id="rId40" display="https://www.poolhost.com/profootball/playerstats/1677370"/>
    <hyperlink ref="C56" r:id="rId41" display="https://www.poolhost.com/profootball/playerstats/1671748"/>
    <hyperlink ref="C57" r:id="rId42" display="https://www.poolhost.com/profootball/playerstats/1700155"/>
    <hyperlink ref="C58" r:id="rId43" display="https://www.poolhost.com/profootball/playerstats/1666092"/>
    <hyperlink ref="C59" r:id="rId44" display="https://www.poolhost.com/profootball/playerstats/1726632"/>
    <hyperlink ref="C60" r:id="rId45" display="https://www.poolhost.com/profootball/playerstats/1683531"/>
    <hyperlink ref="C61" r:id="rId46" display="https://www.poolhost.com/profootball/playerstats/1735486"/>
    <hyperlink ref="C62" r:id="rId47" display="https://www.poolhost.com/profootball/playerstats/1659846"/>
    <hyperlink ref="C63" r:id="rId48" display="https://www.poolhost.com/profootball/playerstats/1658459"/>
    <hyperlink ref="C64" r:id="rId49" display="https://www.poolhost.com/profootball/playerstats/1705029"/>
    <hyperlink ref="C65" r:id="rId50" display="https://www.poolhost.com/profootball/playerstats/1665614"/>
    <hyperlink ref="C66" r:id="rId51" display="https://www.poolhost.com/profootball/playerstats/1732851"/>
    <hyperlink ref="C67" r:id="rId52" display="https://www.poolhost.com/profootball/playerstats/1674086"/>
    <hyperlink ref="C68" r:id="rId53" display="https://www.poolhost.com/profootball/playerstats/1730347"/>
    <hyperlink ref="C69" r:id="rId54" display="https://www.poolhost.com/profootball/playerstats/1699810"/>
    <hyperlink ref="C70" r:id="rId55" display="https://www.poolhost.com/profootball/playerstats/1734363"/>
    <hyperlink ref="C71" r:id="rId56" display="https://www.poolhost.com/profootball/playerstats/1705049"/>
    <hyperlink ref="C72" r:id="rId57" display="https://www.poolhost.com/profootball/playerstats/1728782"/>
    <hyperlink ref="C73" r:id="rId58" display="https://www.poolhost.com/profootball/playerstats/1729262"/>
    <hyperlink ref="C74" r:id="rId59" display="https://www.poolhost.com/profootball/playerstats/1654448"/>
    <hyperlink ref="C75" r:id="rId60" display="https://www.poolhost.com/profootball/playerstats/1679300"/>
    <hyperlink ref="C76" r:id="rId61" display="https://www.poolhost.com/profootball/playerstats/1715552"/>
    <hyperlink ref="C77" r:id="rId62" display="https://www.poolhost.com/profootball/playerstats/1725535"/>
    <hyperlink ref="C78" r:id="rId63" display="https://www.poolhost.com/profootball/playerstats/1707988"/>
    <hyperlink ref="C79" r:id="rId64" display="https://www.poolhost.com/profootball/playerstats/1661711"/>
    <hyperlink ref="C80" r:id="rId65" display="https://www.poolhost.com/profootball/playerstats/1685066"/>
    <hyperlink ref="C81" r:id="rId66" display="https://www.poolhost.com/profootball/playerstats/1654649"/>
    <hyperlink ref="C82" r:id="rId67" display="https://www.poolhost.com/profootball/playerstats/1654484"/>
    <hyperlink ref="C83" r:id="rId68" display="https://www.poolhost.com/profootball/playerstats/1732788"/>
    <hyperlink ref="C84" r:id="rId69" display="https://www.poolhost.com/profootball/playerstats/1685256"/>
    <hyperlink ref="C85" r:id="rId70" display="https://www.poolhost.com/profootball/playerstats/1708312"/>
    <hyperlink ref="C86" r:id="rId71" display="https://www.poolhost.com/profootball/playerstats/1681946"/>
    <hyperlink ref="C87" r:id="rId72" display="https://www.poolhost.com/profootball/playerstats/1667937"/>
    <hyperlink ref="C88" r:id="rId73" display="https://www.poolhost.com/profootball/playerstats/1733415"/>
    <hyperlink ref="C89" r:id="rId74" display="https://www.poolhost.com/profootball/playerstats/1660811"/>
    <hyperlink ref="C90" r:id="rId75" display="https://www.poolhost.com/profootball/playerstats/1704294"/>
    <hyperlink ref="C91" r:id="rId76" display="https://www.poolhost.com/profootball/playerstats/1727817"/>
    <hyperlink ref="C92" r:id="rId77" display="https://www.poolhost.com/profootball/playerstats/1684290"/>
    <hyperlink ref="C93" r:id="rId78" display="https://www.poolhost.com/profootball/playerstats/1669305"/>
    <hyperlink ref="C94" r:id="rId79" display="https://www.poolhost.com/profootball/playerstats/1654623"/>
    <hyperlink ref="C95" r:id="rId80" display="https://www.poolhost.com/profootball/playerstats/1665631"/>
    <hyperlink ref="C96" r:id="rId81" display="https://www.poolhost.com/profootball/playerstats/1654791"/>
    <hyperlink ref="C97" r:id="rId82" display="https://www.poolhost.com/profootball/playerstats/1709781"/>
    <hyperlink ref="C98" r:id="rId83" display="https://www.poolhost.com/profootball/playerstats/1676654"/>
    <hyperlink ref="C99" r:id="rId84" display="https://www.poolhost.com/profootball/playerstats/1673222"/>
    <hyperlink ref="C100" r:id="rId85" display="https://www.poolhost.com/profootball/playerstats/1663101"/>
    <hyperlink ref="C101" r:id="rId86" display="https://www.poolhost.com/profootball/playerstats/1709552"/>
    <hyperlink ref="C102" r:id="rId87" display="https://www.poolhost.com/profootball/playerstats/1669323"/>
    <hyperlink ref="C103" r:id="rId88" display="https://www.poolhost.com/profootball/playerstats/1670025"/>
    <hyperlink ref="C104" r:id="rId89" display="https://www.poolhost.com/profootball/playerstats/1662306"/>
    <hyperlink ref="C105" r:id="rId90" display="https://www.poolhost.com/profootball/playerstats/1702170"/>
    <hyperlink ref="C106" r:id="rId91" display="https://www.poolhost.com/profootball/playerstats/1668628"/>
    <hyperlink ref="C107" r:id="rId92" display="https://www.poolhost.com/profootball/playerstats/1700157"/>
    <hyperlink ref="C108" r:id="rId93" display="https://www.poolhost.com/profootball/playerstats/1667376"/>
    <hyperlink ref="C109" r:id="rId94" display="https://www.poolhost.com/profootball/playerstats/1657103"/>
    <hyperlink ref="C110" r:id="rId95" display="https://www.poolhost.com/profootball/playerstats/1730676"/>
    <hyperlink ref="C111" r:id="rId96" display="https://www.poolhost.com/profootball/playerstats/1723980"/>
    <hyperlink ref="C112" r:id="rId97" display="https://www.poolhost.com/profootball/playerstats/1656464"/>
    <hyperlink ref="C113" r:id="rId98" display="https://www.poolhost.com/profootball/playerstats/1711169"/>
    <hyperlink ref="C114" r:id="rId99" display="https://www.poolhost.com/profootball/playerstats/1712780"/>
    <hyperlink ref="C115" r:id="rId100" display="https://www.poolhost.com/profootball/playerstats/1649126"/>
    <hyperlink ref="C116" r:id="rId101" display="https://www.poolhost.com/profootball/playerstats/1662606"/>
    <hyperlink ref="C117" r:id="rId102" display="https://www.poolhost.com/profootball/playerstats/1682523"/>
    <hyperlink ref="C118" r:id="rId103" display="https://www.poolhost.com/profootball/playerstats/1683389"/>
    <hyperlink ref="C119" r:id="rId104" display="https://www.poolhost.com/profootball/playerstats/1659558"/>
    <hyperlink ref="C120" r:id="rId105" display="https://www.poolhost.com/profootball/playerstats/1668461"/>
    <hyperlink ref="C121" r:id="rId106" display="https://www.poolhost.com/profootball/playerstats/1687892"/>
    <hyperlink ref="C122" r:id="rId107" display="https://www.poolhost.com/profootball/playerstats/1673248"/>
    <hyperlink ref="C123" r:id="rId108" display="https://www.poolhost.com/profootball/playerstats/1682884"/>
    <hyperlink ref="C124" r:id="rId109" display="https://www.poolhost.com/profootball/playerstats/1732411"/>
    <hyperlink ref="C125" r:id="rId110" display="https://www.poolhost.com/profootball/playerstats/1722206"/>
    <hyperlink ref="C126" r:id="rId111" display="https://www.poolhost.com/profootball/playerstats/1666034"/>
    <hyperlink ref="C127" r:id="rId112" display="https://www.poolhost.com/profootball/playerstats/1728787"/>
    <hyperlink ref="C128" r:id="rId113" display="https://www.poolhost.com/profootball/playerstats/1705272"/>
    <hyperlink ref="C129" r:id="rId114" display="https://www.poolhost.com/profootball/playerstats/1722233"/>
    <hyperlink ref="C130" r:id="rId115" display="https://www.poolhost.com/profootball/playerstats/1726326"/>
    <hyperlink ref="C131" r:id="rId116" display="https://www.poolhost.com/profootball/playerstats/1657801"/>
    <hyperlink ref="C132" r:id="rId117" display="https://www.poolhost.com/profootball/playerstats/1684266"/>
    <hyperlink ref="C133" r:id="rId118" display="https://www.poolhost.com/profootball/playerstats/1654603"/>
    <hyperlink ref="C134" r:id="rId119" display="https://www.poolhost.com/profootball/playerstats/1729617"/>
    <hyperlink ref="C135" r:id="rId120" display="https://www.poolhost.com/profootball/playerstats/1654500"/>
    <hyperlink ref="C136" r:id="rId121" display="https://www.poolhost.com/profootball/playerstats/1666449"/>
    <hyperlink ref="C137" r:id="rId122" display="https://www.poolhost.com/profootball/playerstats/1705346"/>
    <hyperlink ref="C138" r:id="rId123" display="https://www.poolhost.com/profootball/playerstats/1668682"/>
    <hyperlink ref="C139" r:id="rId124" display="https://www.poolhost.com/profootball/playerstats/1732996"/>
    <hyperlink ref="C140" r:id="rId125" display="https://www.poolhost.com/profootball/playerstats/1704026"/>
    <hyperlink ref="C141" r:id="rId126" display="https://www.poolhost.com/profootball/playerstats/1681897"/>
    <hyperlink ref="C142" r:id="rId127" display="https://www.poolhost.com/profootball/playerstats/1669212"/>
    <hyperlink ref="C143" r:id="rId128" display="https://www.poolhost.com/profootball/playerstats/1729491"/>
    <hyperlink ref="C144" r:id="rId129" display="https://www.poolhost.com/profootball/playerstats/1684491"/>
    <hyperlink ref="C145" r:id="rId130" display="https://www.poolhost.com/profootball/playerstats/1708505"/>
    <hyperlink ref="C146" r:id="rId131" display="https://www.poolhost.com/profootball/playerstats/1678667"/>
    <hyperlink ref="C147" r:id="rId132" display="https://www.poolhost.com/profootball/playerstats/1670484"/>
    <hyperlink ref="C148" r:id="rId133" display="https://www.poolhost.com/profootball/playerstats/1666027"/>
    <hyperlink ref="C149" r:id="rId134" display="https://www.poolhost.com/profootball/playerstats/1705249"/>
    <hyperlink ref="C150" r:id="rId135" display="https://www.poolhost.com/profootball/playerstats/1661981"/>
    <hyperlink ref="C151" r:id="rId136" display="https://www.poolhost.com/profootball/playerstats/1681958"/>
    <hyperlink ref="C152" r:id="rId137" display="https://www.poolhost.com/profootball/playerstats/1665810"/>
    <hyperlink ref="C153" r:id="rId138" display="https://www.poolhost.com/profootball/playerstats/1673761"/>
    <hyperlink ref="C154" r:id="rId139" display="https://www.poolhost.com/profootball/playerstats/1665979"/>
    <hyperlink ref="C155" r:id="rId140" display="https://www.poolhost.com/profootball/playerstats/1722286"/>
    <hyperlink ref="C156" r:id="rId141" display="https://www.poolhost.com/profootball/playerstats/1654485"/>
    <hyperlink ref="C157" r:id="rId142" display="https://www.poolhost.com/profootball/playerstats/1676125"/>
    <hyperlink ref="C158" r:id="rId143" display="https://www.poolhost.com/profootball/playerstats/1702449"/>
    <hyperlink ref="C159" r:id="rId144" display="https://www.poolhost.com/profootball/playerstats/1678632"/>
    <hyperlink ref="C160" r:id="rId145" display="https://www.poolhost.com/profootball/playerstats/1696717"/>
    <hyperlink ref="C161" r:id="rId146" display="https://www.poolhost.com/profootball/playerstats/1665910"/>
    <hyperlink ref="C162" r:id="rId147" display="https://www.poolhost.com/profootball/playerstats/1694017"/>
    <hyperlink ref="C163" r:id="rId148" display="https://www.poolhost.com/profootball/playerstats/1680041"/>
    <hyperlink ref="C164" r:id="rId149" display="https://www.poolhost.com/profootball/playerstats/1731755"/>
    <hyperlink ref="C165" r:id="rId150" display="https://www.poolhost.com/profootball/playerstats/1695716"/>
    <hyperlink ref="C166" r:id="rId151" display="https://www.poolhost.com/profootball/playerstats/1741250"/>
    <hyperlink ref="C167" r:id="rId152" display="https://www.poolhost.com/profootball/playerstats/1691673"/>
    <hyperlink ref="C168" r:id="rId153" display="https://www.poolhost.com/profootball/playerstats/1731780"/>
    <hyperlink ref="C169" r:id="rId154" display="https://www.poolhost.com/profootball/playerstats/1724223"/>
    <hyperlink ref="C170" r:id="rId155" display="https://www.poolhost.com/profootball/playerstats/1657214"/>
    <hyperlink ref="C171" r:id="rId156" display="https://www.poolhost.com/profootball/playerstats/1670226"/>
    <hyperlink ref="C172" r:id="rId157" display="https://www.poolhost.com/profootball/playerstats/1679156"/>
    <hyperlink ref="C173" r:id="rId158" display="https://www.poolhost.com/profootball/playerstats/1657241"/>
    <hyperlink ref="C174" r:id="rId159" display="https://www.poolhost.com/profootball/playerstats/1727170"/>
    <hyperlink ref="C175" r:id="rId160" display="https://www.poolhost.com/profootball/playerstats/1732290"/>
    <hyperlink ref="C176" r:id="rId161" display="https://www.poolhost.com/profootball/playerstats/1679009"/>
    <hyperlink ref="C177" r:id="rId162" display="https://www.poolhost.com/profootball/playerstats/1732953"/>
    <hyperlink ref="C178" r:id="rId163" display="https://www.poolhost.com/profootball/playerstats/166364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8"/>
  <sheetViews>
    <sheetView topLeftCell="N1" zoomScaleNormal="100" workbookViewId="0">
      <selection activeCell="X3" sqref="X3:X16"/>
    </sheetView>
  </sheetViews>
  <sheetFormatPr defaultRowHeight="14.4" x14ac:dyDescent="0.3"/>
  <sheetData>
    <row r="1" spans="1:28" ht="15" thickBot="1" x14ac:dyDescent="0.35">
      <c r="A1" s="2" t="s">
        <v>0</v>
      </c>
      <c r="D1">
        <v>2</v>
      </c>
      <c r="E1">
        <f>D1+1</f>
        <v>3</v>
      </c>
      <c r="F1">
        <f t="shared" ref="F1:M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ref="N1" si="1">M1+1</f>
        <v>12</v>
      </c>
      <c r="O1">
        <f t="shared" ref="O1" si="2">N1+1</f>
        <v>13</v>
      </c>
      <c r="P1">
        <f t="shared" ref="P1" si="3">O1+1</f>
        <v>14</v>
      </c>
      <c r="Q1">
        <f t="shared" ref="Q1" si="4">P1+1</f>
        <v>15</v>
      </c>
      <c r="R1">
        <f t="shared" ref="R1" si="5">Q1+1</f>
        <v>16</v>
      </c>
      <c r="S1">
        <f t="shared" ref="S1" si="6">R1+1</f>
        <v>17</v>
      </c>
      <c r="T1">
        <f t="shared" ref="T1" si="7">S1+1</f>
        <v>18</v>
      </c>
      <c r="U1">
        <f t="shared" ref="U1" si="8">T1+1</f>
        <v>19</v>
      </c>
      <c r="W1" s="16">
        <v>0</v>
      </c>
      <c r="X1" s="11">
        <f>COUNTIF(T$16:T$200,W1)</f>
        <v>1</v>
      </c>
      <c r="Y1" s="20">
        <f>X1/SUM(X$1:X$14)</f>
        <v>6.1349693251533744E-3</v>
      </c>
      <c r="Z1" s="33"/>
      <c r="AA1" t="s">
        <v>227</v>
      </c>
    </row>
    <row r="2" spans="1:28" ht="15" thickBot="1" x14ac:dyDescent="0.35">
      <c r="A2" s="2" t="s">
        <v>1</v>
      </c>
      <c r="C2" t="s">
        <v>204</v>
      </c>
      <c r="E2" s="24" t="str">
        <f t="shared" ref="E2:S3" si="9">IF(VLOOKUP($C2,$C$16:$AC$192,E$1,FALSE)=E$8,"Y","N")</f>
        <v>Y</v>
      </c>
      <c r="F2" s="25" t="str">
        <f t="shared" si="9"/>
        <v>Y</v>
      </c>
      <c r="G2" s="25" t="str">
        <f t="shared" si="9"/>
        <v>Y</v>
      </c>
      <c r="H2" s="25" t="str">
        <f t="shared" si="9"/>
        <v>N</v>
      </c>
      <c r="I2" s="25" t="str">
        <f t="shared" si="9"/>
        <v>N</v>
      </c>
      <c r="J2" s="25" t="str">
        <f t="shared" si="9"/>
        <v>Y</v>
      </c>
      <c r="K2" s="25" t="str">
        <f t="shared" si="9"/>
        <v>Y</v>
      </c>
      <c r="L2" s="25" t="str">
        <f t="shared" si="9"/>
        <v>N</v>
      </c>
      <c r="M2" s="25" t="str">
        <f t="shared" si="9"/>
        <v>Y</v>
      </c>
      <c r="N2" s="25" t="str">
        <f t="shared" si="9"/>
        <v>Y</v>
      </c>
      <c r="O2" s="25" t="str">
        <f t="shared" si="9"/>
        <v>Y</v>
      </c>
      <c r="P2" s="25" t="str">
        <f t="shared" si="9"/>
        <v>Y</v>
      </c>
      <c r="Q2" s="25" t="str">
        <f t="shared" si="9"/>
        <v>Y</v>
      </c>
      <c r="R2" s="25" t="str">
        <f t="shared" si="9"/>
        <v>Y</v>
      </c>
      <c r="S2" s="25" t="str">
        <f t="shared" si="9"/>
        <v>Y</v>
      </c>
      <c r="T2" s="19">
        <f>VLOOKUP($C2,$C$16:$AC$192,T$1,FALSE)</f>
        <v>12</v>
      </c>
      <c r="U2" s="19">
        <f>VLOOKUP($C2,$C$16:$AC$192,U$1,FALSE)</f>
        <v>67</v>
      </c>
      <c r="W2" s="23">
        <f>W1+1</f>
        <v>1</v>
      </c>
      <c r="X2" s="12">
        <f t="shared" ref="X2" si="10">COUNTIF(T$16:T$200,W2)</f>
        <v>0</v>
      </c>
      <c r="Y2" s="21">
        <f t="shared" ref="Y2:Y13" si="11">X2/SUM(X$1:X$14)</f>
        <v>0</v>
      </c>
      <c r="Z2" s="33"/>
      <c r="AA2">
        <v>0</v>
      </c>
      <c r="AB2">
        <f>COUNTIF(V$16:V$179,AA2)</f>
        <v>0</v>
      </c>
    </row>
    <row r="3" spans="1:28" ht="15" thickBot="1" x14ac:dyDescent="0.35">
      <c r="A3" s="2" t="s">
        <v>2</v>
      </c>
      <c r="C3" t="s">
        <v>162</v>
      </c>
      <c r="E3" s="13" t="str">
        <f t="shared" si="9"/>
        <v>Y</v>
      </c>
      <c r="F3" s="14" t="str">
        <f t="shared" si="9"/>
        <v>Y</v>
      </c>
      <c r="G3" s="14" t="str">
        <f t="shared" si="9"/>
        <v>Y</v>
      </c>
      <c r="H3" s="14" t="str">
        <f t="shared" si="9"/>
        <v>N</v>
      </c>
      <c r="I3" s="14" t="str">
        <f t="shared" si="9"/>
        <v>Y</v>
      </c>
      <c r="J3" s="14" t="str">
        <f t="shared" si="9"/>
        <v>N</v>
      </c>
      <c r="K3" s="14" t="str">
        <f t="shared" si="9"/>
        <v>N</v>
      </c>
      <c r="L3" s="14" t="str">
        <f t="shared" si="9"/>
        <v>Y</v>
      </c>
      <c r="M3" s="14" t="str">
        <f t="shared" si="9"/>
        <v>Y</v>
      </c>
      <c r="N3" s="14" t="str">
        <f t="shared" si="9"/>
        <v>N</v>
      </c>
      <c r="O3" s="14" t="str">
        <f t="shared" si="9"/>
        <v>N</v>
      </c>
      <c r="P3" s="14" t="str">
        <f t="shared" si="9"/>
        <v>Y</v>
      </c>
      <c r="Q3" s="14" t="str">
        <f t="shared" si="9"/>
        <v>N</v>
      </c>
      <c r="R3" s="14" t="str">
        <f t="shared" si="9"/>
        <v>N</v>
      </c>
      <c r="S3" s="14" t="str">
        <f t="shared" si="9"/>
        <v>Y</v>
      </c>
      <c r="T3" s="18">
        <f>VLOOKUP($C3,$C$16:$AC$192,T$1,FALSE)</f>
        <v>8</v>
      </c>
      <c r="U3" s="18">
        <f>VLOOKUP($C3,$C$16:$AC$192,U$1,FALSE)</f>
        <v>61</v>
      </c>
      <c r="W3" s="23">
        <f t="shared" ref="W3:W16" si="12">W2+1</f>
        <v>2</v>
      </c>
      <c r="X3" s="12">
        <f>COUNTIF(T$16:T$200,W3)</f>
        <v>0</v>
      </c>
      <c r="Y3" s="21">
        <f t="shared" si="11"/>
        <v>0</v>
      </c>
      <c r="Z3" s="33"/>
      <c r="AA3">
        <v>1</v>
      </c>
      <c r="AB3">
        <f t="shared" ref="AB3:AB66" si="13">COUNTIF(V$16:V$179,AA3)</f>
        <v>0</v>
      </c>
    </row>
    <row r="4" spans="1:28" x14ac:dyDescent="0.3">
      <c r="A4" s="2" t="s">
        <v>3</v>
      </c>
      <c r="C4" t="s">
        <v>205</v>
      </c>
      <c r="E4" s="9">
        <f>E5/SUM(E5:E6)</f>
        <v>0.52469135802469136</v>
      </c>
      <c r="F4" s="9">
        <f t="shared" ref="F4:S4" si="14">F5/SUM(F5:F6)</f>
        <v>0.82098765432098764</v>
      </c>
      <c r="G4" s="9">
        <f t="shared" si="14"/>
        <v>0.64197530864197527</v>
      </c>
      <c r="H4" s="9">
        <f t="shared" si="14"/>
        <v>0.31481481481481483</v>
      </c>
      <c r="I4" s="9">
        <f t="shared" si="14"/>
        <v>0.67901234567901236</v>
      </c>
      <c r="J4" s="9">
        <f t="shared" si="14"/>
        <v>0.41358024691358025</v>
      </c>
      <c r="K4" s="9">
        <f t="shared" si="14"/>
        <v>0.48148148148148145</v>
      </c>
      <c r="L4" s="9">
        <f t="shared" si="14"/>
        <v>0.46913580246913578</v>
      </c>
      <c r="M4" s="9">
        <f t="shared" si="14"/>
        <v>0.59876543209876543</v>
      </c>
      <c r="N4" s="9">
        <f t="shared" si="14"/>
        <v>0.33950617283950618</v>
      </c>
      <c r="O4" s="9">
        <f t="shared" si="14"/>
        <v>0.60493827160493829</v>
      </c>
      <c r="P4" s="9">
        <f t="shared" ref="P4" si="15">P5/SUM(P5:P6)</f>
        <v>0.83333333333333337</v>
      </c>
      <c r="Q4" s="9">
        <f t="shared" ref="Q4" si="16">Q5/SUM(Q5:Q6)</f>
        <v>0.3888888888888889</v>
      </c>
      <c r="R4" s="9">
        <f t="shared" si="14"/>
        <v>0.61111111111111116</v>
      </c>
      <c r="S4" s="9">
        <f t="shared" si="14"/>
        <v>0.77160493827160492</v>
      </c>
      <c r="T4" s="10" t="s">
        <v>217</v>
      </c>
      <c r="U4" s="10" t="s">
        <v>218</v>
      </c>
      <c r="W4" s="23">
        <f t="shared" si="12"/>
        <v>3</v>
      </c>
      <c r="X4" s="12">
        <f t="shared" ref="X4:X16" si="17">COUNTIF(T$16:T$200,W4)</f>
        <v>2</v>
      </c>
      <c r="Y4" s="21">
        <f t="shared" si="11"/>
        <v>1.2269938650306749E-2</v>
      </c>
      <c r="Z4" s="33"/>
      <c r="AA4">
        <v>2</v>
      </c>
      <c r="AB4">
        <f t="shared" si="13"/>
        <v>0</v>
      </c>
    </row>
    <row r="5" spans="1:28" x14ac:dyDescent="0.3">
      <c r="A5" s="2" t="s">
        <v>0</v>
      </c>
      <c r="C5" t="s">
        <v>202</v>
      </c>
      <c r="D5">
        <f t="shared" ref="D5:S5" si="18">COUNTIF(D$16:D$197,D10)</f>
        <v>0</v>
      </c>
      <c r="E5">
        <f t="shared" si="18"/>
        <v>85</v>
      </c>
      <c r="F5">
        <f t="shared" si="18"/>
        <v>133</v>
      </c>
      <c r="G5">
        <f t="shared" si="18"/>
        <v>104</v>
      </c>
      <c r="H5">
        <f t="shared" si="18"/>
        <v>51</v>
      </c>
      <c r="I5">
        <f t="shared" si="18"/>
        <v>110</v>
      </c>
      <c r="J5">
        <f t="shared" si="18"/>
        <v>67</v>
      </c>
      <c r="K5">
        <f t="shared" si="18"/>
        <v>78</v>
      </c>
      <c r="L5">
        <f t="shared" si="18"/>
        <v>76</v>
      </c>
      <c r="M5">
        <f t="shared" si="18"/>
        <v>97</v>
      </c>
      <c r="N5">
        <f t="shared" si="18"/>
        <v>55</v>
      </c>
      <c r="O5">
        <f t="shared" si="18"/>
        <v>98</v>
      </c>
      <c r="P5">
        <f t="shared" si="18"/>
        <v>135</v>
      </c>
      <c r="Q5">
        <f t="shared" ref="Q5" si="19">COUNTIF(Q$16:Q$197,Q10)</f>
        <v>63</v>
      </c>
      <c r="R5">
        <f t="shared" si="18"/>
        <v>99</v>
      </c>
      <c r="S5">
        <f t="shared" si="18"/>
        <v>125</v>
      </c>
      <c r="W5" s="23">
        <f t="shared" si="12"/>
        <v>4</v>
      </c>
      <c r="X5" s="12">
        <f t="shared" si="17"/>
        <v>1</v>
      </c>
      <c r="Y5" s="21">
        <f t="shared" si="11"/>
        <v>6.1349693251533744E-3</v>
      </c>
      <c r="Z5" s="33"/>
      <c r="AA5">
        <v>3</v>
      </c>
      <c r="AB5">
        <f t="shared" si="13"/>
        <v>0</v>
      </c>
    </row>
    <row r="6" spans="1:28" ht="15" thickBot="1" x14ac:dyDescent="0.35">
      <c r="A6" s="2" t="s">
        <v>4</v>
      </c>
      <c r="C6" t="s">
        <v>203</v>
      </c>
      <c r="D6">
        <f t="shared" ref="D6:S6" si="20">COUNTIF(D$16:D$197,D12)</f>
        <v>0</v>
      </c>
      <c r="E6">
        <f t="shared" si="20"/>
        <v>77</v>
      </c>
      <c r="F6">
        <f t="shared" si="20"/>
        <v>29</v>
      </c>
      <c r="G6">
        <f t="shared" si="20"/>
        <v>58</v>
      </c>
      <c r="H6">
        <f t="shared" si="20"/>
        <v>111</v>
      </c>
      <c r="I6">
        <f t="shared" si="20"/>
        <v>52</v>
      </c>
      <c r="J6">
        <f t="shared" si="20"/>
        <v>95</v>
      </c>
      <c r="K6">
        <f t="shared" si="20"/>
        <v>84</v>
      </c>
      <c r="L6">
        <f t="shared" si="20"/>
        <v>86</v>
      </c>
      <c r="M6">
        <f t="shared" si="20"/>
        <v>65</v>
      </c>
      <c r="N6">
        <f t="shared" si="20"/>
        <v>107</v>
      </c>
      <c r="O6">
        <f t="shared" si="20"/>
        <v>64</v>
      </c>
      <c r="P6">
        <f t="shared" si="20"/>
        <v>27</v>
      </c>
      <c r="Q6">
        <f t="shared" ref="Q6" si="21">COUNTIF(Q$16:Q$197,Q12)</f>
        <v>99</v>
      </c>
      <c r="R6">
        <f t="shared" si="20"/>
        <v>63</v>
      </c>
      <c r="S6">
        <f t="shared" si="20"/>
        <v>37</v>
      </c>
      <c r="W6" s="23">
        <f t="shared" si="12"/>
        <v>5</v>
      </c>
      <c r="X6" s="12">
        <f t="shared" si="17"/>
        <v>8</v>
      </c>
      <c r="Y6" s="21">
        <f t="shared" si="11"/>
        <v>4.9079754601226995E-2</v>
      </c>
      <c r="Z6" s="33"/>
      <c r="AA6">
        <f>AA5+1</f>
        <v>4</v>
      </c>
      <c r="AB6">
        <f t="shared" si="13"/>
        <v>0</v>
      </c>
    </row>
    <row r="7" spans="1:28" ht="15" thickBot="1" x14ac:dyDescent="0.35">
      <c r="A7" s="2"/>
      <c r="C7" t="s">
        <v>213</v>
      </c>
      <c r="E7" s="28" t="str">
        <f>IF(AND(E10=E8,E4&gt;0.5),"Y",IF(AND(E10=E8,E4&lt;0.5),"N",IF(E4&gt;0.5,"Y","N")))</f>
        <v>Y</v>
      </c>
      <c r="F7" s="11" t="str">
        <f>IF(AND(F10=F8,F4&gt;0.5),"Y",IF(AND(F10=F8,F4&lt;0.5),"N",IF(F4&gt;0.5,"Y","N")))</f>
        <v>Y</v>
      </c>
      <c r="G7" s="11" t="str">
        <f t="shared" ref="G7:S7" si="22">IF(AND(G10=G8,G4&gt;0.5),"Y",IF(AND(G10=G8,G4&lt;0.5),"N",IF(G4&lt;0.5,"Y","N")))</f>
        <v>N</v>
      </c>
      <c r="H7" s="11" t="str">
        <f t="shared" si="22"/>
        <v>N</v>
      </c>
      <c r="I7" s="11" t="str">
        <f t="shared" si="22"/>
        <v>N</v>
      </c>
      <c r="J7" s="11" t="str">
        <f t="shared" si="22"/>
        <v>N</v>
      </c>
      <c r="K7" s="11" t="str">
        <f t="shared" si="22"/>
        <v>Y</v>
      </c>
      <c r="L7" s="11" t="str">
        <f t="shared" si="22"/>
        <v>Y</v>
      </c>
      <c r="M7" s="11" t="str">
        <f t="shared" si="22"/>
        <v>Y</v>
      </c>
      <c r="N7" s="11" t="str">
        <f t="shared" si="22"/>
        <v>Y</v>
      </c>
      <c r="O7" s="11" t="str">
        <f t="shared" si="22"/>
        <v>Y</v>
      </c>
      <c r="P7" s="11" t="str">
        <f t="shared" si="22"/>
        <v>Y</v>
      </c>
      <c r="Q7" s="11" t="str">
        <f t="shared" ref="Q7" si="23">IF(AND(Q10=Q8,Q4&gt;0.5),"Y",IF(AND(Q10=Q8,Q4&lt;0.5),"N",IF(Q4&lt;0.5,"Y","N")))</f>
        <v>N</v>
      </c>
      <c r="R7" s="11" t="str">
        <f t="shared" si="22"/>
        <v>Y</v>
      </c>
      <c r="S7" s="29" t="str">
        <f t="shared" si="22"/>
        <v>Y</v>
      </c>
      <c r="T7" s="37" t="s">
        <v>220</v>
      </c>
      <c r="U7" s="38">
        <f>COUNTIF(C7:S7,"Y")</f>
        <v>10</v>
      </c>
      <c r="W7" s="23">
        <f t="shared" si="12"/>
        <v>6</v>
      </c>
      <c r="X7" s="12">
        <f t="shared" si="17"/>
        <v>17</v>
      </c>
      <c r="Y7" s="21">
        <f t="shared" si="11"/>
        <v>0.10429447852760736</v>
      </c>
      <c r="Z7" s="33"/>
      <c r="AA7">
        <f t="shared" ref="AA7:AA70" si="24">AA6+1</f>
        <v>5</v>
      </c>
      <c r="AB7">
        <f t="shared" si="13"/>
        <v>0</v>
      </c>
    </row>
    <row r="8" spans="1:28" ht="15" thickBot="1" x14ac:dyDescent="0.35">
      <c r="A8" s="2"/>
      <c r="C8" t="s">
        <v>212</v>
      </c>
      <c r="E8" s="30" t="s">
        <v>61</v>
      </c>
      <c r="F8" s="31" t="s">
        <v>71</v>
      </c>
      <c r="G8" s="31" t="s">
        <v>63</v>
      </c>
      <c r="H8" s="31" t="s">
        <v>51</v>
      </c>
      <c r="I8" s="31" t="s">
        <v>55</v>
      </c>
      <c r="J8" s="31" t="s">
        <v>56</v>
      </c>
      <c r="K8" s="31" t="s">
        <v>69</v>
      </c>
      <c r="L8" s="31" t="s">
        <v>60</v>
      </c>
      <c r="M8" s="31" t="s">
        <v>65</v>
      </c>
      <c r="N8" s="31" t="s">
        <v>75</v>
      </c>
      <c r="O8" s="31" t="s">
        <v>53</v>
      </c>
      <c r="P8" s="31" t="s">
        <v>64</v>
      </c>
      <c r="Q8" s="31" t="s">
        <v>66</v>
      </c>
      <c r="R8" s="31" t="s">
        <v>48</v>
      </c>
      <c r="S8" s="32" t="s">
        <v>67</v>
      </c>
      <c r="W8" s="23">
        <f t="shared" si="12"/>
        <v>7</v>
      </c>
      <c r="X8" s="12">
        <f t="shared" si="17"/>
        <v>19</v>
      </c>
      <c r="Y8" s="21">
        <f t="shared" si="11"/>
        <v>0.1165644171779141</v>
      </c>
      <c r="Z8" s="33"/>
      <c r="AA8">
        <f t="shared" si="24"/>
        <v>6</v>
      </c>
      <c r="AB8">
        <f t="shared" si="13"/>
        <v>1</v>
      </c>
    </row>
    <row r="9" spans="1:28" x14ac:dyDescent="0.3">
      <c r="A9" s="47" t="s">
        <v>46</v>
      </c>
      <c r="B9" s="47"/>
      <c r="C9" s="2" t="s">
        <v>0</v>
      </c>
      <c r="D9" s="7">
        <v>30</v>
      </c>
      <c r="E9" s="7">
        <v>29</v>
      </c>
      <c r="F9" s="7">
        <v>52</v>
      </c>
      <c r="G9" s="7">
        <v>23</v>
      </c>
      <c r="H9" s="7">
        <v>27</v>
      </c>
      <c r="I9" s="7">
        <v>27</v>
      </c>
      <c r="J9" s="7">
        <v>25</v>
      </c>
      <c r="K9" s="7">
        <v>26</v>
      </c>
      <c r="L9" s="7">
        <v>17</v>
      </c>
      <c r="M9" s="7">
        <v>26</v>
      </c>
      <c r="N9" s="7">
        <v>10</v>
      </c>
      <c r="O9" s="7">
        <v>18</v>
      </c>
      <c r="P9" s="7">
        <v>28</v>
      </c>
      <c r="Q9" s="7">
        <v>20</v>
      </c>
      <c r="R9" s="7">
        <v>30</v>
      </c>
      <c r="S9" s="7">
        <v>26</v>
      </c>
      <c r="T9" s="47" t="s">
        <v>76</v>
      </c>
      <c r="U9" s="47" t="s">
        <v>77</v>
      </c>
      <c r="V9" s="8" t="s">
        <v>223</v>
      </c>
      <c r="W9" s="34">
        <f t="shared" si="12"/>
        <v>8</v>
      </c>
      <c r="X9" s="35">
        <f t="shared" si="17"/>
        <v>39</v>
      </c>
      <c r="Y9" s="36">
        <f t="shared" si="11"/>
        <v>0.2392638036809816</v>
      </c>
      <c r="Z9" s="33"/>
      <c r="AA9">
        <f t="shared" si="24"/>
        <v>7</v>
      </c>
      <c r="AB9">
        <f t="shared" si="13"/>
        <v>0</v>
      </c>
    </row>
    <row r="10" spans="1:28" x14ac:dyDescent="0.3">
      <c r="A10" s="47"/>
      <c r="B10" s="47"/>
      <c r="C10" s="2" t="s">
        <v>1</v>
      </c>
      <c r="D10" s="7" t="s">
        <v>209</v>
      </c>
      <c r="E10" s="7" t="s">
        <v>61</v>
      </c>
      <c r="F10" s="7" t="s">
        <v>71</v>
      </c>
      <c r="G10" s="7" t="s">
        <v>57</v>
      </c>
      <c r="H10" s="7" t="s">
        <v>51</v>
      </c>
      <c r="I10" s="7" t="s">
        <v>208</v>
      </c>
      <c r="J10" s="7" t="s">
        <v>56</v>
      </c>
      <c r="K10" s="7" t="s">
        <v>59</v>
      </c>
      <c r="L10" s="7" t="s">
        <v>73</v>
      </c>
      <c r="M10" s="7" t="s">
        <v>65</v>
      </c>
      <c r="N10" s="7" t="s">
        <v>47</v>
      </c>
      <c r="O10" s="7" t="s">
        <v>53</v>
      </c>
      <c r="P10" s="7" t="s">
        <v>64</v>
      </c>
      <c r="Q10" s="7" t="s">
        <v>66</v>
      </c>
      <c r="R10" s="7" t="s">
        <v>48</v>
      </c>
      <c r="S10" s="7" t="s">
        <v>67</v>
      </c>
      <c r="T10" s="47"/>
      <c r="U10" s="47"/>
      <c r="V10" s="8" t="s">
        <v>77</v>
      </c>
      <c r="W10" s="23">
        <f t="shared" si="12"/>
        <v>9</v>
      </c>
      <c r="X10" s="12">
        <f t="shared" si="17"/>
        <v>37</v>
      </c>
      <c r="Y10" s="21">
        <f t="shared" si="11"/>
        <v>0.22699386503067484</v>
      </c>
      <c r="Z10" s="33"/>
      <c r="AA10">
        <f t="shared" si="24"/>
        <v>8</v>
      </c>
      <c r="AB10">
        <f t="shared" si="13"/>
        <v>0</v>
      </c>
    </row>
    <row r="11" spans="1:28" x14ac:dyDescent="0.3">
      <c r="A11" s="47"/>
      <c r="B11" s="47"/>
      <c r="C11" s="2" t="s">
        <v>2</v>
      </c>
      <c r="D11" s="7">
        <v>3</v>
      </c>
      <c r="E11" s="7">
        <v>11.5</v>
      </c>
      <c r="F11" s="7">
        <v>-10.5</v>
      </c>
      <c r="G11" s="7">
        <v>-6</v>
      </c>
      <c r="H11" s="7">
        <v>4.5</v>
      </c>
      <c r="I11" s="7">
        <v>-3</v>
      </c>
      <c r="J11" s="7">
        <v>7</v>
      </c>
      <c r="K11" s="7">
        <v>2.5</v>
      </c>
      <c r="L11" s="7">
        <v>-2.5</v>
      </c>
      <c r="M11" s="7">
        <v>-7.5</v>
      </c>
      <c r="N11" s="7">
        <v>3</v>
      </c>
      <c r="O11" s="7">
        <v>2.5</v>
      </c>
      <c r="P11" s="7">
        <v>-8</v>
      </c>
      <c r="Q11" s="7">
        <v>9.5</v>
      </c>
      <c r="R11" s="7">
        <v>-5</v>
      </c>
      <c r="S11" s="7">
        <v>-6</v>
      </c>
      <c r="T11" s="47"/>
      <c r="U11" s="47"/>
      <c r="V11" s="8">
        <v>-44</v>
      </c>
      <c r="W11" s="23">
        <f t="shared" si="12"/>
        <v>10</v>
      </c>
      <c r="X11" s="12">
        <f t="shared" si="17"/>
        <v>25</v>
      </c>
      <c r="Y11" s="21">
        <f t="shared" si="11"/>
        <v>0.15337423312883436</v>
      </c>
      <c r="Z11" s="33"/>
      <c r="AA11">
        <f t="shared" si="24"/>
        <v>9</v>
      </c>
      <c r="AB11">
        <f t="shared" si="13"/>
        <v>1</v>
      </c>
    </row>
    <row r="12" spans="1:28" x14ac:dyDescent="0.3">
      <c r="A12" s="47"/>
      <c r="B12" s="47"/>
      <c r="C12" s="2" t="s">
        <v>3</v>
      </c>
      <c r="D12" s="7" t="s">
        <v>207</v>
      </c>
      <c r="E12" s="7" t="s">
        <v>52</v>
      </c>
      <c r="F12" s="7" t="s">
        <v>62</v>
      </c>
      <c r="G12" s="7" t="s">
        <v>63</v>
      </c>
      <c r="H12" s="7" t="s">
        <v>54</v>
      </c>
      <c r="I12" s="7" t="s">
        <v>55</v>
      </c>
      <c r="J12" s="7" t="s">
        <v>74</v>
      </c>
      <c r="K12" s="7" t="s">
        <v>69</v>
      </c>
      <c r="L12" s="7" t="s">
        <v>60</v>
      </c>
      <c r="M12" s="7" t="s">
        <v>58</v>
      </c>
      <c r="N12" s="7" t="s">
        <v>75</v>
      </c>
      <c r="O12" s="7" t="s">
        <v>50</v>
      </c>
      <c r="P12" s="7" t="s">
        <v>68</v>
      </c>
      <c r="Q12" s="7" t="s">
        <v>210</v>
      </c>
      <c r="R12" s="7" t="s">
        <v>70</v>
      </c>
      <c r="S12" s="7" t="s">
        <v>72</v>
      </c>
      <c r="T12" s="47"/>
      <c r="U12" s="47"/>
      <c r="V12" s="8"/>
      <c r="W12" s="23">
        <f t="shared" si="12"/>
        <v>11</v>
      </c>
      <c r="X12" s="12">
        <f t="shared" si="17"/>
        <v>9</v>
      </c>
      <c r="Y12" s="21">
        <f t="shared" si="11"/>
        <v>5.5214723926380369E-2</v>
      </c>
      <c r="Z12" s="33"/>
      <c r="AA12">
        <f t="shared" si="24"/>
        <v>10</v>
      </c>
      <c r="AB12">
        <f t="shared" si="13"/>
        <v>0</v>
      </c>
    </row>
    <row r="13" spans="1:28" x14ac:dyDescent="0.3">
      <c r="A13" s="47"/>
      <c r="B13" s="47"/>
      <c r="C13" s="2" t="s">
        <v>0</v>
      </c>
      <c r="D13" s="7">
        <v>20</v>
      </c>
      <c r="E13" s="7">
        <v>24</v>
      </c>
      <c r="F13" s="7">
        <v>14</v>
      </c>
      <c r="G13" s="7">
        <v>20</v>
      </c>
      <c r="H13" s="7">
        <v>30</v>
      </c>
      <c r="I13" s="7">
        <v>28</v>
      </c>
      <c r="J13" s="7">
        <v>22</v>
      </c>
      <c r="K13" s="7">
        <v>31</v>
      </c>
      <c r="L13" s="7">
        <v>37</v>
      </c>
      <c r="M13" s="7">
        <v>8</v>
      </c>
      <c r="N13" s="7">
        <v>31</v>
      </c>
      <c r="O13" s="7">
        <v>15</v>
      </c>
      <c r="P13" s="7">
        <v>14</v>
      </c>
      <c r="Q13" s="7">
        <v>27</v>
      </c>
      <c r="R13" s="7">
        <v>24</v>
      </c>
      <c r="S13" s="7">
        <v>18</v>
      </c>
      <c r="T13" s="47"/>
      <c r="U13" s="47"/>
      <c r="V13" s="8"/>
      <c r="W13" s="23">
        <f t="shared" si="12"/>
        <v>12</v>
      </c>
      <c r="X13" s="12">
        <f t="shared" si="17"/>
        <v>4</v>
      </c>
      <c r="Y13" s="21">
        <f t="shared" si="11"/>
        <v>2.4539877300613498E-2</v>
      </c>
      <c r="Z13" s="33"/>
      <c r="AA13">
        <f t="shared" si="24"/>
        <v>11</v>
      </c>
      <c r="AB13">
        <f t="shared" si="13"/>
        <v>0</v>
      </c>
    </row>
    <row r="14" spans="1:28" x14ac:dyDescent="0.3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47"/>
      <c r="U14" s="47"/>
      <c r="V14" s="8"/>
      <c r="W14" s="23">
        <f t="shared" si="12"/>
        <v>13</v>
      </c>
      <c r="X14" s="12">
        <f t="shared" si="17"/>
        <v>1</v>
      </c>
      <c r="Y14" s="21">
        <f t="shared" ref="Y14" si="25">X14/SUM(X$1:X$14)</f>
        <v>6.1349693251533744E-3</v>
      </c>
      <c r="Z14" s="33"/>
      <c r="AA14">
        <f t="shared" si="24"/>
        <v>12</v>
      </c>
      <c r="AB14">
        <f t="shared" si="13"/>
        <v>0</v>
      </c>
    </row>
    <row r="15" spans="1:28" ht="28.8" x14ac:dyDescent="0.3">
      <c r="A15" s="47"/>
      <c r="B15" s="47"/>
      <c r="C15" s="2" t="s">
        <v>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47"/>
      <c r="U15" s="47"/>
      <c r="V15" s="8"/>
      <c r="W15" s="23">
        <f t="shared" si="12"/>
        <v>14</v>
      </c>
      <c r="X15" s="12">
        <f t="shared" si="17"/>
        <v>0</v>
      </c>
      <c r="Y15" s="21">
        <f t="shared" ref="Y15:Y16" si="26">X15/SUM(X$1:X$14)</f>
        <v>0</v>
      </c>
      <c r="AA15">
        <f t="shared" si="24"/>
        <v>13</v>
      </c>
      <c r="AB15">
        <f t="shared" si="13"/>
        <v>0</v>
      </c>
    </row>
    <row r="16" spans="1:28" ht="29.4" thickBot="1" x14ac:dyDescent="0.35">
      <c r="A16" s="42">
        <v>1</v>
      </c>
      <c r="B16" s="4"/>
      <c r="C16" s="6" t="s">
        <v>148</v>
      </c>
      <c r="D16" s="5"/>
      <c r="E16" s="5" t="s">
        <v>61</v>
      </c>
      <c r="F16" s="5" t="s">
        <v>71</v>
      </c>
      <c r="G16" s="5" t="s">
        <v>63</v>
      </c>
      <c r="H16" s="5" t="s">
        <v>54</v>
      </c>
      <c r="I16" s="5" t="s">
        <v>55</v>
      </c>
      <c r="J16" s="5" t="s">
        <v>56</v>
      </c>
      <c r="K16" s="5" t="s">
        <v>69</v>
      </c>
      <c r="L16" s="5" t="s">
        <v>73</v>
      </c>
      <c r="M16" s="5" t="s">
        <v>65</v>
      </c>
      <c r="N16" s="5" t="s">
        <v>75</v>
      </c>
      <c r="O16" s="5" t="s">
        <v>53</v>
      </c>
      <c r="P16" s="5" t="s">
        <v>64</v>
      </c>
      <c r="Q16" s="5" t="s">
        <v>66</v>
      </c>
      <c r="R16" s="5" t="s">
        <v>48</v>
      </c>
      <c r="S16" s="5" t="s">
        <v>67</v>
      </c>
      <c r="T16" s="1">
        <v>13</v>
      </c>
      <c r="U16" s="1">
        <v>61</v>
      </c>
      <c r="V16" s="1">
        <v>37</v>
      </c>
      <c r="W16" s="17">
        <f t="shared" si="12"/>
        <v>15</v>
      </c>
      <c r="X16" s="14">
        <f t="shared" si="17"/>
        <v>0</v>
      </c>
      <c r="Y16" s="22">
        <f t="shared" si="26"/>
        <v>0</v>
      </c>
      <c r="AA16">
        <f t="shared" si="24"/>
        <v>14</v>
      </c>
      <c r="AB16">
        <f t="shared" si="13"/>
        <v>0</v>
      </c>
    </row>
    <row r="17" spans="1:28" ht="28.8" x14ac:dyDescent="0.3">
      <c r="A17" s="42">
        <v>2</v>
      </c>
      <c r="B17" s="4"/>
      <c r="C17" s="6" t="s">
        <v>135</v>
      </c>
      <c r="D17" s="5"/>
      <c r="E17" s="5" t="s">
        <v>52</v>
      </c>
      <c r="F17" s="5" t="s">
        <v>71</v>
      </c>
      <c r="G17" s="5" t="s">
        <v>63</v>
      </c>
      <c r="H17" s="5" t="s">
        <v>51</v>
      </c>
      <c r="I17" s="5" t="s">
        <v>55</v>
      </c>
      <c r="J17" s="5" t="s">
        <v>56</v>
      </c>
      <c r="K17" s="5" t="s">
        <v>69</v>
      </c>
      <c r="L17" s="5" t="s">
        <v>60</v>
      </c>
      <c r="M17" s="5" t="s">
        <v>58</v>
      </c>
      <c r="N17" s="5" t="s">
        <v>75</v>
      </c>
      <c r="O17" s="5" t="s">
        <v>53</v>
      </c>
      <c r="P17" s="5" t="s">
        <v>64</v>
      </c>
      <c r="Q17" s="5" t="s">
        <v>66</v>
      </c>
      <c r="R17" s="5" t="s">
        <v>70</v>
      </c>
      <c r="S17" s="5" t="s">
        <v>67</v>
      </c>
      <c r="T17" s="1">
        <v>12</v>
      </c>
      <c r="U17" s="1">
        <v>60</v>
      </c>
      <c r="V17" s="1">
        <v>43</v>
      </c>
      <c r="AA17">
        <f t="shared" si="24"/>
        <v>15</v>
      </c>
      <c r="AB17">
        <f t="shared" si="13"/>
        <v>0</v>
      </c>
    </row>
    <row r="18" spans="1:28" x14ac:dyDescent="0.3">
      <c r="A18" s="42">
        <v>3</v>
      </c>
      <c r="B18" s="4"/>
      <c r="C18" s="6" t="s">
        <v>105</v>
      </c>
      <c r="D18" s="5"/>
      <c r="E18" s="5" t="s">
        <v>61</v>
      </c>
      <c r="F18" s="5" t="s">
        <v>71</v>
      </c>
      <c r="G18" s="5" t="s">
        <v>63</v>
      </c>
      <c r="H18" s="5" t="s">
        <v>54</v>
      </c>
      <c r="I18" s="5" t="s">
        <v>55</v>
      </c>
      <c r="J18" s="5" t="s">
        <v>56</v>
      </c>
      <c r="K18" s="5" t="s">
        <v>69</v>
      </c>
      <c r="L18" s="5" t="s">
        <v>60</v>
      </c>
      <c r="M18" s="5" t="s">
        <v>65</v>
      </c>
      <c r="N18" s="5" t="s">
        <v>47</v>
      </c>
      <c r="O18" s="5" t="s">
        <v>53</v>
      </c>
      <c r="P18" s="5" t="s">
        <v>64</v>
      </c>
      <c r="Q18" s="5" t="s">
        <v>210</v>
      </c>
      <c r="R18" s="5" t="s">
        <v>48</v>
      </c>
      <c r="S18" s="5" t="s">
        <v>67</v>
      </c>
      <c r="T18" s="1">
        <v>12</v>
      </c>
      <c r="U18" s="1">
        <v>64</v>
      </c>
      <c r="V18" s="1">
        <v>42</v>
      </c>
      <c r="AA18">
        <f t="shared" si="24"/>
        <v>16</v>
      </c>
      <c r="AB18">
        <f t="shared" si="13"/>
        <v>0</v>
      </c>
    </row>
    <row r="19" spans="1:28" ht="28.8" x14ac:dyDescent="0.3">
      <c r="A19" s="42">
        <v>4</v>
      </c>
      <c r="B19" s="4"/>
      <c r="C19" s="6" t="s">
        <v>175</v>
      </c>
      <c r="D19" s="5"/>
      <c r="E19" s="5" t="s">
        <v>61</v>
      </c>
      <c r="F19" s="5" t="s">
        <v>71</v>
      </c>
      <c r="G19" s="5" t="s">
        <v>63</v>
      </c>
      <c r="H19" s="5" t="s">
        <v>54</v>
      </c>
      <c r="I19" s="5" t="s">
        <v>55</v>
      </c>
      <c r="J19" s="5" t="s">
        <v>56</v>
      </c>
      <c r="K19" s="5" t="s">
        <v>69</v>
      </c>
      <c r="L19" s="5" t="s">
        <v>60</v>
      </c>
      <c r="M19" s="5" t="s">
        <v>65</v>
      </c>
      <c r="N19" s="5" t="s">
        <v>75</v>
      </c>
      <c r="O19" s="5" t="s">
        <v>53</v>
      </c>
      <c r="P19" s="5" t="s">
        <v>64</v>
      </c>
      <c r="Q19" s="5" t="s">
        <v>210</v>
      </c>
      <c r="R19" s="5" t="s">
        <v>70</v>
      </c>
      <c r="S19" s="5" t="s">
        <v>67</v>
      </c>
      <c r="T19" s="1">
        <v>12</v>
      </c>
      <c r="U19" s="1">
        <v>50</v>
      </c>
      <c r="V19" s="1">
        <v>34</v>
      </c>
      <c r="AA19">
        <f t="shared" si="24"/>
        <v>17</v>
      </c>
      <c r="AB19">
        <f t="shared" si="13"/>
        <v>0</v>
      </c>
    </row>
    <row r="20" spans="1:28" ht="28.8" x14ac:dyDescent="0.3">
      <c r="A20" s="42">
        <v>5</v>
      </c>
      <c r="B20" s="4"/>
      <c r="C20" s="6" t="s">
        <v>117</v>
      </c>
      <c r="D20" s="5"/>
      <c r="E20" s="5" t="s">
        <v>61</v>
      </c>
      <c r="F20" s="5" t="s">
        <v>71</v>
      </c>
      <c r="G20" s="5" t="s">
        <v>63</v>
      </c>
      <c r="H20" s="5" t="s">
        <v>54</v>
      </c>
      <c r="I20" s="5" t="s">
        <v>208</v>
      </c>
      <c r="J20" s="5" t="s">
        <v>56</v>
      </c>
      <c r="K20" s="5" t="s">
        <v>69</v>
      </c>
      <c r="L20" s="5" t="s">
        <v>73</v>
      </c>
      <c r="M20" s="5" t="s">
        <v>65</v>
      </c>
      <c r="N20" s="5" t="s">
        <v>75</v>
      </c>
      <c r="O20" s="5" t="s">
        <v>53</v>
      </c>
      <c r="P20" s="5" t="s">
        <v>64</v>
      </c>
      <c r="Q20" s="5" t="s">
        <v>66</v>
      </c>
      <c r="R20" s="5" t="s">
        <v>48</v>
      </c>
      <c r="S20" s="5" t="s">
        <v>67</v>
      </c>
      <c r="T20" s="1">
        <v>12</v>
      </c>
      <c r="U20" s="1">
        <v>67</v>
      </c>
      <c r="V20" s="1">
        <v>32</v>
      </c>
      <c r="AA20">
        <f t="shared" si="24"/>
        <v>18</v>
      </c>
      <c r="AB20">
        <f t="shared" si="13"/>
        <v>0</v>
      </c>
    </row>
    <row r="21" spans="1:28" ht="28.8" x14ac:dyDescent="0.3">
      <c r="A21" s="42">
        <v>6</v>
      </c>
      <c r="B21" s="4"/>
      <c r="C21" s="6" t="s">
        <v>102</v>
      </c>
      <c r="D21" s="5"/>
      <c r="E21" s="5" t="s">
        <v>61</v>
      </c>
      <c r="F21" s="5" t="s">
        <v>71</v>
      </c>
      <c r="G21" s="5" t="s">
        <v>63</v>
      </c>
      <c r="H21" s="5" t="s">
        <v>54</v>
      </c>
      <c r="I21" s="5" t="s">
        <v>55</v>
      </c>
      <c r="J21" s="5" t="s">
        <v>74</v>
      </c>
      <c r="K21" s="5" t="s">
        <v>69</v>
      </c>
      <c r="L21" s="5" t="s">
        <v>73</v>
      </c>
      <c r="M21" s="5" t="s">
        <v>65</v>
      </c>
      <c r="N21" s="5" t="s">
        <v>75</v>
      </c>
      <c r="O21" s="5" t="s">
        <v>53</v>
      </c>
      <c r="P21" s="5" t="s">
        <v>64</v>
      </c>
      <c r="Q21" s="5" t="s">
        <v>210</v>
      </c>
      <c r="R21" s="5" t="s">
        <v>48</v>
      </c>
      <c r="S21" s="5" t="s">
        <v>67</v>
      </c>
      <c r="T21" s="1">
        <v>11</v>
      </c>
      <c r="U21" s="1">
        <v>55</v>
      </c>
      <c r="V21" s="1">
        <v>47</v>
      </c>
      <c r="AA21">
        <f t="shared" si="24"/>
        <v>19</v>
      </c>
      <c r="AB21">
        <f t="shared" si="13"/>
        <v>0</v>
      </c>
    </row>
    <row r="22" spans="1:28" ht="28.8" x14ac:dyDescent="0.3">
      <c r="A22" s="42">
        <v>7</v>
      </c>
      <c r="B22" s="4"/>
      <c r="C22" s="6" t="s">
        <v>192</v>
      </c>
      <c r="D22" s="5"/>
      <c r="E22" s="5" t="s">
        <v>61</v>
      </c>
      <c r="F22" s="5" t="s">
        <v>71</v>
      </c>
      <c r="G22" s="5" t="s">
        <v>57</v>
      </c>
      <c r="H22" s="5" t="s">
        <v>51</v>
      </c>
      <c r="I22" s="5" t="s">
        <v>55</v>
      </c>
      <c r="J22" s="5" t="s">
        <v>74</v>
      </c>
      <c r="K22" s="5" t="s">
        <v>69</v>
      </c>
      <c r="L22" s="5" t="s">
        <v>60</v>
      </c>
      <c r="M22" s="5" t="s">
        <v>58</v>
      </c>
      <c r="N22" s="5" t="s">
        <v>47</v>
      </c>
      <c r="O22" s="5" t="s">
        <v>53</v>
      </c>
      <c r="P22" s="5" t="s">
        <v>64</v>
      </c>
      <c r="Q22" s="5" t="s">
        <v>66</v>
      </c>
      <c r="R22" s="5" t="s">
        <v>48</v>
      </c>
      <c r="S22" s="5" t="s">
        <v>67</v>
      </c>
      <c r="T22" s="1">
        <v>11</v>
      </c>
      <c r="U22" s="1">
        <v>62</v>
      </c>
      <c r="V22" s="1">
        <v>39</v>
      </c>
      <c r="AA22">
        <f t="shared" si="24"/>
        <v>20</v>
      </c>
      <c r="AB22">
        <f t="shared" si="13"/>
        <v>0</v>
      </c>
    </row>
    <row r="23" spans="1:28" x14ac:dyDescent="0.3">
      <c r="A23" s="42">
        <v>8</v>
      </c>
      <c r="B23" s="4"/>
      <c r="C23" s="6" t="s">
        <v>38</v>
      </c>
      <c r="D23" s="5"/>
      <c r="E23" s="5" t="s">
        <v>61</v>
      </c>
      <c r="F23" s="5" t="s">
        <v>71</v>
      </c>
      <c r="G23" s="5" t="s">
        <v>63</v>
      </c>
      <c r="H23" s="5" t="s">
        <v>51</v>
      </c>
      <c r="I23" s="5" t="s">
        <v>208</v>
      </c>
      <c r="J23" s="5" t="s">
        <v>56</v>
      </c>
      <c r="K23" s="5" t="s">
        <v>69</v>
      </c>
      <c r="L23" s="5" t="s">
        <v>73</v>
      </c>
      <c r="M23" s="5" t="s">
        <v>65</v>
      </c>
      <c r="N23" s="5" t="s">
        <v>75</v>
      </c>
      <c r="O23" s="5" t="s">
        <v>50</v>
      </c>
      <c r="P23" s="5" t="s">
        <v>64</v>
      </c>
      <c r="Q23" s="5" t="s">
        <v>210</v>
      </c>
      <c r="R23" s="5" t="s">
        <v>48</v>
      </c>
      <c r="S23" s="5" t="s">
        <v>67</v>
      </c>
      <c r="T23" s="1">
        <v>11</v>
      </c>
      <c r="U23" s="1">
        <v>66</v>
      </c>
      <c r="V23" s="1">
        <v>49</v>
      </c>
      <c r="AA23">
        <f t="shared" si="24"/>
        <v>21</v>
      </c>
      <c r="AB23">
        <f t="shared" si="13"/>
        <v>0</v>
      </c>
    </row>
    <row r="24" spans="1:28" ht="28.8" x14ac:dyDescent="0.3">
      <c r="A24" s="42">
        <v>9</v>
      </c>
      <c r="B24" s="4"/>
      <c r="C24" s="6" t="s">
        <v>25</v>
      </c>
      <c r="D24" s="5"/>
      <c r="E24" s="5" t="s">
        <v>52</v>
      </c>
      <c r="F24" s="5" t="s">
        <v>71</v>
      </c>
      <c r="G24" s="5" t="s">
        <v>63</v>
      </c>
      <c r="H24" s="5" t="s">
        <v>54</v>
      </c>
      <c r="I24" s="5" t="s">
        <v>55</v>
      </c>
      <c r="J24" s="5" t="s">
        <v>56</v>
      </c>
      <c r="K24" s="5" t="s">
        <v>69</v>
      </c>
      <c r="L24" s="5" t="s">
        <v>60</v>
      </c>
      <c r="M24" s="5" t="s">
        <v>58</v>
      </c>
      <c r="N24" s="5" t="s">
        <v>75</v>
      </c>
      <c r="O24" s="5" t="s">
        <v>53</v>
      </c>
      <c r="P24" s="5" t="s">
        <v>64</v>
      </c>
      <c r="Q24" s="5" t="s">
        <v>210</v>
      </c>
      <c r="R24" s="5" t="s">
        <v>48</v>
      </c>
      <c r="S24" s="5" t="s">
        <v>67</v>
      </c>
      <c r="T24" s="1">
        <v>11</v>
      </c>
      <c r="U24" s="1">
        <v>65</v>
      </c>
      <c r="V24" s="1">
        <v>39</v>
      </c>
      <c r="AA24">
        <f t="shared" si="24"/>
        <v>22</v>
      </c>
      <c r="AB24">
        <f t="shared" si="13"/>
        <v>0</v>
      </c>
    </row>
    <row r="25" spans="1:28" ht="28.8" x14ac:dyDescent="0.3">
      <c r="A25" s="42">
        <v>10</v>
      </c>
      <c r="B25" s="4"/>
      <c r="C25" s="6" t="s">
        <v>154</v>
      </c>
      <c r="D25" s="5"/>
      <c r="E25" s="5" t="s">
        <v>61</v>
      </c>
      <c r="F25" s="5" t="s">
        <v>71</v>
      </c>
      <c r="G25" s="5" t="s">
        <v>63</v>
      </c>
      <c r="H25" s="5" t="s">
        <v>51</v>
      </c>
      <c r="I25" s="5" t="s">
        <v>208</v>
      </c>
      <c r="J25" s="5" t="s">
        <v>74</v>
      </c>
      <c r="K25" s="5" t="s">
        <v>69</v>
      </c>
      <c r="L25" s="5" t="s">
        <v>60</v>
      </c>
      <c r="M25" s="5" t="s">
        <v>65</v>
      </c>
      <c r="N25" s="5" t="s">
        <v>47</v>
      </c>
      <c r="O25" s="5" t="s">
        <v>53</v>
      </c>
      <c r="P25" s="5" t="s">
        <v>64</v>
      </c>
      <c r="Q25" s="5" t="s">
        <v>210</v>
      </c>
      <c r="R25" s="5" t="s">
        <v>48</v>
      </c>
      <c r="S25" s="5" t="s">
        <v>67</v>
      </c>
      <c r="T25" s="1">
        <v>11</v>
      </c>
      <c r="U25" s="1">
        <v>64</v>
      </c>
      <c r="V25" s="1">
        <v>37</v>
      </c>
      <c r="AA25">
        <f t="shared" si="24"/>
        <v>23</v>
      </c>
      <c r="AB25">
        <f t="shared" si="13"/>
        <v>0</v>
      </c>
    </row>
    <row r="26" spans="1:28" ht="28.8" x14ac:dyDescent="0.3">
      <c r="A26" s="42">
        <v>11</v>
      </c>
      <c r="B26" s="4"/>
      <c r="C26" s="6" t="s">
        <v>8</v>
      </c>
      <c r="D26" s="5"/>
      <c r="E26" s="5" t="s">
        <v>52</v>
      </c>
      <c r="F26" s="5" t="s">
        <v>62</v>
      </c>
      <c r="G26" s="5" t="s">
        <v>63</v>
      </c>
      <c r="H26" s="5" t="s">
        <v>54</v>
      </c>
      <c r="I26" s="5" t="s">
        <v>208</v>
      </c>
      <c r="J26" s="5" t="s">
        <v>56</v>
      </c>
      <c r="K26" s="5" t="s">
        <v>69</v>
      </c>
      <c r="L26" s="5" t="s">
        <v>60</v>
      </c>
      <c r="M26" s="5" t="s">
        <v>65</v>
      </c>
      <c r="N26" s="5" t="s">
        <v>75</v>
      </c>
      <c r="O26" s="5" t="s">
        <v>53</v>
      </c>
      <c r="P26" s="5" t="s">
        <v>64</v>
      </c>
      <c r="Q26" s="5" t="s">
        <v>66</v>
      </c>
      <c r="R26" s="5" t="s">
        <v>48</v>
      </c>
      <c r="S26" s="5" t="s">
        <v>67</v>
      </c>
      <c r="T26" s="1">
        <v>11</v>
      </c>
      <c r="U26" s="1">
        <v>63</v>
      </c>
      <c r="V26" s="1">
        <v>34</v>
      </c>
      <c r="AA26">
        <f t="shared" si="24"/>
        <v>24</v>
      </c>
      <c r="AB26">
        <f t="shared" si="13"/>
        <v>0</v>
      </c>
    </row>
    <row r="27" spans="1:28" x14ac:dyDescent="0.3">
      <c r="A27" s="42">
        <v>12</v>
      </c>
      <c r="B27" s="4"/>
      <c r="C27" s="6" t="s">
        <v>141</v>
      </c>
      <c r="D27" s="5"/>
      <c r="E27" s="5" t="s">
        <v>61</v>
      </c>
      <c r="F27" s="5" t="s">
        <v>71</v>
      </c>
      <c r="G27" s="5" t="s">
        <v>63</v>
      </c>
      <c r="H27" s="5" t="s">
        <v>51</v>
      </c>
      <c r="I27" s="5" t="s">
        <v>208</v>
      </c>
      <c r="J27" s="5" t="s">
        <v>56</v>
      </c>
      <c r="K27" s="5" t="s">
        <v>69</v>
      </c>
      <c r="L27" s="5" t="s">
        <v>60</v>
      </c>
      <c r="M27" s="5" t="s">
        <v>58</v>
      </c>
      <c r="N27" s="5" t="s">
        <v>75</v>
      </c>
      <c r="O27" s="5" t="s">
        <v>53</v>
      </c>
      <c r="P27" s="5" t="s">
        <v>64</v>
      </c>
      <c r="Q27" s="5" t="s">
        <v>210</v>
      </c>
      <c r="R27" s="5" t="s">
        <v>70</v>
      </c>
      <c r="S27" s="5" t="s">
        <v>67</v>
      </c>
      <c r="T27" s="1">
        <v>11</v>
      </c>
      <c r="U27" s="1">
        <v>56</v>
      </c>
      <c r="V27" s="1">
        <v>33</v>
      </c>
      <c r="AA27">
        <f t="shared" si="24"/>
        <v>25</v>
      </c>
      <c r="AB27">
        <f t="shared" si="13"/>
        <v>0</v>
      </c>
    </row>
    <row r="28" spans="1:28" ht="28.8" x14ac:dyDescent="0.3">
      <c r="A28" s="42">
        <v>13</v>
      </c>
      <c r="B28" s="4"/>
      <c r="C28" s="6" t="s">
        <v>112</v>
      </c>
      <c r="D28" s="5"/>
      <c r="E28" s="5" t="s">
        <v>61</v>
      </c>
      <c r="F28" s="5" t="s">
        <v>71</v>
      </c>
      <c r="G28" s="5" t="s">
        <v>57</v>
      </c>
      <c r="H28" s="5" t="s">
        <v>51</v>
      </c>
      <c r="I28" s="5" t="s">
        <v>208</v>
      </c>
      <c r="J28" s="5" t="s">
        <v>56</v>
      </c>
      <c r="K28" s="5" t="s">
        <v>69</v>
      </c>
      <c r="L28" s="5" t="s">
        <v>60</v>
      </c>
      <c r="M28" s="5" t="s">
        <v>58</v>
      </c>
      <c r="N28" s="5" t="s">
        <v>75</v>
      </c>
      <c r="O28" s="5" t="s">
        <v>53</v>
      </c>
      <c r="P28" s="5" t="s">
        <v>64</v>
      </c>
      <c r="Q28" s="5" t="s">
        <v>210</v>
      </c>
      <c r="R28" s="5" t="s">
        <v>48</v>
      </c>
      <c r="S28" s="5" t="s">
        <v>67</v>
      </c>
      <c r="T28" s="1">
        <v>11</v>
      </c>
      <c r="U28" s="1">
        <v>67</v>
      </c>
      <c r="V28" s="1">
        <v>33</v>
      </c>
      <c r="AA28">
        <f t="shared" si="24"/>
        <v>26</v>
      </c>
      <c r="AB28">
        <f t="shared" si="13"/>
        <v>0</v>
      </c>
    </row>
    <row r="29" spans="1:28" ht="28.8" x14ac:dyDescent="0.3">
      <c r="A29" s="42">
        <v>14</v>
      </c>
      <c r="B29" s="4"/>
      <c r="C29" s="6" t="s">
        <v>103</v>
      </c>
      <c r="D29" s="5"/>
      <c r="E29" s="5" t="s">
        <v>52</v>
      </c>
      <c r="F29" s="5" t="s">
        <v>71</v>
      </c>
      <c r="G29" s="5" t="s">
        <v>57</v>
      </c>
      <c r="H29" s="5" t="s">
        <v>51</v>
      </c>
      <c r="I29" s="5" t="s">
        <v>55</v>
      </c>
      <c r="J29" s="5" t="s">
        <v>56</v>
      </c>
      <c r="K29" s="5" t="s">
        <v>59</v>
      </c>
      <c r="L29" s="5" t="s">
        <v>60</v>
      </c>
      <c r="M29" s="5" t="s">
        <v>65</v>
      </c>
      <c r="N29" s="5" t="s">
        <v>75</v>
      </c>
      <c r="O29" s="5" t="s">
        <v>53</v>
      </c>
      <c r="P29" s="5" t="s">
        <v>64</v>
      </c>
      <c r="Q29" s="5" t="s">
        <v>210</v>
      </c>
      <c r="R29" s="5" t="s">
        <v>48</v>
      </c>
      <c r="S29" s="5" t="s">
        <v>67</v>
      </c>
      <c r="T29" s="1">
        <v>11</v>
      </c>
      <c r="U29" s="1">
        <v>59</v>
      </c>
      <c r="V29" s="1">
        <v>31</v>
      </c>
      <c r="AA29">
        <f t="shared" si="24"/>
        <v>27</v>
      </c>
      <c r="AB29">
        <f t="shared" si="13"/>
        <v>1</v>
      </c>
    </row>
    <row r="30" spans="1:28" x14ac:dyDescent="0.3">
      <c r="A30" s="42">
        <v>15</v>
      </c>
      <c r="B30" s="4"/>
      <c r="C30" s="6" t="s">
        <v>131</v>
      </c>
      <c r="D30" s="5"/>
      <c r="E30" s="5" t="s">
        <v>52</v>
      </c>
      <c r="F30" s="5" t="s">
        <v>71</v>
      </c>
      <c r="G30" s="5" t="s">
        <v>63</v>
      </c>
      <c r="H30" s="5" t="s">
        <v>51</v>
      </c>
      <c r="I30" s="5" t="s">
        <v>55</v>
      </c>
      <c r="J30" s="5" t="s">
        <v>56</v>
      </c>
      <c r="K30" s="5" t="s">
        <v>59</v>
      </c>
      <c r="L30" s="5" t="s">
        <v>73</v>
      </c>
      <c r="M30" s="5" t="s">
        <v>58</v>
      </c>
      <c r="N30" s="5" t="s">
        <v>47</v>
      </c>
      <c r="O30" s="5" t="s">
        <v>53</v>
      </c>
      <c r="P30" s="5" t="s">
        <v>64</v>
      </c>
      <c r="Q30" s="5" t="s">
        <v>66</v>
      </c>
      <c r="R30" s="5" t="s">
        <v>48</v>
      </c>
      <c r="S30" s="5" t="s">
        <v>67</v>
      </c>
      <c r="T30" s="1">
        <v>10</v>
      </c>
      <c r="U30" s="1">
        <v>51</v>
      </c>
      <c r="V30" s="1">
        <v>45</v>
      </c>
      <c r="AA30">
        <f t="shared" si="24"/>
        <v>28</v>
      </c>
      <c r="AB30">
        <f t="shared" si="13"/>
        <v>1</v>
      </c>
    </row>
    <row r="31" spans="1:28" ht="28.8" x14ac:dyDescent="0.3">
      <c r="A31" s="42">
        <v>16</v>
      </c>
      <c r="B31" s="4"/>
      <c r="C31" s="6" t="s">
        <v>9</v>
      </c>
      <c r="D31" s="5"/>
      <c r="E31" s="5" t="s">
        <v>52</v>
      </c>
      <c r="F31" s="5" t="s">
        <v>71</v>
      </c>
      <c r="G31" s="5" t="s">
        <v>57</v>
      </c>
      <c r="H31" s="5" t="s">
        <v>54</v>
      </c>
      <c r="I31" s="5" t="s">
        <v>55</v>
      </c>
      <c r="J31" s="5" t="s">
        <v>74</v>
      </c>
      <c r="K31" s="5" t="s">
        <v>59</v>
      </c>
      <c r="L31" s="5" t="s">
        <v>60</v>
      </c>
      <c r="M31" s="5" t="s">
        <v>65</v>
      </c>
      <c r="N31" s="5" t="s">
        <v>75</v>
      </c>
      <c r="O31" s="5" t="s">
        <v>53</v>
      </c>
      <c r="P31" s="5" t="s">
        <v>64</v>
      </c>
      <c r="Q31" s="5" t="s">
        <v>66</v>
      </c>
      <c r="R31" s="5" t="s">
        <v>48</v>
      </c>
      <c r="S31" s="5" t="s">
        <v>67</v>
      </c>
      <c r="T31" s="1">
        <v>10</v>
      </c>
      <c r="U31" s="1">
        <v>65</v>
      </c>
      <c r="V31" s="1">
        <v>42</v>
      </c>
      <c r="AA31">
        <f t="shared" si="24"/>
        <v>29</v>
      </c>
      <c r="AB31">
        <f t="shared" si="13"/>
        <v>0</v>
      </c>
    </row>
    <row r="32" spans="1:28" ht="28.8" x14ac:dyDescent="0.3">
      <c r="A32" s="42">
        <v>17</v>
      </c>
      <c r="B32" s="4"/>
      <c r="C32" s="6" t="s">
        <v>116</v>
      </c>
      <c r="D32" s="5"/>
      <c r="E32" s="5" t="s">
        <v>52</v>
      </c>
      <c r="F32" s="5" t="s">
        <v>71</v>
      </c>
      <c r="G32" s="5" t="s">
        <v>63</v>
      </c>
      <c r="H32" s="5" t="s">
        <v>54</v>
      </c>
      <c r="I32" s="5" t="s">
        <v>208</v>
      </c>
      <c r="J32" s="5" t="s">
        <v>74</v>
      </c>
      <c r="K32" s="5" t="s">
        <v>69</v>
      </c>
      <c r="L32" s="5" t="s">
        <v>60</v>
      </c>
      <c r="M32" s="5" t="s">
        <v>65</v>
      </c>
      <c r="N32" s="5" t="s">
        <v>75</v>
      </c>
      <c r="O32" s="5" t="s">
        <v>50</v>
      </c>
      <c r="P32" s="5" t="s">
        <v>64</v>
      </c>
      <c r="Q32" s="5" t="s">
        <v>66</v>
      </c>
      <c r="R32" s="5" t="s">
        <v>48</v>
      </c>
      <c r="S32" s="5" t="s">
        <v>67</v>
      </c>
      <c r="T32" s="1">
        <v>10</v>
      </c>
      <c r="U32" s="1">
        <v>56</v>
      </c>
      <c r="V32" s="1">
        <v>42</v>
      </c>
      <c r="AA32">
        <f t="shared" si="24"/>
        <v>30</v>
      </c>
      <c r="AB32">
        <f t="shared" si="13"/>
        <v>3</v>
      </c>
    </row>
    <row r="33" spans="1:28" ht="28.8" x14ac:dyDescent="0.3">
      <c r="A33" s="42">
        <v>18</v>
      </c>
      <c r="B33" s="4"/>
      <c r="C33" s="6" t="s">
        <v>108</v>
      </c>
      <c r="D33" s="5"/>
      <c r="E33" s="5" t="s">
        <v>61</v>
      </c>
      <c r="F33" s="5" t="s">
        <v>71</v>
      </c>
      <c r="G33" s="5" t="s">
        <v>57</v>
      </c>
      <c r="H33" s="5" t="s">
        <v>51</v>
      </c>
      <c r="I33" s="5" t="s">
        <v>55</v>
      </c>
      <c r="J33" s="5" t="s">
        <v>56</v>
      </c>
      <c r="K33" s="5" t="s">
        <v>59</v>
      </c>
      <c r="L33" s="5" t="s">
        <v>60</v>
      </c>
      <c r="M33" s="5" t="s">
        <v>58</v>
      </c>
      <c r="N33" s="5" t="s">
        <v>75</v>
      </c>
      <c r="O33" s="5" t="s">
        <v>53</v>
      </c>
      <c r="P33" s="5" t="s">
        <v>64</v>
      </c>
      <c r="Q33" s="5" t="s">
        <v>66</v>
      </c>
      <c r="R33" s="5" t="s">
        <v>70</v>
      </c>
      <c r="S33" s="5" t="s">
        <v>72</v>
      </c>
      <c r="T33" s="1">
        <v>10</v>
      </c>
      <c r="U33" s="1">
        <v>63</v>
      </c>
      <c r="V33" s="1">
        <v>41</v>
      </c>
      <c r="AA33">
        <f t="shared" si="24"/>
        <v>31</v>
      </c>
      <c r="AB33">
        <f t="shared" si="13"/>
        <v>4</v>
      </c>
    </row>
    <row r="34" spans="1:28" ht="28.8" x14ac:dyDescent="0.3">
      <c r="A34" s="42">
        <v>19</v>
      </c>
      <c r="B34" s="4"/>
      <c r="C34" s="6" t="s">
        <v>163</v>
      </c>
      <c r="D34" s="5"/>
      <c r="E34" s="5" t="s">
        <v>61</v>
      </c>
      <c r="F34" s="5" t="s">
        <v>71</v>
      </c>
      <c r="G34" s="5" t="s">
        <v>63</v>
      </c>
      <c r="H34" s="5" t="s">
        <v>54</v>
      </c>
      <c r="I34" s="5" t="s">
        <v>55</v>
      </c>
      <c r="J34" s="5" t="s">
        <v>74</v>
      </c>
      <c r="K34" s="5" t="s">
        <v>69</v>
      </c>
      <c r="L34" s="5" t="s">
        <v>60</v>
      </c>
      <c r="M34" s="5" t="s">
        <v>58</v>
      </c>
      <c r="N34" s="5" t="s">
        <v>75</v>
      </c>
      <c r="O34" s="5" t="s">
        <v>50</v>
      </c>
      <c r="P34" s="5" t="s">
        <v>64</v>
      </c>
      <c r="Q34" s="5" t="s">
        <v>66</v>
      </c>
      <c r="R34" s="5" t="s">
        <v>70</v>
      </c>
      <c r="S34" s="5" t="s">
        <v>67</v>
      </c>
      <c r="T34" s="1">
        <v>10</v>
      </c>
      <c r="U34" s="1">
        <v>62</v>
      </c>
      <c r="V34" s="1">
        <v>41</v>
      </c>
      <c r="AA34">
        <f t="shared" si="24"/>
        <v>32</v>
      </c>
      <c r="AB34">
        <f t="shared" si="13"/>
        <v>1</v>
      </c>
    </row>
    <row r="35" spans="1:28" ht="28.8" x14ac:dyDescent="0.3">
      <c r="A35" s="42">
        <v>20</v>
      </c>
      <c r="B35" s="4"/>
      <c r="C35" s="6" t="s">
        <v>179</v>
      </c>
      <c r="D35" s="5"/>
      <c r="E35" s="5" t="s">
        <v>52</v>
      </c>
      <c r="F35" s="5" t="s">
        <v>71</v>
      </c>
      <c r="G35" s="5" t="s">
        <v>63</v>
      </c>
      <c r="H35" s="5" t="s">
        <v>54</v>
      </c>
      <c r="I35" s="5" t="s">
        <v>55</v>
      </c>
      <c r="J35" s="5" t="s">
        <v>56</v>
      </c>
      <c r="K35" s="5" t="s">
        <v>69</v>
      </c>
      <c r="L35" s="5" t="s">
        <v>60</v>
      </c>
      <c r="M35" s="5" t="s">
        <v>58</v>
      </c>
      <c r="N35" s="5" t="s">
        <v>75</v>
      </c>
      <c r="O35" s="5" t="s">
        <v>50</v>
      </c>
      <c r="P35" s="5" t="s">
        <v>64</v>
      </c>
      <c r="Q35" s="5" t="s">
        <v>66</v>
      </c>
      <c r="R35" s="5" t="s">
        <v>70</v>
      </c>
      <c r="S35" s="5" t="s">
        <v>67</v>
      </c>
      <c r="T35" s="1">
        <v>10</v>
      </c>
      <c r="U35" s="1">
        <v>59</v>
      </c>
      <c r="V35" s="1">
        <v>48</v>
      </c>
      <c r="AA35">
        <f t="shared" si="24"/>
        <v>33</v>
      </c>
      <c r="AB35">
        <f t="shared" si="13"/>
        <v>4</v>
      </c>
    </row>
    <row r="36" spans="1:28" x14ac:dyDescent="0.3">
      <c r="A36" s="42">
        <v>21</v>
      </c>
      <c r="B36" s="4"/>
      <c r="C36" s="6" t="s">
        <v>85</v>
      </c>
      <c r="D36" s="5"/>
      <c r="E36" s="5" t="s">
        <v>61</v>
      </c>
      <c r="F36" s="5" t="s">
        <v>71</v>
      </c>
      <c r="G36" s="5" t="s">
        <v>63</v>
      </c>
      <c r="H36" s="5" t="s">
        <v>54</v>
      </c>
      <c r="I36" s="5" t="s">
        <v>208</v>
      </c>
      <c r="J36" s="5" t="s">
        <v>56</v>
      </c>
      <c r="K36" s="5" t="s">
        <v>59</v>
      </c>
      <c r="L36" s="5" t="s">
        <v>60</v>
      </c>
      <c r="M36" s="5" t="s">
        <v>65</v>
      </c>
      <c r="N36" s="5" t="s">
        <v>75</v>
      </c>
      <c r="O36" s="5" t="s">
        <v>50</v>
      </c>
      <c r="P36" s="5" t="s">
        <v>64</v>
      </c>
      <c r="Q36" s="5" t="s">
        <v>66</v>
      </c>
      <c r="R36" s="5" t="s">
        <v>48</v>
      </c>
      <c r="S36" s="5" t="s">
        <v>72</v>
      </c>
      <c r="T36" s="1">
        <v>10</v>
      </c>
      <c r="U36" s="1">
        <v>63</v>
      </c>
      <c r="V36" s="1">
        <v>48</v>
      </c>
      <c r="AA36">
        <f t="shared" si="24"/>
        <v>34</v>
      </c>
      <c r="AB36">
        <f t="shared" si="13"/>
        <v>5</v>
      </c>
    </row>
    <row r="37" spans="1:28" ht="28.8" x14ac:dyDescent="0.3">
      <c r="A37" s="42">
        <v>22</v>
      </c>
      <c r="B37" s="4"/>
      <c r="C37" s="6" t="s">
        <v>104</v>
      </c>
      <c r="D37" s="5"/>
      <c r="E37" s="5" t="s">
        <v>61</v>
      </c>
      <c r="F37" s="5" t="s">
        <v>71</v>
      </c>
      <c r="G37" s="5" t="s">
        <v>57</v>
      </c>
      <c r="H37" s="5" t="s">
        <v>54</v>
      </c>
      <c r="I37" s="5" t="s">
        <v>55</v>
      </c>
      <c r="J37" s="5" t="s">
        <v>74</v>
      </c>
      <c r="K37" s="5" t="s">
        <v>69</v>
      </c>
      <c r="L37" s="5" t="s">
        <v>73</v>
      </c>
      <c r="M37" s="5" t="s">
        <v>65</v>
      </c>
      <c r="N37" s="5" t="s">
        <v>75</v>
      </c>
      <c r="O37" s="5" t="s">
        <v>53</v>
      </c>
      <c r="P37" s="5" t="s">
        <v>64</v>
      </c>
      <c r="Q37" s="5" t="s">
        <v>210</v>
      </c>
      <c r="R37" s="5" t="s">
        <v>48</v>
      </c>
      <c r="S37" s="5" t="s">
        <v>67</v>
      </c>
      <c r="T37" s="1">
        <v>10</v>
      </c>
      <c r="U37" s="1">
        <v>62</v>
      </c>
      <c r="V37" s="1">
        <v>40</v>
      </c>
      <c r="AA37">
        <f t="shared" si="24"/>
        <v>35</v>
      </c>
      <c r="AB37">
        <f t="shared" si="13"/>
        <v>5</v>
      </c>
    </row>
    <row r="38" spans="1:28" x14ac:dyDescent="0.3">
      <c r="A38" s="42">
        <v>23</v>
      </c>
      <c r="B38" s="4"/>
      <c r="C38" s="6" t="s">
        <v>144</v>
      </c>
      <c r="D38" s="5"/>
      <c r="E38" s="5" t="s">
        <v>61</v>
      </c>
      <c r="F38" s="5" t="s">
        <v>71</v>
      </c>
      <c r="G38" s="5" t="s">
        <v>57</v>
      </c>
      <c r="H38" s="5" t="s">
        <v>51</v>
      </c>
      <c r="I38" s="5" t="s">
        <v>55</v>
      </c>
      <c r="J38" s="5" t="s">
        <v>56</v>
      </c>
      <c r="K38" s="5" t="s">
        <v>69</v>
      </c>
      <c r="L38" s="5" t="s">
        <v>73</v>
      </c>
      <c r="M38" s="5" t="s">
        <v>58</v>
      </c>
      <c r="N38" s="5" t="s">
        <v>47</v>
      </c>
      <c r="O38" s="5" t="s">
        <v>53</v>
      </c>
      <c r="P38" s="5" t="s">
        <v>64</v>
      </c>
      <c r="Q38" s="5" t="s">
        <v>66</v>
      </c>
      <c r="R38" s="5" t="s">
        <v>70</v>
      </c>
      <c r="S38" s="5" t="s">
        <v>67</v>
      </c>
      <c r="T38" s="1">
        <v>10</v>
      </c>
      <c r="U38" s="1">
        <v>64</v>
      </c>
      <c r="V38" s="1">
        <v>38</v>
      </c>
      <c r="AA38">
        <f t="shared" si="24"/>
        <v>36</v>
      </c>
      <c r="AB38">
        <f t="shared" si="13"/>
        <v>6</v>
      </c>
    </row>
    <row r="39" spans="1:28" x14ac:dyDescent="0.3">
      <c r="A39" s="42">
        <v>24</v>
      </c>
      <c r="B39" s="4"/>
      <c r="C39" s="6" t="s">
        <v>7</v>
      </c>
      <c r="D39" s="5"/>
      <c r="E39" s="5" t="s">
        <v>52</v>
      </c>
      <c r="F39" s="5" t="s">
        <v>71</v>
      </c>
      <c r="G39" s="5" t="s">
        <v>63</v>
      </c>
      <c r="H39" s="5" t="s">
        <v>54</v>
      </c>
      <c r="I39" s="5" t="s">
        <v>55</v>
      </c>
      <c r="J39" s="5" t="s">
        <v>56</v>
      </c>
      <c r="K39" s="5" t="s">
        <v>59</v>
      </c>
      <c r="L39" s="5" t="s">
        <v>73</v>
      </c>
      <c r="M39" s="5" t="s">
        <v>65</v>
      </c>
      <c r="N39" s="5" t="s">
        <v>75</v>
      </c>
      <c r="O39" s="5" t="s">
        <v>53</v>
      </c>
      <c r="P39" s="5" t="s">
        <v>64</v>
      </c>
      <c r="Q39" s="5" t="s">
        <v>210</v>
      </c>
      <c r="R39" s="5" t="s">
        <v>48</v>
      </c>
      <c r="S39" s="5" t="s">
        <v>67</v>
      </c>
      <c r="T39" s="1">
        <v>10</v>
      </c>
      <c r="U39" s="1">
        <v>50</v>
      </c>
      <c r="V39" s="1">
        <v>38</v>
      </c>
      <c r="AA39">
        <f t="shared" si="24"/>
        <v>37</v>
      </c>
      <c r="AB39">
        <f t="shared" si="13"/>
        <v>13</v>
      </c>
    </row>
    <row r="40" spans="1:28" ht="28.8" x14ac:dyDescent="0.3">
      <c r="A40" s="42">
        <v>25</v>
      </c>
      <c r="B40" s="4"/>
      <c r="C40" s="6" t="s">
        <v>113</v>
      </c>
      <c r="D40" s="5"/>
      <c r="E40" s="5" t="s">
        <v>52</v>
      </c>
      <c r="F40" s="5" t="s">
        <v>71</v>
      </c>
      <c r="G40" s="5" t="s">
        <v>57</v>
      </c>
      <c r="H40" s="5" t="s">
        <v>54</v>
      </c>
      <c r="I40" s="5" t="s">
        <v>55</v>
      </c>
      <c r="J40" s="5" t="s">
        <v>74</v>
      </c>
      <c r="K40" s="5" t="s">
        <v>69</v>
      </c>
      <c r="L40" s="5" t="s">
        <v>60</v>
      </c>
      <c r="M40" s="5" t="s">
        <v>65</v>
      </c>
      <c r="N40" s="5" t="s">
        <v>75</v>
      </c>
      <c r="O40" s="5" t="s">
        <v>53</v>
      </c>
      <c r="P40" s="5" t="s">
        <v>64</v>
      </c>
      <c r="Q40" s="5" t="s">
        <v>210</v>
      </c>
      <c r="R40" s="5" t="s">
        <v>48</v>
      </c>
      <c r="S40" s="5" t="s">
        <v>67</v>
      </c>
      <c r="T40" s="1">
        <v>10</v>
      </c>
      <c r="U40" s="1">
        <v>66</v>
      </c>
      <c r="V40" s="1">
        <v>50</v>
      </c>
      <c r="AA40">
        <f t="shared" si="24"/>
        <v>38</v>
      </c>
      <c r="AB40">
        <f t="shared" si="13"/>
        <v>12</v>
      </c>
    </row>
    <row r="41" spans="1:28" ht="28.8" x14ac:dyDescent="0.3">
      <c r="A41" s="42">
        <v>26</v>
      </c>
      <c r="B41" s="4"/>
      <c r="C41" s="6" t="s">
        <v>134</v>
      </c>
      <c r="D41" s="5"/>
      <c r="E41" s="5" t="s">
        <v>52</v>
      </c>
      <c r="F41" s="5" t="s">
        <v>71</v>
      </c>
      <c r="G41" s="5" t="s">
        <v>63</v>
      </c>
      <c r="H41" s="5" t="s">
        <v>51</v>
      </c>
      <c r="I41" s="5" t="s">
        <v>55</v>
      </c>
      <c r="J41" s="5" t="s">
        <v>56</v>
      </c>
      <c r="K41" s="5" t="s">
        <v>69</v>
      </c>
      <c r="L41" s="5" t="s">
        <v>60</v>
      </c>
      <c r="M41" s="5" t="s">
        <v>58</v>
      </c>
      <c r="N41" s="5" t="s">
        <v>47</v>
      </c>
      <c r="O41" s="5" t="s">
        <v>53</v>
      </c>
      <c r="P41" s="5" t="s">
        <v>64</v>
      </c>
      <c r="Q41" s="5" t="s">
        <v>210</v>
      </c>
      <c r="R41" s="5" t="s">
        <v>48</v>
      </c>
      <c r="S41" s="5" t="s">
        <v>72</v>
      </c>
      <c r="T41" s="1">
        <v>10</v>
      </c>
      <c r="U41" s="1">
        <v>58</v>
      </c>
      <c r="V41" s="1">
        <v>37</v>
      </c>
      <c r="AA41">
        <f t="shared" si="24"/>
        <v>39</v>
      </c>
      <c r="AB41">
        <f t="shared" si="13"/>
        <v>8</v>
      </c>
    </row>
    <row r="42" spans="1:28" x14ac:dyDescent="0.3">
      <c r="A42" s="42">
        <v>27</v>
      </c>
      <c r="B42" s="4"/>
      <c r="C42" s="6" t="s">
        <v>149</v>
      </c>
      <c r="D42" s="5"/>
      <c r="E42" s="5" t="s">
        <v>61</v>
      </c>
      <c r="F42" s="5" t="s">
        <v>71</v>
      </c>
      <c r="G42" s="5" t="s">
        <v>63</v>
      </c>
      <c r="H42" s="5" t="s">
        <v>51</v>
      </c>
      <c r="I42" s="5" t="s">
        <v>208</v>
      </c>
      <c r="J42" s="5" t="s">
        <v>74</v>
      </c>
      <c r="K42" s="5" t="s">
        <v>69</v>
      </c>
      <c r="L42" s="5" t="s">
        <v>60</v>
      </c>
      <c r="M42" s="5" t="s">
        <v>58</v>
      </c>
      <c r="N42" s="5" t="s">
        <v>75</v>
      </c>
      <c r="O42" s="5" t="s">
        <v>53</v>
      </c>
      <c r="P42" s="5" t="s">
        <v>68</v>
      </c>
      <c r="Q42" s="5" t="s">
        <v>210</v>
      </c>
      <c r="R42" s="5" t="s">
        <v>48</v>
      </c>
      <c r="S42" s="5" t="s">
        <v>67</v>
      </c>
      <c r="T42" s="1">
        <v>10</v>
      </c>
      <c r="U42" s="1">
        <v>56</v>
      </c>
      <c r="V42" s="1">
        <v>37</v>
      </c>
      <c r="AA42">
        <f t="shared" si="24"/>
        <v>40</v>
      </c>
      <c r="AB42">
        <f t="shared" si="13"/>
        <v>11</v>
      </c>
    </row>
    <row r="43" spans="1:28" ht="28.8" x14ac:dyDescent="0.3">
      <c r="A43" s="42">
        <v>28</v>
      </c>
      <c r="B43" s="4"/>
      <c r="C43" s="6" t="s">
        <v>99</v>
      </c>
      <c r="D43" s="5"/>
      <c r="E43" s="5" t="s">
        <v>52</v>
      </c>
      <c r="F43" s="5" t="s">
        <v>71</v>
      </c>
      <c r="G43" s="5" t="s">
        <v>63</v>
      </c>
      <c r="H43" s="5" t="s">
        <v>54</v>
      </c>
      <c r="I43" s="5" t="s">
        <v>208</v>
      </c>
      <c r="J43" s="5" t="s">
        <v>56</v>
      </c>
      <c r="K43" s="5" t="s">
        <v>59</v>
      </c>
      <c r="L43" s="5" t="s">
        <v>60</v>
      </c>
      <c r="M43" s="5" t="s">
        <v>65</v>
      </c>
      <c r="N43" s="5" t="s">
        <v>75</v>
      </c>
      <c r="O43" s="5" t="s">
        <v>53</v>
      </c>
      <c r="P43" s="5" t="s">
        <v>64</v>
      </c>
      <c r="Q43" s="5" t="s">
        <v>210</v>
      </c>
      <c r="R43" s="5" t="s">
        <v>48</v>
      </c>
      <c r="S43" s="5" t="s">
        <v>67</v>
      </c>
      <c r="T43" s="1">
        <v>10</v>
      </c>
      <c r="U43" s="1">
        <v>62</v>
      </c>
      <c r="V43" s="1">
        <v>52</v>
      </c>
      <c r="AA43">
        <f t="shared" si="24"/>
        <v>41</v>
      </c>
      <c r="AB43">
        <f t="shared" si="13"/>
        <v>10</v>
      </c>
    </row>
    <row r="44" spans="1:28" ht="28.8" x14ac:dyDescent="0.3">
      <c r="A44" s="42">
        <v>29</v>
      </c>
      <c r="B44" s="4"/>
      <c r="C44" s="6" t="s">
        <v>198</v>
      </c>
      <c r="D44" s="5"/>
      <c r="E44" s="5" t="s">
        <v>52</v>
      </c>
      <c r="F44" s="5" t="s">
        <v>71</v>
      </c>
      <c r="G44" s="5" t="s">
        <v>63</v>
      </c>
      <c r="H44" s="5" t="s">
        <v>51</v>
      </c>
      <c r="I44" s="5" t="s">
        <v>208</v>
      </c>
      <c r="J44" s="5" t="s">
        <v>74</v>
      </c>
      <c r="K44" s="5" t="s">
        <v>59</v>
      </c>
      <c r="L44" s="5" t="s">
        <v>60</v>
      </c>
      <c r="M44" s="5" t="s">
        <v>65</v>
      </c>
      <c r="N44" s="5" t="s">
        <v>75</v>
      </c>
      <c r="O44" s="5" t="s">
        <v>53</v>
      </c>
      <c r="P44" s="5" t="s">
        <v>64</v>
      </c>
      <c r="Q44" s="5" t="s">
        <v>210</v>
      </c>
      <c r="R44" s="5" t="s">
        <v>48</v>
      </c>
      <c r="S44" s="5" t="s">
        <v>67</v>
      </c>
      <c r="T44" s="1">
        <v>10</v>
      </c>
      <c r="U44" s="1">
        <v>60</v>
      </c>
      <c r="V44" s="1">
        <v>36</v>
      </c>
      <c r="AA44">
        <f t="shared" si="24"/>
        <v>42</v>
      </c>
      <c r="AB44">
        <f t="shared" si="13"/>
        <v>22</v>
      </c>
    </row>
    <row r="45" spans="1:28" x14ac:dyDescent="0.3">
      <c r="A45" s="42">
        <v>30</v>
      </c>
      <c r="B45" s="4"/>
      <c r="C45" s="6" t="s">
        <v>169</v>
      </c>
      <c r="D45" s="5"/>
      <c r="E45" s="5" t="s">
        <v>61</v>
      </c>
      <c r="F45" s="5" t="s">
        <v>71</v>
      </c>
      <c r="G45" s="5" t="s">
        <v>63</v>
      </c>
      <c r="H45" s="5" t="s">
        <v>51</v>
      </c>
      <c r="I45" s="5" t="s">
        <v>208</v>
      </c>
      <c r="J45" s="5" t="s">
        <v>74</v>
      </c>
      <c r="K45" s="5" t="s">
        <v>59</v>
      </c>
      <c r="L45" s="5" t="s">
        <v>60</v>
      </c>
      <c r="M45" s="5" t="s">
        <v>58</v>
      </c>
      <c r="N45" s="5" t="s">
        <v>75</v>
      </c>
      <c r="O45" s="5" t="s">
        <v>50</v>
      </c>
      <c r="P45" s="5" t="s">
        <v>64</v>
      </c>
      <c r="Q45" s="5" t="s">
        <v>66</v>
      </c>
      <c r="R45" s="5" t="s">
        <v>48</v>
      </c>
      <c r="S45" s="5" t="s">
        <v>67</v>
      </c>
      <c r="T45" s="1">
        <v>10</v>
      </c>
      <c r="U45" s="1">
        <v>58</v>
      </c>
      <c r="V45" s="1">
        <v>36</v>
      </c>
      <c r="AA45">
        <f t="shared" si="24"/>
        <v>43</v>
      </c>
      <c r="AB45">
        <f t="shared" si="13"/>
        <v>6</v>
      </c>
    </row>
    <row r="46" spans="1:28" x14ac:dyDescent="0.3">
      <c r="A46" s="42">
        <v>31</v>
      </c>
      <c r="B46" s="4"/>
      <c r="C46" s="6" t="s">
        <v>21</v>
      </c>
      <c r="D46" s="5"/>
      <c r="E46" s="5" t="s">
        <v>61</v>
      </c>
      <c r="F46" s="5" t="s">
        <v>71</v>
      </c>
      <c r="G46" s="5" t="s">
        <v>57</v>
      </c>
      <c r="H46" s="5" t="s">
        <v>51</v>
      </c>
      <c r="I46" s="5" t="s">
        <v>208</v>
      </c>
      <c r="J46" s="5" t="s">
        <v>56</v>
      </c>
      <c r="K46" s="5" t="s">
        <v>59</v>
      </c>
      <c r="L46" s="5" t="s">
        <v>73</v>
      </c>
      <c r="M46" s="5" t="s">
        <v>65</v>
      </c>
      <c r="N46" s="5" t="s">
        <v>47</v>
      </c>
      <c r="O46" s="5" t="s">
        <v>53</v>
      </c>
      <c r="P46" s="5" t="s">
        <v>64</v>
      </c>
      <c r="Q46" s="5" t="s">
        <v>66</v>
      </c>
      <c r="R46" s="5" t="s">
        <v>48</v>
      </c>
      <c r="S46" s="5" t="s">
        <v>67</v>
      </c>
      <c r="T46" s="1">
        <v>10</v>
      </c>
      <c r="U46" s="1">
        <v>56</v>
      </c>
      <c r="V46" s="1">
        <v>35</v>
      </c>
      <c r="AA46">
        <f t="shared" si="24"/>
        <v>44</v>
      </c>
      <c r="AB46">
        <f t="shared" si="13"/>
        <v>9</v>
      </c>
    </row>
    <row r="47" spans="1:28" ht="28.8" x14ac:dyDescent="0.3">
      <c r="A47" s="42">
        <v>32</v>
      </c>
      <c r="B47" s="4"/>
      <c r="C47" s="6" t="s">
        <v>164</v>
      </c>
      <c r="D47" s="5"/>
      <c r="E47" s="5" t="s">
        <v>61</v>
      </c>
      <c r="F47" s="5" t="s">
        <v>71</v>
      </c>
      <c r="G47" s="5" t="s">
        <v>57</v>
      </c>
      <c r="H47" s="5" t="s">
        <v>51</v>
      </c>
      <c r="I47" s="5" t="s">
        <v>208</v>
      </c>
      <c r="J47" s="5" t="s">
        <v>56</v>
      </c>
      <c r="K47" s="5" t="s">
        <v>59</v>
      </c>
      <c r="L47" s="5" t="s">
        <v>60</v>
      </c>
      <c r="M47" s="5" t="s">
        <v>65</v>
      </c>
      <c r="N47" s="5" t="s">
        <v>75</v>
      </c>
      <c r="O47" s="5" t="s">
        <v>53</v>
      </c>
      <c r="P47" s="5" t="s">
        <v>64</v>
      </c>
      <c r="Q47" s="5" t="s">
        <v>210</v>
      </c>
      <c r="R47" s="5" t="s">
        <v>70</v>
      </c>
      <c r="S47" s="5" t="s">
        <v>67</v>
      </c>
      <c r="T47" s="1">
        <v>10</v>
      </c>
      <c r="U47" s="1">
        <v>59</v>
      </c>
      <c r="V47" s="1">
        <v>34</v>
      </c>
      <c r="AA47">
        <f t="shared" si="24"/>
        <v>45</v>
      </c>
      <c r="AB47">
        <f t="shared" si="13"/>
        <v>12</v>
      </c>
    </row>
    <row r="48" spans="1:28" x14ac:dyDescent="0.3">
      <c r="A48" s="42">
        <v>33</v>
      </c>
      <c r="B48" s="4"/>
      <c r="C48" s="6" t="s">
        <v>121</v>
      </c>
      <c r="D48" s="5"/>
      <c r="E48" s="5" t="s">
        <v>52</v>
      </c>
      <c r="F48" s="5" t="s">
        <v>71</v>
      </c>
      <c r="G48" s="5" t="s">
        <v>57</v>
      </c>
      <c r="H48" s="5" t="s">
        <v>51</v>
      </c>
      <c r="I48" s="5" t="s">
        <v>208</v>
      </c>
      <c r="J48" s="5" t="s">
        <v>74</v>
      </c>
      <c r="K48" s="5" t="s">
        <v>69</v>
      </c>
      <c r="L48" s="5" t="s">
        <v>60</v>
      </c>
      <c r="M48" s="5" t="s">
        <v>65</v>
      </c>
      <c r="N48" s="5" t="s">
        <v>75</v>
      </c>
      <c r="O48" s="5" t="s">
        <v>53</v>
      </c>
      <c r="P48" s="5" t="s">
        <v>64</v>
      </c>
      <c r="Q48" s="5" t="s">
        <v>210</v>
      </c>
      <c r="R48" s="5" t="s">
        <v>48</v>
      </c>
      <c r="S48" s="5" t="s">
        <v>67</v>
      </c>
      <c r="T48" s="1">
        <v>10</v>
      </c>
      <c r="U48" s="1">
        <v>69</v>
      </c>
      <c r="V48" s="1">
        <v>34</v>
      </c>
      <c r="AA48">
        <f t="shared" si="24"/>
        <v>46</v>
      </c>
      <c r="AB48">
        <f t="shared" si="13"/>
        <v>3</v>
      </c>
    </row>
    <row r="49" spans="1:28" ht="28.8" x14ac:dyDescent="0.3">
      <c r="A49" s="42">
        <v>34</v>
      </c>
      <c r="B49" s="4"/>
      <c r="C49" s="6" t="s">
        <v>123</v>
      </c>
      <c r="D49" s="5"/>
      <c r="E49" s="5" t="s">
        <v>52</v>
      </c>
      <c r="F49" s="5" t="s">
        <v>71</v>
      </c>
      <c r="G49" s="5" t="s">
        <v>57</v>
      </c>
      <c r="H49" s="5" t="s">
        <v>54</v>
      </c>
      <c r="I49" s="5" t="s">
        <v>55</v>
      </c>
      <c r="J49" s="5" t="s">
        <v>74</v>
      </c>
      <c r="K49" s="5" t="s">
        <v>69</v>
      </c>
      <c r="L49" s="5" t="s">
        <v>60</v>
      </c>
      <c r="M49" s="5" t="s">
        <v>65</v>
      </c>
      <c r="N49" s="5" t="s">
        <v>75</v>
      </c>
      <c r="O49" s="5" t="s">
        <v>53</v>
      </c>
      <c r="P49" s="5" t="s">
        <v>64</v>
      </c>
      <c r="Q49" s="5" t="s">
        <v>210</v>
      </c>
      <c r="R49" s="5" t="s">
        <v>48</v>
      </c>
      <c r="S49" s="5" t="s">
        <v>67</v>
      </c>
      <c r="T49" s="1">
        <v>10</v>
      </c>
      <c r="U49" s="1">
        <v>64</v>
      </c>
      <c r="V49" s="1">
        <v>55</v>
      </c>
      <c r="AA49">
        <f t="shared" si="24"/>
        <v>47</v>
      </c>
      <c r="AB49">
        <f t="shared" si="13"/>
        <v>4</v>
      </c>
    </row>
    <row r="50" spans="1:28" x14ac:dyDescent="0.3">
      <c r="A50" s="42">
        <v>35</v>
      </c>
      <c r="B50" s="4"/>
      <c r="C50" s="6" t="s">
        <v>201</v>
      </c>
      <c r="D50" s="5"/>
      <c r="E50" s="5" t="s">
        <v>61</v>
      </c>
      <c r="F50" s="5" t="s">
        <v>71</v>
      </c>
      <c r="G50" s="5" t="s">
        <v>63</v>
      </c>
      <c r="H50" s="5" t="s">
        <v>54</v>
      </c>
      <c r="I50" s="5" t="s">
        <v>55</v>
      </c>
      <c r="J50" s="5" t="s">
        <v>56</v>
      </c>
      <c r="K50" s="5" t="s">
        <v>69</v>
      </c>
      <c r="L50" s="5" t="s">
        <v>73</v>
      </c>
      <c r="M50" s="5" t="s">
        <v>65</v>
      </c>
      <c r="N50" s="5" t="s">
        <v>47</v>
      </c>
      <c r="O50" s="5" t="s">
        <v>53</v>
      </c>
      <c r="P50" s="5" t="s">
        <v>68</v>
      </c>
      <c r="Q50" s="5" t="s">
        <v>210</v>
      </c>
      <c r="R50" s="5" t="s">
        <v>48</v>
      </c>
      <c r="S50" s="5" t="s">
        <v>67</v>
      </c>
      <c r="T50" s="1">
        <v>10</v>
      </c>
      <c r="U50" s="1">
        <v>45</v>
      </c>
      <c r="V50" s="1">
        <v>30</v>
      </c>
      <c r="AA50">
        <f t="shared" si="24"/>
        <v>48</v>
      </c>
      <c r="AB50">
        <f t="shared" si="13"/>
        <v>7</v>
      </c>
    </row>
    <row r="51" spans="1:28" ht="28.8" x14ac:dyDescent="0.3">
      <c r="A51" s="42">
        <v>36</v>
      </c>
      <c r="B51" s="4"/>
      <c r="C51" s="6" t="s">
        <v>124</v>
      </c>
      <c r="D51" s="5"/>
      <c r="E51" s="5" t="s">
        <v>61</v>
      </c>
      <c r="F51" s="5" t="s">
        <v>71</v>
      </c>
      <c r="G51" s="5" t="s">
        <v>63</v>
      </c>
      <c r="H51" s="5" t="s">
        <v>51</v>
      </c>
      <c r="I51" s="5" t="s">
        <v>208</v>
      </c>
      <c r="J51" s="5" t="s">
        <v>56</v>
      </c>
      <c r="K51" s="5" t="s">
        <v>59</v>
      </c>
      <c r="L51" s="5" t="s">
        <v>60</v>
      </c>
      <c r="M51" s="5" t="s">
        <v>58</v>
      </c>
      <c r="N51" s="5" t="s">
        <v>47</v>
      </c>
      <c r="O51" s="5" t="s">
        <v>53</v>
      </c>
      <c r="P51" s="5" t="s">
        <v>64</v>
      </c>
      <c r="Q51" s="5" t="s">
        <v>66</v>
      </c>
      <c r="R51" s="5" t="s">
        <v>48</v>
      </c>
      <c r="S51" s="5" t="s">
        <v>72</v>
      </c>
      <c r="T51" s="1">
        <v>10</v>
      </c>
      <c r="U51" s="1">
        <v>42</v>
      </c>
      <c r="V51" s="1">
        <v>59</v>
      </c>
      <c r="AA51">
        <f t="shared" si="24"/>
        <v>49</v>
      </c>
      <c r="AB51">
        <f t="shared" si="13"/>
        <v>1</v>
      </c>
    </row>
    <row r="52" spans="1:28" ht="28.8" x14ac:dyDescent="0.3">
      <c r="A52" s="42">
        <v>37</v>
      </c>
      <c r="B52" s="4"/>
      <c r="C52" s="6" t="s">
        <v>122</v>
      </c>
      <c r="D52" s="5"/>
      <c r="E52" s="5" t="s">
        <v>61</v>
      </c>
      <c r="F52" s="5" t="s">
        <v>71</v>
      </c>
      <c r="G52" s="5" t="s">
        <v>57</v>
      </c>
      <c r="H52" s="5" t="s">
        <v>51</v>
      </c>
      <c r="I52" s="5" t="s">
        <v>208</v>
      </c>
      <c r="J52" s="5" t="s">
        <v>56</v>
      </c>
      <c r="K52" s="5" t="s">
        <v>59</v>
      </c>
      <c r="L52" s="5" t="s">
        <v>73</v>
      </c>
      <c r="M52" s="5" t="s">
        <v>65</v>
      </c>
      <c r="N52" s="5" t="s">
        <v>47</v>
      </c>
      <c r="O52" s="5" t="s">
        <v>53</v>
      </c>
      <c r="P52" s="5" t="s">
        <v>64</v>
      </c>
      <c r="Q52" s="5" t="s">
        <v>66</v>
      </c>
      <c r="R52" s="5" t="s">
        <v>48</v>
      </c>
      <c r="S52" s="5" t="s">
        <v>67</v>
      </c>
      <c r="T52" s="1">
        <v>10</v>
      </c>
      <c r="U52" s="1">
        <v>53</v>
      </c>
      <c r="V52" s="1">
        <v>27</v>
      </c>
      <c r="AA52">
        <f t="shared" si="24"/>
        <v>50</v>
      </c>
      <c r="AB52">
        <f t="shared" si="13"/>
        <v>3</v>
      </c>
    </row>
    <row r="53" spans="1:28" ht="28.8" x14ac:dyDescent="0.3">
      <c r="A53" s="42">
        <v>38</v>
      </c>
      <c r="B53" s="4"/>
      <c r="C53" s="6" t="s">
        <v>90</v>
      </c>
      <c r="D53" s="5"/>
      <c r="E53" s="5" t="s">
        <v>61</v>
      </c>
      <c r="F53" s="5" t="s">
        <v>71</v>
      </c>
      <c r="G53" s="5" t="s">
        <v>57</v>
      </c>
      <c r="H53" s="5" t="s">
        <v>51</v>
      </c>
      <c r="I53" s="5" t="s">
        <v>208</v>
      </c>
      <c r="J53" s="5" t="s">
        <v>56</v>
      </c>
      <c r="K53" s="5" t="s">
        <v>59</v>
      </c>
      <c r="L53" s="5" t="s">
        <v>73</v>
      </c>
      <c r="M53" s="5" t="s">
        <v>65</v>
      </c>
      <c r="N53" s="5" t="s">
        <v>47</v>
      </c>
      <c r="O53" s="5" t="s">
        <v>53</v>
      </c>
      <c r="P53" s="5" t="s">
        <v>64</v>
      </c>
      <c r="Q53" s="5" t="s">
        <v>66</v>
      </c>
      <c r="R53" s="5" t="s">
        <v>48</v>
      </c>
      <c r="S53" s="5" t="s">
        <v>67</v>
      </c>
      <c r="T53" s="1">
        <v>10</v>
      </c>
      <c r="U53" s="1">
        <v>66</v>
      </c>
      <c r="V53" s="1">
        <v>9</v>
      </c>
      <c r="AA53">
        <f t="shared" si="24"/>
        <v>51</v>
      </c>
      <c r="AB53">
        <f t="shared" si="13"/>
        <v>0</v>
      </c>
    </row>
    <row r="54" spans="1:28" x14ac:dyDescent="0.3">
      <c r="A54" s="42">
        <v>39</v>
      </c>
      <c r="B54" s="4"/>
      <c r="C54" s="6" t="s">
        <v>101</v>
      </c>
      <c r="D54" s="5"/>
      <c r="E54" s="5" t="s">
        <v>61</v>
      </c>
      <c r="F54" s="5" t="s">
        <v>71</v>
      </c>
      <c r="G54" s="5" t="s">
        <v>57</v>
      </c>
      <c r="H54" s="5" t="s">
        <v>51</v>
      </c>
      <c r="I54" s="5" t="s">
        <v>208</v>
      </c>
      <c r="J54" s="5" t="s">
        <v>56</v>
      </c>
      <c r="K54" s="5" t="s">
        <v>59</v>
      </c>
      <c r="L54" s="5" t="s">
        <v>73</v>
      </c>
      <c r="M54" s="5" t="s">
        <v>65</v>
      </c>
      <c r="N54" s="5" t="s">
        <v>47</v>
      </c>
      <c r="O54" s="5" t="s">
        <v>53</v>
      </c>
      <c r="P54" s="5" t="s">
        <v>64</v>
      </c>
      <c r="Q54" s="5" t="s">
        <v>66</v>
      </c>
      <c r="R54" s="5" t="s">
        <v>48</v>
      </c>
      <c r="S54" s="5" t="s">
        <v>67</v>
      </c>
      <c r="T54" s="1">
        <v>10</v>
      </c>
      <c r="U54" s="1">
        <v>61</v>
      </c>
      <c r="V54" s="1">
        <v>6</v>
      </c>
      <c r="AA54">
        <f t="shared" si="24"/>
        <v>52</v>
      </c>
      <c r="AB54">
        <f t="shared" si="13"/>
        <v>3</v>
      </c>
    </row>
    <row r="55" spans="1:28" x14ac:dyDescent="0.3">
      <c r="A55" s="42">
        <v>40</v>
      </c>
      <c r="B55" s="4"/>
      <c r="C55" s="6" t="s">
        <v>199</v>
      </c>
      <c r="D55" s="5"/>
      <c r="E55" s="5" t="s">
        <v>52</v>
      </c>
      <c r="F55" s="5" t="s">
        <v>71</v>
      </c>
      <c r="G55" s="5" t="s">
        <v>63</v>
      </c>
      <c r="H55" s="5" t="s">
        <v>54</v>
      </c>
      <c r="I55" s="5" t="s">
        <v>208</v>
      </c>
      <c r="J55" s="5" t="s">
        <v>74</v>
      </c>
      <c r="K55" s="5" t="s">
        <v>69</v>
      </c>
      <c r="L55" s="5" t="s">
        <v>60</v>
      </c>
      <c r="M55" s="5" t="s">
        <v>65</v>
      </c>
      <c r="N55" s="5" t="s">
        <v>75</v>
      </c>
      <c r="O55" s="5" t="s">
        <v>50</v>
      </c>
      <c r="P55" s="5" t="s">
        <v>64</v>
      </c>
      <c r="Q55" s="5" t="s">
        <v>210</v>
      </c>
      <c r="R55" s="5" t="s">
        <v>48</v>
      </c>
      <c r="S55" s="5" t="s">
        <v>67</v>
      </c>
      <c r="T55" s="1">
        <v>9</v>
      </c>
      <c r="U55" s="1">
        <v>54</v>
      </c>
      <c r="V55" s="1">
        <v>44</v>
      </c>
      <c r="AA55">
        <f t="shared" si="24"/>
        <v>53</v>
      </c>
      <c r="AB55">
        <f t="shared" si="13"/>
        <v>1</v>
      </c>
    </row>
    <row r="56" spans="1:28" ht="43.2" x14ac:dyDescent="0.3">
      <c r="A56" s="42">
        <v>41</v>
      </c>
      <c r="B56" s="4"/>
      <c r="C56" s="6" t="s">
        <v>132</v>
      </c>
      <c r="D56" s="5"/>
      <c r="E56" s="5" t="s">
        <v>61</v>
      </c>
      <c r="F56" s="5" t="s">
        <v>71</v>
      </c>
      <c r="G56" s="5" t="s">
        <v>57</v>
      </c>
      <c r="H56" s="5" t="s">
        <v>54</v>
      </c>
      <c r="I56" s="5" t="s">
        <v>208</v>
      </c>
      <c r="J56" s="5" t="s">
        <v>56</v>
      </c>
      <c r="K56" s="5" t="s">
        <v>69</v>
      </c>
      <c r="L56" s="5" t="s">
        <v>60</v>
      </c>
      <c r="M56" s="5" t="s">
        <v>65</v>
      </c>
      <c r="N56" s="5" t="s">
        <v>47</v>
      </c>
      <c r="O56" s="5" t="s">
        <v>50</v>
      </c>
      <c r="P56" s="5" t="s">
        <v>64</v>
      </c>
      <c r="Q56" s="5" t="s">
        <v>210</v>
      </c>
      <c r="R56" s="5" t="s">
        <v>48</v>
      </c>
      <c r="S56" s="5" t="s">
        <v>67</v>
      </c>
      <c r="T56" s="1">
        <v>9</v>
      </c>
      <c r="U56" s="1">
        <v>59</v>
      </c>
      <c r="V56" s="1">
        <v>44</v>
      </c>
      <c r="AA56">
        <f t="shared" si="24"/>
        <v>54</v>
      </c>
      <c r="AB56">
        <f t="shared" si="13"/>
        <v>1</v>
      </c>
    </row>
    <row r="57" spans="1:28" ht="28.8" x14ac:dyDescent="0.3">
      <c r="A57" s="42">
        <v>42</v>
      </c>
      <c r="B57" s="4"/>
      <c r="C57" s="6" t="s">
        <v>140</v>
      </c>
      <c r="D57" s="5"/>
      <c r="E57" s="5" t="s">
        <v>61</v>
      </c>
      <c r="F57" s="5" t="s">
        <v>62</v>
      </c>
      <c r="G57" s="5" t="s">
        <v>63</v>
      </c>
      <c r="H57" s="5" t="s">
        <v>51</v>
      </c>
      <c r="I57" s="5" t="s">
        <v>55</v>
      </c>
      <c r="J57" s="5" t="s">
        <v>56</v>
      </c>
      <c r="K57" s="5" t="s">
        <v>59</v>
      </c>
      <c r="L57" s="5" t="s">
        <v>73</v>
      </c>
      <c r="M57" s="5" t="s">
        <v>65</v>
      </c>
      <c r="N57" s="5" t="s">
        <v>47</v>
      </c>
      <c r="O57" s="5" t="s">
        <v>50</v>
      </c>
      <c r="P57" s="5" t="s">
        <v>64</v>
      </c>
      <c r="Q57" s="5" t="s">
        <v>66</v>
      </c>
      <c r="R57" s="5" t="s">
        <v>70</v>
      </c>
      <c r="S57" s="5" t="s">
        <v>67</v>
      </c>
      <c r="T57" s="1">
        <v>9</v>
      </c>
      <c r="U57" s="1">
        <v>60</v>
      </c>
      <c r="V57" s="1">
        <v>44</v>
      </c>
      <c r="AA57">
        <f t="shared" si="24"/>
        <v>55</v>
      </c>
      <c r="AB57">
        <f t="shared" si="13"/>
        <v>1</v>
      </c>
    </row>
    <row r="58" spans="1:28" ht="28.8" x14ac:dyDescent="0.3">
      <c r="A58" s="42">
        <v>43</v>
      </c>
      <c r="B58" s="4"/>
      <c r="C58" s="6" t="s">
        <v>174</v>
      </c>
      <c r="D58" s="5"/>
      <c r="E58" s="5" t="s">
        <v>61</v>
      </c>
      <c r="F58" s="5" t="s">
        <v>71</v>
      </c>
      <c r="G58" s="5" t="s">
        <v>57</v>
      </c>
      <c r="H58" s="5" t="s">
        <v>54</v>
      </c>
      <c r="I58" s="5" t="s">
        <v>208</v>
      </c>
      <c r="J58" s="5" t="s">
        <v>56</v>
      </c>
      <c r="K58" s="5" t="s">
        <v>59</v>
      </c>
      <c r="L58" s="5" t="s">
        <v>73</v>
      </c>
      <c r="M58" s="5" t="s">
        <v>65</v>
      </c>
      <c r="N58" s="5" t="s">
        <v>75</v>
      </c>
      <c r="O58" s="5" t="s">
        <v>53</v>
      </c>
      <c r="P58" s="5" t="s">
        <v>64</v>
      </c>
      <c r="Q58" s="5" t="s">
        <v>210</v>
      </c>
      <c r="R58" s="5" t="s">
        <v>48</v>
      </c>
      <c r="S58" s="5" t="s">
        <v>67</v>
      </c>
      <c r="T58" s="1">
        <v>9</v>
      </c>
      <c r="U58" s="1">
        <v>64</v>
      </c>
      <c r="V58" s="1">
        <v>45</v>
      </c>
      <c r="AA58">
        <f t="shared" si="24"/>
        <v>56</v>
      </c>
      <c r="AB58">
        <f t="shared" si="13"/>
        <v>0</v>
      </c>
    </row>
    <row r="59" spans="1:28" x14ac:dyDescent="0.3">
      <c r="A59" s="42">
        <v>44</v>
      </c>
      <c r="B59" s="4"/>
      <c r="C59" s="6" t="s">
        <v>95</v>
      </c>
      <c r="D59" s="5"/>
      <c r="E59" s="5" t="s">
        <v>52</v>
      </c>
      <c r="F59" s="5" t="s">
        <v>71</v>
      </c>
      <c r="G59" s="5" t="s">
        <v>57</v>
      </c>
      <c r="H59" s="5" t="s">
        <v>51</v>
      </c>
      <c r="I59" s="5" t="s">
        <v>208</v>
      </c>
      <c r="J59" s="5" t="s">
        <v>56</v>
      </c>
      <c r="K59" s="5" t="s">
        <v>69</v>
      </c>
      <c r="L59" s="5" t="s">
        <v>73</v>
      </c>
      <c r="M59" s="5" t="s">
        <v>65</v>
      </c>
      <c r="N59" s="5" t="s">
        <v>75</v>
      </c>
      <c r="O59" s="5" t="s">
        <v>50</v>
      </c>
      <c r="P59" s="5" t="s">
        <v>64</v>
      </c>
      <c r="Q59" s="5" t="s">
        <v>210</v>
      </c>
      <c r="R59" s="5" t="s">
        <v>48</v>
      </c>
      <c r="S59" s="5" t="s">
        <v>67</v>
      </c>
      <c r="T59" s="1">
        <v>9</v>
      </c>
      <c r="U59" s="1">
        <v>64</v>
      </c>
      <c r="V59" s="1">
        <v>45</v>
      </c>
      <c r="AA59">
        <f t="shared" si="24"/>
        <v>57</v>
      </c>
      <c r="AB59">
        <f t="shared" si="13"/>
        <v>0</v>
      </c>
    </row>
    <row r="60" spans="1:28" x14ac:dyDescent="0.3">
      <c r="A60" s="42">
        <v>45</v>
      </c>
      <c r="B60" s="4"/>
      <c r="C60" s="6" t="s">
        <v>180</v>
      </c>
      <c r="D60" s="5"/>
      <c r="E60" s="5" t="s">
        <v>61</v>
      </c>
      <c r="F60" s="5" t="s">
        <v>71</v>
      </c>
      <c r="G60" s="5" t="s">
        <v>57</v>
      </c>
      <c r="H60" s="5" t="s">
        <v>54</v>
      </c>
      <c r="I60" s="5" t="s">
        <v>55</v>
      </c>
      <c r="J60" s="5" t="s">
        <v>56</v>
      </c>
      <c r="K60" s="5" t="s">
        <v>59</v>
      </c>
      <c r="L60" s="5" t="s">
        <v>73</v>
      </c>
      <c r="M60" s="5" t="s">
        <v>65</v>
      </c>
      <c r="N60" s="5" t="s">
        <v>75</v>
      </c>
      <c r="O60" s="5" t="s">
        <v>50</v>
      </c>
      <c r="P60" s="5" t="s">
        <v>64</v>
      </c>
      <c r="Q60" s="5" t="s">
        <v>210</v>
      </c>
      <c r="R60" s="5" t="s">
        <v>48</v>
      </c>
      <c r="S60" s="5" t="s">
        <v>67</v>
      </c>
      <c r="T60" s="1">
        <v>9</v>
      </c>
      <c r="U60" s="1">
        <v>62</v>
      </c>
      <c r="V60" s="1">
        <v>45</v>
      </c>
      <c r="AA60">
        <f t="shared" si="24"/>
        <v>58</v>
      </c>
      <c r="AB60">
        <f t="shared" si="13"/>
        <v>0</v>
      </c>
    </row>
    <row r="61" spans="1:28" ht="28.8" x14ac:dyDescent="0.3">
      <c r="A61" s="42">
        <v>46</v>
      </c>
      <c r="B61" s="4"/>
      <c r="C61" s="6" t="s">
        <v>89</v>
      </c>
      <c r="D61" s="5"/>
      <c r="E61" s="5" t="s">
        <v>52</v>
      </c>
      <c r="F61" s="5" t="s">
        <v>71</v>
      </c>
      <c r="G61" s="5" t="s">
        <v>57</v>
      </c>
      <c r="H61" s="5" t="s">
        <v>54</v>
      </c>
      <c r="I61" s="5" t="s">
        <v>55</v>
      </c>
      <c r="J61" s="5" t="s">
        <v>56</v>
      </c>
      <c r="K61" s="5" t="s">
        <v>59</v>
      </c>
      <c r="L61" s="5" t="s">
        <v>60</v>
      </c>
      <c r="M61" s="5" t="s">
        <v>65</v>
      </c>
      <c r="N61" s="5" t="s">
        <v>75</v>
      </c>
      <c r="O61" s="5" t="s">
        <v>50</v>
      </c>
      <c r="P61" s="5" t="s">
        <v>64</v>
      </c>
      <c r="Q61" s="5" t="s">
        <v>210</v>
      </c>
      <c r="R61" s="5" t="s">
        <v>48</v>
      </c>
      <c r="S61" s="5" t="s">
        <v>67</v>
      </c>
      <c r="T61" s="1">
        <v>9</v>
      </c>
      <c r="U61" s="1">
        <v>63</v>
      </c>
      <c r="V61" s="1">
        <v>45</v>
      </c>
      <c r="AA61">
        <f t="shared" si="24"/>
        <v>59</v>
      </c>
      <c r="AB61">
        <f t="shared" si="13"/>
        <v>1</v>
      </c>
    </row>
    <row r="62" spans="1:28" ht="28.8" x14ac:dyDescent="0.3">
      <c r="A62" s="42">
        <v>47</v>
      </c>
      <c r="B62" s="4"/>
      <c r="C62" s="6" t="s">
        <v>170</v>
      </c>
      <c r="D62" s="5"/>
      <c r="E62" s="5" t="s">
        <v>61</v>
      </c>
      <c r="F62" s="5" t="s">
        <v>62</v>
      </c>
      <c r="G62" s="5" t="s">
        <v>63</v>
      </c>
      <c r="H62" s="5" t="s">
        <v>54</v>
      </c>
      <c r="I62" s="5" t="s">
        <v>208</v>
      </c>
      <c r="J62" s="5" t="s">
        <v>56</v>
      </c>
      <c r="K62" s="5" t="s">
        <v>69</v>
      </c>
      <c r="L62" s="5" t="s">
        <v>60</v>
      </c>
      <c r="M62" s="5" t="s">
        <v>58</v>
      </c>
      <c r="N62" s="5" t="s">
        <v>75</v>
      </c>
      <c r="O62" s="5" t="s">
        <v>50</v>
      </c>
      <c r="P62" s="5" t="s">
        <v>68</v>
      </c>
      <c r="Q62" s="5" t="s">
        <v>66</v>
      </c>
      <c r="R62" s="5" t="s">
        <v>48</v>
      </c>
      <c r="S62" s="5" t="s">
        <v>67</v>
      </c>
      <c r="T62" s="1">
        <v>9</v>
      </c>
      <c r="U62" s="1">
        <v>52</v>
      </c>
      <c r="V62" s="1">
        <v>43</v>
      </c>
      <c r="AA62">
        <f t="shared" si="24"/>
        <v>60</v>
      </c>
      <c r="AB62">
        <f t="shared" si="13"/>
        <v>0</v>
      </c>
    </row>
    <row r="63" spans="1:28" x14ac:dyDescent="0.3">
      <c r="A63" s="42">
        <v>48</v>
      </c>
      <c r="B63" s="4"/>
      <c r="C63" s="6" t="s">
        <v>84</v>
      </c>
      <c r="D63" s="5"/>
      <c r="E63" s="5" t="s">
        <v>61</v>
      </c>
      <c r="F63" s="5" t="s">
        <v>71</v>
      </c>
      <c r="G63" s="5" t="s">
        <v>57</v>
      </c>
      <c r="H63" s="5" t="s">
        <v>54</v>
      </c>
      <c r="I63" s="5" t="s">
        <v>208</v>
      </c>
      <c r="J63" s="5" t="s">
        <v>74</v>
      </c>
      <c r="K63" s="5" t="s">
        <v>69</v>
      </c>
      <c r="L63" s="5" t="s">
        <v>73</v>
      </c>
      <c r="M63" s="5" t="s">
        <v>65</v>
      </c>
      <c r="N63" s="5" t="s">
        <v>47</v>
      </c>
      <c r="O63" s="5" t="s">
        <v>53</v>
      </c>
      <c r="P63" s="5" t="s">
        <v>64</v>
      </c>
      <c r="Q63" s="5" t="s">
        <v>66</v>
      </c>
      <c r="R63" s="5" t="s">
        <v>48</v>
      </c>
      <c r="S63" s="5" t="s">
        <v>67</v>
      </c>
      <c r="T63" s="1">
        <v>9</v>
      </c>
      <c r="U63" s="1">
        <v>59</v>
      </c>
      <c r="V63" s="1">
        <v>42</v>
      </c>
      <c r="AA63">
        <f t="shared" si="24"/>
        <v>61</v>
      </c>
      <c r="AB63">
        <f t="shared" si="13"/>
        <v>1</v>
      </c>
    </row>
    <row r="64" spans="1:28" x14ac:dyDescent="0.3">
      <c r="A64" s="42">
        <v>49</v>
      </c>
      <c r="B64" s="4"/>
      <c r="C64" s="6" t="s">
        <v>19</v>
      </c>
      <c r="D64" s="5"/>
      <c r="E64" s="5" t="s">
        <v>61</v>
      </c>
      <c r="F64" s="5" t="s">
        <v>71</v>
      </c>
      <c r="G64" s="5" t="s">
        <v>57</v>
      </c>
      <c r="H64" s="5" t="s">
        <v>54</v>
      </c>
      <c r="I64" s="5" t="s">
        <v>208</v>
      </c>
      <c r="J64" s="5" t="s">
        <v>74</v>
      </c>
      <c r="K64" s="5" t="s">
        <v>69</v>
      </c>
      <c r="L64" s="5" t="s">
        <v>60</v>
      </c>
      <c r="M64" s="5" t="s">
        <v>58</v>
      </c>
      <c r="N64" s="5" t="s">
        <v>75</v>
      </c>
      <c r="O64" s="5" t="s">
        <v>53</v>
      </c>
      <c r="P64" s="5" t="s">
        <v>64</v>
      </c>
      <c r="Q64" s="5" t="s">
        <v>210</v>
      </c>
      <c r="R64" s="5" t="s">
        <v>48</v>
      </c>
      <c r="S64" s="5" t="s">
        <v>67</v>
      </c>
      <c r="T64" s="1">
        <v>9</v>
      </c>
      <c r="U64" s="1">
        <v>65</v>
      </c>
      <c r="V64" s="1">
        <v>46</v>
      </c>
      <c r="AA64">
        <f t="shared" si="24"/>
        <v>62</v>
      </c>
      <c r="AB64">
        <f t="shared" si="13"/>
        <v>0</v>
      </c>
    </row>
    <row r="65" spans="1:28" x14ac:dyDescent="0.3">
      <c r="A65" s="42">
        <v>50</v>
      </c>
      <c r="B65" s="4"/>
      <c r="C65" s="6" t="s">
        <v>155</v>
      </c>
      <c r="D65" s="5"/>
      <c r="E65" s="5" t="s">
        <v>52</v>
      </c>
      <c r="F65" s="5" t="s">
        <v>71</v>
      </c>
      <c r="G65" s="5" t="s">
        <v>57</v>
      </c>
      <c r="H65" s="5" t="s">
        <v>54</v>
      </c>
      <c r="I65" s="5" t="s">
        <v>208</v>
      </c>
      <c r="J65" s="5" t="s">
        <v>74</v>
      </c>
      <c r="K65" s="5" t="s">
        <v>69</v>
      </c>
      <c r="L65" s="5" t="s">
        <v>60</v>
      </c>
      <c r="M65" s="5" t="s">
        <v>65</v>
      </c>
      <c r="N65" s="5" t="s">
        <v>75</v>
      </c>
      <c r="O65" s="5" t="s">
        <v>53</v>
      </c>
      <c r="P65" s="5" t="s">
        <v>64</v>
      </c>
      <c r="Q65" s="5" t="s">
        <v>210</v>
      </c>
      <c r="R65" s="5" t="s">
        <v>48</v>
      </c>
      <c r="S65" s="5" t="s">
        <v>67</v>
      </c>
      <c r="T65" s="1">
        <v>9</v>
      </c>
      <c r="U65" s="1">
        <v>52</v>
      </c>
      <c r="V65" s="1">
        <v>42</v>
      </c>
      <c r="AA65">
        <f t="shared" si="24"/>
        <v>63</v>
      </c>
      <c r="AB65">
        <f t="shared" si="13"/>
        <v>0</v>
      </c>
    </row>
    <row r="66" spans="1:28" ht="28.8" x14ac:dyDescent="0.3">
      <c r="A66" s="42">
        <v>51</v>
      </c>
      <c r="B66" s="4"/>
      <c r="C66" s="6" t="s">
        <v>182</v>
      </c>
      <c r="D66" s="5"/>
      <c r="E66" s="5" t="s">
        <v>61</v>
      </c>
      <c r="F66" s="5" t="s">
        <v>71</v>
      </c>
      <c r="G66" s="5" t="s">
        <v>57</v>
      </c>
      <c r="H66" s="5" t="s">
        <v>54</v>
      </c>
      <c r="I66" s="5" t="s">
        <v>55</v>
      </c>
      <c r="J66" s="5" t="s">
        <v>74</v>
      </c>
      <c r="K66" s="5" t="s">
        <v>59</v>
      </c>
      <c r="L66" s="5" t="s">
        <v>60</v>
      </c>
      <c r="M66" s="5" t="s">
        <v>65</v>
      </c>
      <c r="N66" s="5" t="s">
        <v>75</v>
      </c>
      <c r="O66" s="5" t="s">
        <v>53</v>
      </c>
      <c r="P66" s="5" t="s">
        <v>64</v>
      </c>
      <c r="Q66" s="5" t="s">
        <v>210</v>
      </c>
      <c r="R66" s="5" t="s">
        <v>48</v>
      </c>
      <c r="S66" s="5" t="s">
        <v>72</v>
      </c>
      <c r="T66" s="1">
        <v>9</v>
      </c>
      <c r="U66" s="1">
        <v>53</v>
      </c>
      <c r="V66" s="1">
        <v>42</v>
      </c>
      <c r="AA66">
        <f t="shared" si="24"/>
        <v>64</v>
      </c>
      <c r="AB66">
        <f t="shared" si="13"/>
        <v>0</v>
      </c>
    </row>
    <row r="67" spans="1:28" ht="28.8" x14ac:dyDescent="0.3">
      <c r="A67" s="42">
        <v>52</v>
      </c>
      <c r="B67" s="4"/>
      <c r="C67" s="6" t="s">
        <v>36</v>
      </c>
      <c r="D67" s="5"/>
      <c r="E67" s="5" t="s">
        <v>52</v>
      </c>
      <c r="F67" s="5" t="s">
        <v>71</v>
      </c>
      <c r="G67" s="5" t="s">
        <v>57</v>
      </c>
      <c r="H67" s="5" t="s">
        <v>51</v>
      </c>
      <c r="I67" s="5" t="s">
        <v>208</v>
      </c>
      <c r="J67" s="5" t="s">
        <v>74</v>
      </c>
      <c r="K67" s="5" t="s">
        <v>69</v>
      </c>
      <c r="L67" s="5" t="s">
        <v>60</v>
      </c>
      <c r="M67" s="5" t="s">
        <v>65</v>
      </c>
      <c r="N67" s="5" t="s">
        <v>75</v>
      </c>
      <c r="O67" s="5" t="s">
        <v>53</v>
      </c>
      <c r="P67" s="5" t="s">
        <v>64</v>
      </c>
      <c r="Q67" s="5" t="s">
        <v>210</v>
      </c>
      <c r="R67" s="5" t="s">
        <v>70</v>
      </c>
      <c r="S67" s="5" t="s">
        <v>67</v>
      </c>
      <c r="T67" s="1">
        <v>9</v>
      </c>
      <c r="U67" s="1">
        <v>59</v>
      </c>
      <c r="V67" s="1">
        <v>42</v>
      </c>
      <c r="AA67">
        <f t="shared" si="24"/>
        <v>65</v>
      </c>
      <c r="AB67">
        <f t="shared" ref="AB67:AB120" si="27">COUNTIF(V$16:V$179,AA67)</f>
        <v>0</v>
      </c>
    </row>
    <row r="68" spans="1:28" ht="28.8" x14ac:dyDescent="0.3">
      <c r="A68" s="42">
        <v>53</v>
      </c>
      <c r="B68" s="4"/>
      <c r="C68" s="6" t="s">
        <v>200</v>
      </c>
      <c r="D68" s="5"/>
      <c r="E68" s="5" t="s">
        <v>52</v>
      </c>
      <c r="F68" s="5" t="s">
        <v>71</v>
      </c>
      <c r="G68" s="5" t="s">
        <v>57</v>
      </c>
      <c r="H68" s="5" t="s">
        <v>54</v>
      </c>
      <c r="I68" s="5" t="s">
        <v>208</v>
      </c>
      <c r="J68" s="5" t="s">
        <v>74</v>
      </c>
      <c r="K68" s="5" t="s">
        <v>69</v>
      </c>
      <c r="L68" s="5" t="s">
        <v>60</v>
      </c>
      <c r="M68" s="5" t="s">
        <v>65</v>
      </c>
      <c r="N68" s="5" t="s">
        <v>75</v>
      </c>
      <c r="O68" s="5" t="s">
        <v>53</v>
      </c>
      <c r="P68" s="5" t="s">
        <v>64</v>
      </c>
      <c r="Q68" s="5" t="s">
        <v>210</v>
      </c>
      <c r="R68" s="5" t="s">
        <v>48</v>
      </c>
      <c r="S68" s="5" t="s">
        <v>67</v>
      </c>
      <c r="T68" s="1">
        <v>9</v>
      </c>
      <c r="U68" s="1">
        <v>43</v>
      </c>
      <c r="V68" s="1">
        <v>42</v>
      </c>
      <c r="AA68">
        <f t="shared" si="24"/>
        <v>66</v>
      </c>
      <c r="AB68">
        <f t="shared" si="27"/>
        <v>0</v>
      </c>
    </row>
    <row r="69" spans="1:28" x14ac:dyDescent="0.3">
      <c r="A69" s="42">
        <v>54</v>
      </c>
      <c r="B69" s="4"/>
      <c r="C69" s="6" t="s">
        <v>94</v>
      </c>
      <c r="D69" s="5"/>
      <c r="E69" s="5" t="s">
        <v>61</v>
      </c>
      <c r="F69" s="5" t="s">
        <v>71</v>
      </c>
      <c r="G69" s="5" t="s">
        <v>63</v>
      </c>
      <c r="H69" s="5" t="s">
        <v>54</v>
      </c>
      <c r="I69" s="5" t="s">
        <v>208</v>
      </c>
      <c r="J69" s="5" t="s">
        <v>74</v>
      </c>
      <c r="K69" s="5" t="s">
        <v>59</v>
      </c>
      <c r="L69" s="5" t="s">
        <v>73</v>
      </c>
      <c r="M69" s="5" t="s">
        <v>65</v>
      </c>
      <c r="N69" s="5" t="s">
        <v>75</v>
      </c>
      <c r="O69" s="5" t="s">
        <v>53</v>
      </c>
      <c r="P69" s="5" t="s">
        <v>64</v>
      </c>
      <c r="Q69" s="5" t="s">
        <v>210</v>
      </c>
      <c r="R69" s="5" t="s">
        <v>48</v>
      </c>
      <c r="S69" s="5" t="s">
        <v>67</v>
      </c>
      <c r="T69" s="1">
        <v>9</v>
      </c>
      <c r="U69" s="1">
        <v>67</v>
      </c>
      <c r="V69" s="1">
        <v>42</v>
      </c>
      <c r="AA69">
        <f t="shared" si="24"/>
        <v>67</v>
      </c>
      <c r="AB69">
        <f t="shared" si="27"/>
        <v>1</v>
      </c>
    </row>
    <row r="70" spans="1:28" ht="28.8" x14ac:dyDescent="0.3">
      <c r="A70" s="42">
        <v>55</v>
      </c>
      <c r="B70" s="4"/>
      <c r="C70" s="6" t="s">
        <v>137</v>
      </c>
      <c r="D70" s="5"/>
      <c r="E70" s="5" t="s">
        <v>52</v>
      </c>
      <c r="F70" s="5" t="s">
        <v>71</v>
      </c>
      <c r="G70" s="5" t="s">
        <v>57</v>
      </c>
      <c r="H70" s="5" t="s">
        <v>51</v>
      </c>
      <c r="I70" s="5" t="s">
        <v>208</v>
      </c>
      <c r="J70" s="5" t="s">
        <v>74</v>
      </c>
      <c r="K70" s="5" t="s">
        <v>69</v>
      </c>
      <c r="L70" s="5" t="s">
        <v>73</v>
      </c>
      <c r="M70" s="5" t="s">
        <v>65</v>
      </c>
      <c r="N70" s="5" t="s">
        <v>75</v>
      </c>
      <c r="O70" s="5" t="s">
        <v>50</v>
      </c>
      <c r="P70" s="5" t="s">
        <v>64</v>
      </c>
      <c r="Q70" s="5" t="s">
        <v>66</v>
      </c>
      <c r="R70" s="5" t="s">
        <v>48</v>
      </c>
      <c r="S70" s="5" t="s">
        <v>67</v>
      </c>
      <c r="T70" s="1">
        <v>9</v>
      </c>
      <c r="U70" s="1">
        <v>56</v>
      </c>
      <c r="V70" s="1">
        <v>42</v>
      </c>
      <c r="AA70">
        <f t="shared" si="24"/>
        <v>68</v>
      </c>
      <c r="AB70">
        <f t="shared" si="27"/>
        <v>0</v>
      </c>
    </row>
    <row r="71" spans="1:28" x14ac:dyDescent="0.3">
      <c r="A71" s="42">
        <v>56</v>
      </c>
      <c r="B71" s="4"/>
      <c r="C71" s="6" t="s">
        <v>83</v>
      </c>
      <c r="D71" s="5"/>
      <c r="E71" s="5" t="s">
        <v>61</v>
      </c>
      <c r="F71" s="5" t="s">
        <v>71</v>
      </c>
      <c r="G71" s="5" t="s">
        <v>57</v>
      </c>
      <c r="H71" s="5" t="s">
        <v>54</v>
      </c>
      <c r="I71" s="5" t="s">
        <v>55</v>
      </c>
      <c r="J71" s="5" t="s">
        <v>74</v>
      </c>
      <c r="K71" s="5" t="s">
        <v>69</v>
      </c>
      <c r="L71" s="5" t="s">
        <v>60</v>
      </c>
      <c r="M71" s="5" t="s">
        <v>58</v>
      </c>
      <c r="N71" s="5" t="s">
        <v>75</v>
      </c>
      <c r="O71" s="5" t="s">
        <v>53</v>
      </c>
      <c r="P71" s="5" t="s">
        <v>64</v>
      </c>
      <c r="Q71" s="5" t="s">
        <v>210</v>
      </c>
      <c r="R71" s="5" t="s">
        <v>70</v>
      </c>
      <c r="S71" s="5" t="s">
        <v>67</v>
      </c>
      <c r="T71" s="1">
        <v>9</v>
      </c>
      <c r="U71" s="1">
        <v>65</v>
      </c>
      <c r="V71" s="1">
        <v>42</v>
      </c>
      <c r="AA71">
        <f t="shared" ref="AA71:AA120" si="28">AA70+1</f>
        <v>69</v>
      </c>
      <c r="AB71">
        <f t="shared" si="27"/>
        <v>0</v>
      </c>
    </row>
    <row r="72" spans="1:28" x14ac:dyDescent="0.3">
      <c r="A72" s="42">
        <v>57</v>
      </c>
      <c r="B72" s="4"/>
      <c r="C72" s="6" t="s">
        <v>127</v>
      </c>
      <c r="D72" s="5"/>
      <c r="E72" s="5" t="s">
        <v>61</v>
      </c>
      <c r="F72" s="5" t="s">
        <v>71</v>
      </c>
      <c r="G72" s="5" t="s">
        <v>57</v>
      </c>
      <c r="H72" s="5" t="s">
        <v>51</v>
      </c>
      <c r="I72" s="5" t="s">
        <v>55</v>
      </c>
      <c r="J72" s="5" t="s">
        <v>74</v>
      </c>
      <c r="K72" s="5" t="s">
        <v>69</v>
      </c>
      <c r="L72" s="5" t="s">
        <v>73</v>
      </c>
      <c r="M72" s="5" t="s">
        <v>65</v>
      </c>
      <c r="N72" s="5" t="s">
        <v>47</v>
      </c>
      <c r="O72" s="5" t="s">
        <v>53</v>
      </c>
      <c r="P72" s="5" t="s">
        <v>64</v>
      </c>
      <c r="Q72" s="5" t="s">
        <v>210</v>
      </c>
      <c r="R72" s="5" t="s">
        <v>48</v>
      </c>
      <c r="S72" s="5" t="s">
        <v>72</v>
      </c>
      <c r="T72" s="1">
        <v>9</v>
      </c>
      <c r="U72" s="1">
        <v>56</v>
      </c>
      <c r="V72" s="1">
        <v>42</v>
      </c>
      <c r="AA72">
        <f t="shared" si="28"/>
        <v>70</v>
      </c>
      <c r="AB72">
        <f t="shared" si="27"/>
        <v>0</v>
      </c>
    </row>
    <row r="73" spans="1:28" x14ac:dyDescent="0.3">
      <c r="A73" s="42">
        <v>58</v>
      </c>
      <c r="B73" s="4"/>
      <c r="C73" s="6" t="s">
        <v>96</v>
      </c>
      <c r="D73" s="5"/>
      <c r="E73" s="5" t="s">
        <v>61</v>
      </c>
      <c r="F73" s="5" t="s">
        <v>71</v>
      </c>
      <c r="G73" s="5" t="s">
        <v>63</v>
      </c>
      <c r="H73" s="5" t="s">
        <v>54</v>
      </c>
      <c r="I73" s="5" t="s">
        <v>208</v>
      </c>
      <c r="J73" s="5" t="s">
        <v>56</v>
      </c>
      <c r="K73" s="5" t="s">
        <v>69</v>
      </c>
      <c r="L73" s="5" t="s">
        <v>73</v>
      </c>
      <c r="M73" s="5" t="s">
        <v>58</v>
      </c>
      <c r="N73" s="5" t="s">
        <v>75</v>
      </c>
      <c r="O73" s="5" t="s">
        <v>50</v>
      </c>
      <c r="P73" s="5" t="s">
        <v>64</v>
      </c>
      <c r="Q73" s="5" t="s">
        <v>66</v>
      </c>
      <c r="R73" s="5" t="s">
        <v>48</v>
      </c>
      <c r="S73" s="5" t="s">
        <v>72</v>
      </c>
      <c r="T73" s="1">
        <v>9</v>
      </c>
      <c r="U73" s="1">
        <v>55</v>
      </c>
      <c r="V73" s="1">
        <v>41</v>
      </c>
      <c r="AA73">
        <f t="shared" si="28"/>
        <v>71</v>
      </c>
      <c r="AB73">
        <f t="shared" si="27"/>
        <v>0</v>
      </c>
    </row>
    <row r="74" spans="1:28" ht="28.8" x14ac:dyDescent="0.3">
      <c r="A74" s="42">
        <v>59</v>
      </c>
      <c r="B74" s="4"/>
      <c r="C74" s="6" t="s">
        <v>133</v>
      </c>
      <c r="D74" s="5"/>
      <c r="E74" s="5" t="s">
        <v>61</v>
      </c>
      <c r="F74" s="5" t="s">
        <v>71</v>
      </c>
      <c r="G74" s="5" t="s">
        <v>57</v>
      </c>
      <c r="H74" s="5" t="s">
        <v>54</v>
      </c>
      <c r="I74" s="5" t="s">
        <v>208</v>
      </c>
      <c r="J74" s="5" t="s">
        <v>56</v>
      </c>
      <c r="K74" s="5" t="s">
        <v>69</v>
      </c>
      <c r="L74" s="5" t="s">
        <v>73</v>
      </c>
      <c r="M74" s="5" t="s">
        <v>65</v>
      </c>
      <c r="N74" s="5" t="s">
        <v>75</v>
      </c>
      <c r="O74" s="5" t="s">
        <v>50</v>
      </c>
      <c r="P74" s="5" t="s">
        <v>64</v>
      </c>
      <c r="Q74" s="5" t="s">
        <v>210</v>
      </c>
      <c r="R74" s="5" t="s">
        <v>48</v>
      </c>
      <c r="S74" s="5" t="s">
        <v>67</v>
      </c>
      <c r="T74" s="1">
        <v>9</v>
      </c>
      <c r="U74" s="1">
        <v>49</v>
      </c>
      <c r="V74" s="1">
        <v>41</v>
      </c>
      <c r="AA74">
        <f t="shared" si="28"/>
        <v>72</v>
      </c>
      <c r="AB74">
        <f t="shared" si="27"/>
        <v>0</v>
      </c>
    </row>
    <row r="75" spans="1:28" ht="28.8" x14ac:dyDescent="0.3">
      <c r="A75" s="42">
        <v>60</v>
      </c>
      <c r="B75" s="4"/>
      <c r="C75" s="6" t="s">
        <v>172</v>
      </c>
      <c r="D75" s="5"/>
      <c r="E75" s="5" t="s">
        <v>61</v>
      </c>
      <c r="F75" s="5" t="s">
        <v>71</v>
      </c>
      <c r="G75" s="5" t="s">
        <v>57</v>
      </c>
      <c r="H75" s="5" t="s">
        <v>54</v>
      </c>
      <c r="I75" s="5" t="s">
        <v>208</v>
      </c>
      <c r="J75" s="5" t="s">
        <v>56</v>
      </c>
      <c r="K75" s="5" t="s">
        <v>59</v>
      </c>
      <c r="L75" s="5" t="s">
        <v>73</v>
      </c>
      <c r="M75" s="5" t="s">
        <v>65</v>
      </c>
      <c r="N75" s="5" t="s">
        <v>47</v>
      </c>
      <c r="O75" s="5" t="s">
        <v>53</v>
      </c>
      <c r="P75" s="5" t="s">
        <v>64</v>
      </c>
      <c r="Q75" s="5" t="s">
        <v>66</v>
      </c>
      <c r="R75" s="5" t="s">
        <v>48</v>
      </c>
      <c r="S75" s="5" t="s">
        <v>67</v>
      </c>
      <c r="T75" s="1">
        <v>9</v>
      </c>
      <c r="U75" s="1">
        <v>59</v>
      </c>
      <c r="V75" s="1">
        <v>41</v>
      </c>
      <c r="AA75">
        <f t="shared" si="28"/>
        <v>73</v>
      </c>
      <c r="AB75">
        <f t="shared" si="27"/>
        <v>0</v>
      </c>
    </row>
    <row r="76" spans="1:28" x14ac:dyDescent="0.3">
      <c r="A76" s="42">
        <v>61</v>
      </c>
      <c r="B76" s="4"/>
      <c r="C76" s="6" t="s">
        <v>16</v>
      </c>
      <c r="D76" s="5"/>
      <c r="E76" s="5" t="s">
        <v>52</v>
      </c>
      <c r="F76" s="5" t="s">
        <v>71</v>
      </c>
      <c r="G76" s="5" t="s">
        <v>63</v>
      </c>
      <c r="H76" s="5" t="s">
        <v>51</v>
      </c>
      <c r="I76" s="5" t="s">
        <v>208</v>
      </c>
      <c r="J76" s="5" t="s">
        <v>56</v>
      </c>
      <c r="K76" s="5" t="s">
        <v>59</v>
      </c>
      <c r="L76" s="5" t="s">
        <v>73</v>
      </c>
      <c r="M76" s="5" t="s">
        <v>65</v>
      </c>
      <c r="N76" s="5" t="s">
        <v>75</v>
      </c>
      <c r="O76" s="5" t="s">
        <v>50</v>
      </c>
      <c r="P76" s="5" t="s">
        <v>64</v>
      </c>
      <c r="Q76" s="5" t="s">
        <v>66</v>
      </c>
      <c r="R76" s="5" t="s">
        <v>48</v>
      </c>
      <c r="S76" s="5" t="s">
        <v>72</v>
      </c>
      <c r="T76" s="1">
        <v>9</v>
      </c>
      <c r="U76" s="1">
        <v>66</v>
      </c>
      <c r="V76" s="1">
        <v>40</v>
      </c>
      <c r="AA76">
        <f t="shared" si="28"/>
        <v>74</v>
      </c>
      <c r="AB76">
        <f t="shared" si="27"/>
        <v>0</v>
      </c>
    </row>
    <row r="77" spans="1:28" ht="28.8" x14ac:dyDescent="0.3">
      <c r="A77" s="42">
        <v>62</v>
      </c>
      <c r="B77" s="4"/>
      <c r="C77" s="6" t="s">
        <v>30</v>
      </c>
      <c r="D77" s="5"/>
      <c r="E77" s="5" t="s">
        <v>52</v>
      </c>
      <c r="F77" s="5" t="s">
        <v>71</v>
      </c>
      <c r="G77" s="5" t="s">
        <v>57</v>
      </c>
      <c r="H77" s="5" t="s">
        <v>54</v>
      </c>
      <c r="I77" s="5" t="s">
        <v>208</v>
      </c>
      <c r="J77" s="5" t="s">
        <v>74</v>
      </c>
      <c r="K77" s="5" t="s">
        <v>69</v>
      </c>
      <c r="L77" s="5" t="s">
        <v>60</v>
      </c>
      <c r="M77" s="5" t="s">
        <v>65</v>
      </c>
      <c r="N77" s="5" t="s">
        <v>75</v>
      </c>
      <c r="O77" s="5" t="s">
        <v>53</v>
      </c>
      <c r="P77" s="5" t="s">
        <v>64</v>
      </c>
      <c r="Q77" s="5" t="s">
        <v>66</v>
      </c>
      <c r="R77" s="5" t="s">
        <v>70</v>
      </c>
      <c r="S77" s="5" t="s">
        <v>67</v>
      </c>
      <c r="T77" s="1">
        <v>9</v>
      </c>
      <c r="U77" s="1">
        <v>61</v>
      </c>
      <c r="V77" s="1">
        <v>40</v>
      </c>
      <c r="AA77">
        <f t="shared" si="28"/>
        <v>75</v>
      </c>
      <c r="AB77">
        <f t="shared" si="27"/>
        <v>0</v>
      </c>
    </row>
    <row r="78" spans="1:28" x14ac:dyDescent="0.3">
      <c r="A78" s="42">
        <v>63</v>
      </c>
      <c r="B78" s="4"/>
      <c r="C78" s="6" t="s">
        <v>187</v>
      </c>
      <c r="D78" s="5"/>
      <c r="E78" s="5" t="s">
        <v>52</v>
      </c>
      <c r="F78" s="5" t="s">
        <v>71</v>
      </c>
      <c r="G78" s="5" t="s">
        <v>57</v>
      </c>
      <c r="H78" s="5" t="s">
        <v>54</v>
      </c>
      <c r="I78" s="5" t="s">
        <v>55</v>
      </c>
      <c r="J78" s="5" t="s">
        <v>56</v>
      </c>
      <c r="K78" s="5" t="s">
        <v>69</v>
      </c>
      <c r="L78" s="5" t="s">
        <v>60</v>
      </c>
      <c r="M78" s="5" t="s">
        <v>58</v>
      </c>
      <c r="N78" s="5" t="s">
        <v>75</v>
      </c>
      <c r="O78" s="5" t="s">
        <v>50</v>
      </c>
      <c r="P78" s="5" t="s">
        <v>64</v>
      </c>
      <c r="Q78" s="5" t="s">
        <v>210</v>
      </c>
      <c r="R78" s="5" t="s">
        <v>48</v>
      </c>
      <c r="S78" s="5" t="s">
        <v>67</v>
      </c>
      <c r="T78" s="1">
        <v>9</v>
      </c>
      <c r="U78" s="1">
        <v>58</v>
      </c>
      <c r="V78" s="1">
        <v>48</v>
      </c>
      <c r="AA78">
        <f t="shared" si="28"/>
        <v>76</v>
      </c>
      <c r="AB78">
        <f t="shared" si="27"/>
        <v>0</v>
      </c>
    </row>
    <row r="79" spans="1:28" x14ac:dyDescent="0.3">
      <c r="A79" s="42">
        <v>64</v>
      </c>
      <c r="B79" s="4"/>
      <c r="C79" s="6" t="s">
        <v>138</v>
      </c>
      <c r="D79" s="5"/>
      <c r="E79" s="5" t="s">
        <v>52</v>
      </c>
      <c r="F79" s="5" t="s">
        <v>71</v>
      </c>
      <c r="G79" s="5" t="s">
        <v>57</v>
      </c>
      <c r="H79" s="5" t="s">
        <v>54</v>
      </c>
      <c r="I79" s="5" t="s">
        <v>208</v>
      </c>
      <c r="J79" s="5" t="s">
        <v>56</v>
      </c>
      <c r="K79" s="5" t="s">
        <v>69</v>
      </c>
      <c r="L79" s="5" t="s">
        <v>60</v>
      </c>
      <c r="M79" s="5" t="s">
        <v>65</v>
      </c>
      <c r="N79" s="5" t="s">
        <v>75</v>
      </c>
      <c r="O79" s="5" t="s">
        <v>50</v>
      </c>
      <c r="P79" s="5" t="s">
        <v>64</v>
      </c>
      <c r="Q79" s="5" t="s">
        <v>210</v>
      </c>
      <c r="R79" s="5" t="s">
        <v>48</v>
      </c>
      <c r="S79" s="5" t="s">
        <v>67</v>
      </c>
      <c r="T79" s="1">
        <v>9</v>
      </c>
      <c r="U79" s="1">
        <v>61</v>
      </c>
      <c r="V79" s="1">
        <v>48</v>
      </c>
      <c r="AA79">
        <f t="shared" si="28"/>
        <v>77</v>
      </c>
      <c r="AB79">
        <f t="shared" si="27"/>
        <v>0</v>
      </c>
    </row>
    <row r="80" spans="1:28" x14ac:dyDescent="0.3">
      <c r="A80" s="42">
        <v>65</v>
      </c>
      <c r="B80" s="4"/>
      <c r="C80" s="6" t="s">
        <v>168</v>
      </c>
      <c r="D80" s="5"/>
      <c r="E80" s="5" t="s">
        <v>61</v>
      </c>
      <c r="F80" s="5" t="s">
        <v>62</v>
      </c>
      <c r="G80" s="5" t="s">
        <v>57</v>
      </c>
      <c r="H80" s="5" t="s">
        <v>54</v>
      </c>
      <c r="I80" s="5" t="s">
        <v>55</v>
      </c>
      <c r="J80" s="5" t="s">
        <v>56</v>
      </c>
      <c r="K80" s="5" t="s">
        <v>69</v>
      </c>
      <c r="L80" s="5" t="s">
        <v>60</v>
      </c>
      <c r="M80" s="5" t="s">
        <v>58</v>
      </c>
      <c r="N80" s="5" t="s">
        <v>47</v>
      </c>
      <c r="O80" s="5" t="s">
        <v>53</v>
      </c>
      <c r="P80" s="5" t="s">
        <v>68</v>
      </c>
      <c r="Q80" s="5" t="s">
        <v>66</v>
      </c>
      <c r="R80" s="5" t="s">
        <v>48</v>
      </c>
      <c r="S80" s="5" t="s">
        <v>67</v>
      </c>
      <c r="T80" s="1">
        <v>9</v>
      </c>
      <c r="U80" s="1">
        <v>62</v>
      </c>
      <c r="V80" s="1">
        <v>40</v>
      </c>
      <c r="AA80">
        <f t="shared" si="28"/>
        <v>78</v>
      </c>
      <c r="AB80">
        <f t="shared" si="27"/>
        <v>0</v>
      </c>
    </row>
    <row r="81" spans="1:28" ht="28.8" x14ac:dyDescent="0.3">
      <c r="A81" s="42">
        <v>66</v>
      </c>
      <c r="B81" s="4"/>
      <c r="C81" s="6" t="s">
        <v>29</v>
      </c>
      <c r="D81" s="5"/>
      <c r="E81" s="5" t="s">
        <v>52</v>
      </c>
      <c r="F81" s="5" t="s">
        <v>71</v>
      </c>
      <c r="G81" s="5" t="s">
        <v>57</v>
      </c>
      <c r="H81" s="5" t="s">
        <v>51</v>
      </c>
      <c r="I81" s="5" t="s">
        <v>208</v>
      </c>
      <c r="J81" s="5" t="s">
        <v>74</v>
      </c>
      <c r="K81" s="5" t="s">
        <v>59</v>
      </c>
      <c r="L81" s="5" t="s">
        <v>60</v>
      </c>
      <c r="M81" s="5" t="s">
        <v>65</v>
      </c>
      <c r="N81" s="5" t="s">
        <v>75</v>
      </c>
      <c r="O81" s="5" t="s">
        <v>53</v>
      </c>
      <c r="P81" s="5" t="s">
        <v>64</v>
      </c>
      <c r="Q81" s="5" t="s">
        <v>66</v>
      </c>
      <c r="R81" s="5" t="s">
        <v>70</v>
      </c>
      <c r="S81" s="5" t="s">
        <v>67</v>
      </c>
      <c r="T81" s="1">
        <v>9</v>
      </c>
      <c r="U81" s="1">
        <v>55</v>
      </c>
      <c r="V81" s="1">
        <v>40</v>
      </c>
      <c r="AA81">
        <f t="shared" si="28"/>
        <v>79</v>
      </c>
      <c r="AB81">
        <f t="shared" si="27"/>
        <v>0</v>
      </c>
    </row>
    <row r="82" spans="1:28" x14ac:dyDescent="0.3">
      <c r="A82" s="42">
        <v>67</v>
      </c>
      <c r="B82" s="4"/>
      <c r="C82" s="6" t="s">
        <v>173</v>
      </c>
      <c r="D82" s="5"/>
      <c r="E82" s="5" t="s">
        <v>61</v>
      </c>
      <c r="F82" s="5" t="s">
        <v>71</v>
      </c>
      <c r="G82" s="5" t="s">
        <v>63</v>
      </c>
      <c r="H82" s="5" t="s">
        <v>54</v>
      </c>
      <c r="I82" s="5" t="s">
        <v>208</v>
      </c>
      <c r="J82" s="5" t="s">
        <v>74</v>
      </c>
      <c r="K82" s="5" t="s">
        <v>69</v>
      </c>
      <c r="L82" s="5" t="s">
        <v>73</v>
      </c>
      <c r="M82" s="5" t="s">
        <v>58</v>
      </c>
      <c r="N82" s="5" t="s">
        <v>75</v>
      </c>
      <c r="O82" s="5" t="s">
        <v>53</v>
      </c>
      <c r="P82" s="5" t="s">
        <v>64</v>
      </c>
      <c r="Q82" s="5" t="s">
        <v>66</v>
      </c>
      <c r="R82" s="5" t="s">
        <v>48</v>
      </c>
      <c r="S82" s="5" t="s">
        <v>72</v>
      </c>
      <c r="T82" s="1">
        <v>9</v>
      </c>
      <c r="U82" s="1">
        <v>60</v>
      </c>
      <c r="V82" s="1">
        <v>40</v>
      </c>
      <c r="AA82">
        <f t="shared" si="28"/>
        <v>80</v>
      </c>
      <c r="AB82">
        <f t="shared" si="27"/>
        <v>0</v>
      </c>
    </row>
    <row r="83" spans="1:28" x14ac:dyDescent="0.3">
      <c r="A83" s="42">
        <v>68</v>
      </c>
      <c r="B83" s="4"/>
      <c r="C83" s="6" t="s">
        <v>152</v>
      </c>
      <c r="D83" s="5"/>
      <c r="E83" s="5" t="s">
        <v>52</v>
      </c>
      <c r="F83" s="5" t="s">
        <v>62</v>
      </c>
      <c r="G83" s="5" t="s">
        <v>63</v>
      </c>
      <c r="H83" s="5" t="s">
        <v>54</v>
      </c>
      <c r="I83" s="5" t="s">
        <v>55</v>
      </c>
      <c r="J83" s="5" t="s">
        <v>74</v>
      </c>
      <c r="K83" s="5" t="s">
        <v>69</v>
      </c>
      <c r="L83" s="5" t="s">
        <v>60</v>
      </c>
      <c r="M83" s="5" t="s">
        <v>65</v>
      </c>
      <c r="N83" s="5" t="s">
        <v>75</v>
      </c>
      <c r="O83" s="5" t="s">
        <v>50</v>
      </c>
      <c r="P83" s="5" t="s">
        <v>64</v>
      </c>
      <c r="Q83" s="5" t="s">
        <v>66</v>
      </c>
      <c r="R83" s="5" t="s">
        <v>70</v>
      </c>
      <c r="S83" s="5" t="s">
        <v>67</v>
      </c>
      <c r="T83" s="1">
        <v>9</v>
      </c>
      <c r="U83" s="1">
        <v>67</v>
      </c>
      <c r="V83" s="1">
        <v>39</v>
      </c>
      <c r="AA83">
        <f t="shared" si="28"/>
        <v>81</v>
      </c>
      <c r="AB83">
        <f t="shared" si="27"/>
        <v>0</v>
      </c>
    </row>
    <row r="84" spans="1:28" ht="28.8" x14ac:dyDescent="0.3">
      <c r="A84" s="42">
        <v>69</v>
      </c>
      <c r="B84" s="4"/>
      <c r="C84" s="6" t="s">
        <v>139</v>
      </c>
      <c r="D84" s="5"/>
      <c r="E84" s="5" t="s">
        <v>61</v>
      </c>
      <c r="F84" s="5" t="s">
        <v>71</v>
      </c>
      <c r="G84" s="5" t="s">
        <v>57</v>
      </c>
      <c r="H84" s="5" t="s">
        <v>54</v>
      </c>
      <c r="I84" s="5" t="s">
        <v>208</v>
      </c>
      <c r="J84" s="5" t="s">
        <v>74</v>
      </c>
      <c r="K84" s="5" t="s">
        <v>69</v>
      </c>
      <c r="L84" s="5" t="s">
        <v>73</v>
      </c>
      <c r="M84" s="5" t="s">
        <v>65</v>
      </c>
      <c r="N84" s="5" t="s">
        <v>75</v>
      </c>
      <c r="O84" s="5" t="s">
        <v>53</v>
      </c>
      <c r="P84" s="5" t="s">
        <v>64</v>
      </c>
      <c r="Q84" s="5" t="s">
        <v>210</v>
      </c>
      <c r="R84" s="5" t="s">
        <v>48</v>
      </c>
      <c r="S84" s="5" t="s">
        <v>67</v>
      </c>
      <c r="T84" s="1">
        <v>9</v>
      </c>
      <c r="U84" s="1">
        <v>65</v>
      </c>
      <c r="V84" s="1">
        <v>37</v>
      </c>
      <c r="AA84">
        <f t="shared" si="28"/>
        <v>82</v>
      </c>
      <c r="AB84">
        <f t="shared" si="27"/>
        <v>0</v>
      </c>
    </row>
    <row r="85" spans="1:28" x14ac:dyDescent="0.3">
      <c r="A85" s="42">
        <v>70</v>
      </c>
      <c r="B85" s="4"/>
      <c r="C85" s="6" t="s">
        <v>195</v>
      </c>
      <c r="D85" s="5"/>
      <c r="E85" s="5" t="s">
        <v>61</v>
      </c>
      <c r="F85" s="5" t="s">
        <v>71</v>
      </c>
      <c r="G85" s="5" t="s">
        <v>57</v>
      </c>
      <c r="H85" s="5" t="s">
        <v>54</v>
      </c>
      <c r="I85" s="5" t="s">
        <v>208</v>
      </c>
      <c r="J85" s="5" t="s">
        <v>56</v>
      </c>
      <c r="K85" s="5" t="s">
        <v>69</v>
      </c>
      <c r="L85" s="5" t="s">
        <v>73</v>
      </c>
      <c r="M85" s="5" t="s">
        <v>65</v>
      </c>
      <c r="N85" s="5" t="s">
        <v>47</v>
      </c>
      <c r="O85" s="5" t="s">
        <v>50</v>
      </c>
      <c r="P85" s="5" t="s">
        <v>64</v>
      </c>
      <c r="Q85" s="5" t="s">
        <v>66</v>
      </c>
      <c r="R85" s="5" t="s">
        <v>48</v>
      </c>
      <c r="S85" s="5" t="s">
        <v>67</v>
      </c>
      <c r="T85" s="1">
        <v>9</v>
      </c>
      <c r="U85" s="1">
        <v>45</v>
      </c>
      <c r="V85" s="1">
        <v>37</v>
      </c>
      <c r="AA85">
        <f t="shared" si="28"/>
        <v>83</v>
      </c>
      <c r="AB85">
        <f t="shared" si="27"/>
        <v>0</v>
      </c>
    </row>
    <row r="86" spans="1:28" x14ac:dyDescent="0.3">
      <c r="A86" s="42">
        <v>71</v>
      </c>
      <c r="B86" s="4"/>
      <c r="C86" s="6" t="s">
        <v>156</v>
      </c>
      <c r="D86" s="5"/>
      <c r="E86" s="5" t="s">
        <v>52</v>
      </c>
      <c r="F86" s="5" t="s">
        <v>71</v>
      </c>
      <c r="G86" s="5" t="s">
        <v>57</v>
      </c>
      <c r="H86" s="5" t="s">
        <v>54</v>
      </c>
      <c r="I86" s="5" t="s">
        <v>55</v>
      </c>
      <c r="J86" s="5" t="s">
        <v>56</v>
      </c>
      <c r="K86" s="5" t="s">
        <v>59</v>
      </c>
      <c r="L86" s="5" t="s">
        <v>60</v>
      </c>
      <c r="M86" s="5" t="s">
        <v>58</v>
      </c>
      <c r="N86" s="5" t="s">
        <v>75</v>
      </c>
      <c r="O86" s="5" t="s">
        <v>53</v>
      </c>
      <c r="P86" s="5" t="s">
        <v>68</v>
      </c>
      <c r="Q86" s="5" t="s">
        <v>66</v>
      </c>
      <c r="R86" s="5" t="s">
        <v>48</v>
      </c>
      <c r="S86" s="5" t="s">
        <v>67</v>
      </c>
      <c r="T86" s="1">
        <v>9</v>
      </c>
      <c r="U86" s="1">
        <v>59</v>
      </c>
      <c r="V86" s="1">
        <v>36</v>
      </c>
      <c r="AA86">
        <f t="shared" si="28"/>
        <v>84</v>
      </c>
      <c r="AB86">
        <f t="shared" si="27"/>
        <v>0</v>
      </c>
    </row>
    <row r="87" spans="1:28" ht="28.8" x14ac:dyDescent="0.3">
      <c r="A87" s="42">
        <v>72</v>
      </c>
      <c r="B87" s="4"/>
      <c r="C87" s="6" t="s">
        <v>176</v>
      </c>
      <c r="D87" s="5"/>
      <c r="E87" s="5" t="s">
        <v>52</v>
      </c>
      <c r="F87" s="5" t="s">
        <v>71</v>
      </c>
      <c r="G87" s="5" t="s">
        <v>57</v>
      </c>
      <c r="H87" s="5" t="s">
        <v>51</v>
      </c>
      <c r="I87" s="5" t="s">
        <v>208</v>
      </c>
      <c r="J87" s="5" t="s">
        <v>74</v>
      </c>
      <c r="K87" s="5" t="s">
        <v>69</v>
      </c>
      <c r="L87" s="5" t="s">
        <v>73</v>
      </c>
      <c r="M87" s="5" t="s">
        <v>65</v>
      </c>
      <c r="N87" s="5" t="s">
        <v>75</v>
      </c>
      <c r="O87" s="5" t="s">
        <v>50</v>
      </c>
      <c r="P87" s="5" t="s">
        <v>64</v>
      </c>
      <c r="Q87" s="5" t="s">
        <v>66</v>
      </c>
      <c r="R87" s="5" t="s">
        <v>48</v>
      </c>
      <c r="S87" s="5" t="s">
        <v>67</v>
      </c>
      <c r="T87" s="1">
        <v>9</v>
      </c>
      <c r="U87" s="1">
        <v>59</v>
      </c>
      <c r="V87" s="1">
        <v>52</v>
      </c>
      <c r="AA87">
        <f t="shared" si="28"/>
        <v>85</v>
      </c>
      <c r="AB87">
        <f t="shared" si="27"/>
        <v>0</v>
      </c>
    </row>
    <row r="88" spans="1:28" ht="28.8" x14ac:dyDescent="0.3">
      <c r="A88" s="42">
        <v>73</v>
      </c>
      <c r="B88" s="4"/>
      <c r="C88" s="6" t="s">
        <v>15</v>
      </c>
      <c r="D88" s="5"/>
      <c r="E88" s="5" t="s">
        <v>61</v>
      </c>
      <c r="F88" s="5" t="s">
        <v>71</v>
      </c>
      <c r="G88" s="5" t="s">
        <v>57</v>
      </c>
      <c r="H88" s="5" t="s">
        <v>54</v>
      </c>
      <c r="I88" s="5" t="s">
        <v>55</v>
      </c>
      <c r="J88" s="5" t="s">
        <v>74</v>
      </c>
      <c r="K88" s="5" t="s">
        <v>69</v>
      </c>
      <c r="L88" s="5" t="s">
        <v>60</v>
      </c>
      <c r="M88" s="5" t="s">
        <v>58</v>
      </c>
      <c r="N88" s="5" t="s">
        <v>47</v>
      </c>
      <c r="O88" s="5" t="s">
        <v>53</v>
      </c>
      <c r="P88" s="5" t="s">
        <v>64</v>
      </c>
      <c r="Q88" s="5" t="s">
        <v>210</v>
      </c>
      <c r="R88" s="5" t="s">
        <v>48</v>
      </c>
      <c r="S88" s="5" t="s">
        <v>67</v>
      </c>
      <c r="T88" s="1">
        <v>9</v>
      </c>
      <c r="U88" s="1">
        <v>57</v>
      </c>
      <c r="V88" s="1">
        <v>35</v>
      </c>
      <c r="AA88">
        <f t="shared" si="28"/>
        <v>86</v>
      </c>
      <c r="AB88">
        <f t="shared" si="27"/>
        <v>0</v>
      </c>
    </row>
    <row r="89" spans="1:28" x14ac:dyDescent="0.3">
      <c r="A89" s="42">
        <v>74</v>
      </c>
      <c r="B89" s="4"/>
      <c r="C89" s="6" t="s">
        <v>178</v>
      </c>
      <c r="D89" s="5"/>
      <c r="E89" s="5" t="s">
        <v>61</v>
      </c>
      <c r="F89" s="5" t="s">
        <v>71</v>
      </c>
      <c r="G89" s="5" t="s">
        <v>63</v>
      </c>
      <c r="H89" s="5" t="s">
        <v>51</v>
      </c>
      <c r="I89" s="5" t="s">
        <v>208</v>
      </c>
      <c r="J89" s="5" t="s">
        <v>56</v>
      </c>
      <c r="K89" s="5" t="s">
        <v>59</v>
      </c>
      <c r="L89" s="5" t="s">
        <v>60</v>
      </c>
      <c r="M89" s="5" t="s">
        <v>65</v>
      </c>
      <c r="N89" s="5" t="s">
        <v>47</v>
      </c>
      <c r="O89" s="5" t="s">
        <v>53</v>
      </c>
      <c r="P89" s="5" t="s">
        <v>64</v>
      </c>
      <c r="Q89" s="5" t="s">
        <v>210</v>
      </c>
      <c r="R89" s="5" t="s">
        <v>70</v>
      </c>
      <c r="S89" s="5" t="s">
        <v>72</v>
      </c>
      <c r="T89" s="1">
        <v>9</v>
      </c>
      <c r="U89" s="1">
        <v>59</v>
      </c>
      <c r="V89" s="1">
        <v>33</v>
      </c>
      <c r="AA89">
        <f t="shared" si="28"/>
        <v>87</v>
      </c>
      <c r="AB89">
        <f t="shared" si="27"/>
        <v>0</v>
      </c>
    </row>
    <row r="90" spans="1:28" x14ac:dyDescent="0.3">
      <c r="A90" s="42">
        <v>75</v>
      </c>
      <c r="B90" s="4"/>
      <c r="C90" s="6" t="s">
        <v>130</v>
      </c>
      <c r="D90" s="5"/>
      <c r="E90" s="5" t="s">
        <v>52</v>
      </c>
      <c r="F90" s="5" t="s">
        <v>71</v>
      </c>
      <c r="G90" s="5" t="s">
        <v>63</v>
      </c>
      <c r="H90" s="5" t="s">
        <v>51</v>
      </c>
      <c r="I90" s="5" t="s">
        <v>208</v>
      </c>
      <c r="J90" s="5" t="s">
        <v>74</v>
      </c>
      <c r="K90" s="5" t="s">
        <v>69</v>
      </c>
      <c r="L90" s="5" t="s">
        <v>60</v>
      </c>
      <c r="M90" s="5" t="s">
        <v>65</v>
      </c>
      <c r="N90" s="5" t="s">
        <v>75</v>
      </c>
      <c r="O90" s="5" t="s">
        <v>50</v>
      </c>
      <c r="P90" s="5" t="s">
        <v>68</v>
      </c>
      <c r="Q90" s="5" t="s">
        <v>66</v>
      </c>
      <c r="R90" s="5" t="s">
        <v>70</v>
      </c>
      <c r="S90" s="5" t="s">
        <v>67</v>
      </c>
      <c r="T90" s="1">
        <v>9</v>
      </c>
      <c r="U90" s="1">
        <v>61</v>
      </c>
      <c r="V90" s="1">
        <v>31</v>
      </c>
      <c r="AA90">
        <f t="shared" si="28"/>
        <v>88</v>
      </c>
      <c r="AB90">
        <f t="shared" si="27"/>
        <v>0</v>
      </c>
    </row>
    <row r="91" spans="1:28" x14ac:dyDescent="0.3">
      <c r="A91" s="42">
        <v>76</v>
      </c>
      <c r="B91" s="4"/>
      <c r="C91" s="6" t="s">
        <v>126</v>
      </c>
      <c r="D91" s="5"/>
      <c r="E91" s="5" t="s">
        <v>52</v>
      </c>
      <c r="F91" s="5" t="s">
        <v>71</v>
      </c>
      <c r="G91" s="5" t="s">
        <v>63</v>
      </c>
      <c r="H91" s="5" t="s">
        <v>54</v>
      </c>
      <c r="I91" s="5" t="s">
        <v>208</v>
      </c>
      <c r="J91" s="5" t="s">
        <v>56</v>
      </c>
      <c r="K91" s="5" t="s">
        <v>59</v>
      </c>
      <c r="L91" s="5" t="s">
        <v>73</v>
      </c>
      <c r="M91" s="5" t="s">
        <v>65</v>
      </c>
      <c r="N91" s="5" t="s">
        <v>75</v>
      </c>
      <c r="O91" s="5" t="s">
        <v>53</v>
      </c>
      <c r="P91" s="5" t="s">
        <v>64</v>
      </c>
      <c r="Q91" s="5" t="s">
        <v>66</v>
      </c>
      <c r="R91" s="5" t="s">
        <v>70</v>
      </c>
      <c r="S91" s="5" t="s">
        <v>67</v>
      </c>
      <c r="T91" s="1">
        <v>9</v>
      </c>
      <c r="U91" s="1">
        <v>61</v>
      </c>
      <c r="V91" s="1">
        <v>67</v>
      </c>
      <c r="AA91">
        <f t="shared" si="28"/>
        <v>89</v>
      </c>
      <c r="AB91">
        <f t="shared" si="27"/>
        <v>0</v>
      </c>
    </row>
    <row r="92" spans="1:28" x14ac:dyDescent="0.3">
      <c r="A92" s="42">
        <v>77</v>
      </c>
      <c r="B92" s="4"/>
      <c r="C92" s="6" t="s">
        <v>194</v>
      </c>
      <c r="D92" s="5"/>
      <c r="E92" s="5" t="s">
        <v>52</v>
      </c>
      <c r="F92" s="5" t="s">
        <v>71</v>
      </c>
      <c r="G92" s="5" t="s">
        <v>57</v>
      </c>
      <c r="H92" s="5" t="s">
        <v>54</v>
      </c>
      <c r="I92" s="5" t="s">
        <v>55</v>
      </c>
      <c r="J92" s="5" t="s">
        <v>74</v>
      </c>
      <c r="K92" s="5" t="s">
        <v>69</v>
      </c>
      <c r="L92" s="5" t="s">
        <v>60</v>
      </c>
      <c r="M92" s="5" t="s">
        <v>65</v>
      </c>
      <c r="N92" s="5" t="s">
        <v>75</v>
      </c>
      <c r="O92" s="5" t="s">
        <v>50</v>
      </c>
      <c r="P92" s="5" t="s">
        <v>64</v>
      </c>
      <c r="Q92" s="5" t="s">
        <v>210</v>
      </c>
      <c r="R92" s="5" t="s">
        <v>70</v>
      </c>
      <c r="S92" s="5" t="s">
        <v>67</v>
      </c>
      <c r="T92" s="1">
        <v>8</v>
      </c>
      <c r="U92" s="1">
        <v>54</v>
      </c>
      <c r="V92" s="1">
        <v>44</v>
      </c>
      <c r="AA92">
        <f t="shared" si="28"/>
        <v>90</v>
      </c>
      <c r="AB92">
        <f t="shared" si="27"/>
        <v>0</v>
      </c>
    </row>
    <row r="93" spans="1:28" ht="28.8" x14ac:dyDescent="0.3">
      <c r="A93" s="42">
        <v>78</v>
      </c>
      <c r="B93" s="4"/>
      <c r="C93" s="6" t="s">
        <v>159</v>
      </c>
      <c r="D93" s="5"/>
      <c r="E93" s="5" t="s">
        <v>61</v>
      </c>
      <c r="F93" s="5" t="s">
        <v>71</v>
      </c>
      <c r="G93" s="5" t="s">
        <v>63</v>
      </c>
      <c r="H93" s="5" t="s">
        <v>54</v>
      </c>
      <c r="I93" s="5" t="s">
        <v>208</v>
      </c>
      <c r="J93" s="5" t="s">
        <v>74</v>
      </c>
      <c r="K93" s="5" t="s">
        <v>69</v>
      </c>
      <c r="L93" s="5" t="s">
        <v>73</v>
      </c>
      <c r="M93" s="5" t="s">
        <v>65</v>
      </c>
      <c r="N93" s="5" t="s">
        <v>47</v>
      </c>
      <c r="O93" s="5" t="s">
        <v>53</v>
      </c>
      <c r="P93" s="5" t="s">
        <v>64</v>
      </c>
      <c r="Q93" s="5" t="s">
        <v>210</v>
      </c>
      <c r="R93" s="5" t="s">
        <v>48</v>
      </c>
      <c r="S93" s="5" t="s">
        <v>72</v>
      </c>
      <c r="T93" s="1">
        <v>8</v>
      </c>
      <c r="U93" s="1">
        <v>51</v>
      </c>
      <c r="V93" s="1">
        <v>44</v>
      </c>
      <c r="AA93">
        <f t="shared" si="28"/>
        <v>91</v>
      </c>
      <c r="AB93">
        <f t="shared" si="27"/>
        <v>0</v>
      </c>
    </row>
    <row r="94" spans="1:28" ht="28.8" x14ac:dyDescent="0.3">
      <c r="A94" s="42">
        <v>79</v>
      </c>
      <c r="B94" s="4"/>
      <c r="C94" s="6" t="s">
        <v>114</v>
      </c>
      <c r="D94" s="5"/>
      <c r="E94" s="5" t="s">
        <v>61</v>
      </c>
      <c r="F94" s="5" t="s">
        <v>71</v>
      </c>
      <c r="G94" s="5" t="s">
        <v>57</v>
      </c>
      <c r="H94" s="5" t="s">
        <v>54</v>
      </c>
      <c r="I94" s="5" t="s">
        <v>208</v>
      </c>
      <c r="J94" s="5" t="s">
        <v>56</v>
      </c>
      <c r="K94" s="5" t="s">
        <v>69</v>
      </c>
      <c r="L94" s="5" t="s">
        <v>60</v>
      </c>
      <c r="M94" s="5" t="s">
        <v>58</v>
      </c>
      <c r="N94" s="5" t="s">
        <v>75</v>
      </c>
      <c r="O94" s="5" t="s">
        <v>50</v>
      </c>
      <c r="P94" s="5" t="s">
        <v>68</v>
      </c>
      <c r="Q94" s="5" t="s">
        <v>66</v>
      </c>
      <c r="R94" s="5" t="s">
        <v>70</v>
      </c>
      <c r="S94" s="5" t="s">
        <v>67</v>
      </c>
      <c r="T94" s="1">
        <v>8</v>
      </c>
      <c r="U94" s="1">
        <v>60</v>
      </c>
      <c r="V94" s="1">
        <v>45</v>
      </c>
      <c r="AA94">
        <f t="shared" si="28"/>
        <v>92</v>
      </c>
      <c r="AB94">
        <f t="shared" si="27"/>
        <v>0</v>
      </c>
    </row>
    <row r="95" spans="1:28" x14ac:dyDescent="0.3">
      <c r="A95" s="42">
        <v>80</v>
      </c>
      <c r="B95" s="4"/>
      <c r="C95" s="6" t="s">
        <v>79</v>
      </c>
      <c r="D95" s="5"/>
      <c r="E95" s="5" t="s">
        <v>52</v>
      </c>
      <c r="F95" s="5" t="s">
        <v>71</v>
      </c>
      <c r="G95" s="5" t="s">
        <v>57</v>
      </c>
      <c r="H95" s="5" t="s">
        <v>54</v>
      </c>
      <c r="I95" s="5" t="s">
        <v>208</v>
      </c>
      <c r="J95" s="5" t="s">
        <v>74</v>
      </c>
      <c r="K95" s="5" t="s">
        <v>69</v>
      </c>
      <c r="L95" s="5" t="s">
        <v>60</v>
      </c>
      <c r="M95" s="5" t="s">
        <v>65</v>
      </c>
      <c r="N95" s="5" t="s">
        <v>75</v>
      </c>
      <c r="O95" s="5" t="s">
        <v>50</v>
      </c>
      <c r="P95" s="5" t="s">
        <v>64</v>
      </c>
      <c r="Q95" s="5" t="s">
        <v>210</v>
      </c>
      <c r="R95" s="5" t="s">
        <v>48</v>
      </c>
      <c r="S95" s="5" t="s">
        <v>67</v>
      </c>
      <c r="T95" s="1">
        <v>8</v>
      </c>
      <c r="U95" s="1">
        <v>54</v>
      </c>
      <c r="V95" s="1">
        <v>45</v>
      </c>
      <c r="AA95">
        <f t="shared" si="28"/>
        <v>93</v>
      </c>
      <c r="AB95">
        <f t="shared" si="27"/>
        <v>0</v>
      </c>
    </row>
    <row r="96" spans="1:28" ht="28.8" x14ac:dyDescent="0.3">
      <c r="A96" s="42">
        <v>81</v>
      </c>
      <c r="B96" s="4"/>
      <c r="C96" s="6" t="s">
        <v>177</v>
      </c>
      <c r="D96" s="5"/>
      <c r="E96" s="5" t="s">
        <v>52</v>
      </c>
      <c r="F96" s="5" t="s">
        <v>71</v>
      </c>
      <c r="G96" s="5" t="s">
        <v>57</v>
      </c>
      <c r="H96" s="5" t="s">
        <v>54</v>
      </c>
      <c r="I96" s="5" t="s">
        <v>208</v>
      </c>
      <c r="J96" s="5" t="s">
        <v>74</v>
      </c>
      <c r="K96" s="5" t="s">
        <v>59</v>
      </c>
      <c r="L96" s="5" t="s">
        <v>60</v>
      </c>
      <c r="M96" s="5" t="s">
        <v>65</v>
      </c>
      <c r="N96" s="5" t="s">
        <v>75</v>
      </c>
      <c r="O96" s="5" t="s">
        <v>53</v>
      </c>
      <c r="P96" s="5" t="s">
        <v>64</v>
      </c>
      <c r="Q96" s="5" t="s">
        <v>210</v>
      </c>
      <c r="R96" s="5" t="s">
        <v>48</v>
      </c>
      <c r="S96" s="5" t="s">
        <v>67</v>
      </c>
      <c r="T96" s="1">
        <v>8</v>
      </c>
      <c r="U96" s="1">
        <v>66</v>
      </c>
      <c r="V96" s="1">
        <v>45</v>
      </c>
      <c r="AA96">
        <f t="shared" si="28"/>
        <v>94</v>
      </c>
      <c r="AB96">
        <f t="shared" si="27"/>
        <v>0</v>
      </c>
    </row>
    <row r="97" spans="1:28" x14ac:dyDescent="0.3">
      <c r="A97" s="42">
        <v>82</v>
      </c>
      <c r="B97" s="4"/>
      <c r="C97" s="6" t="s">
        <v>181</v>
      </c>
      <c r="D97" s="5"/>
      <c r="E97" s="5" t="s">
        <v>52</v>
      </c>
      <c r="F97" s="5" t="s">
        <v>71</v>
      </c>
      <c r="G97" s="5" t="s">
        <v>63</v>
      </c>
      <c r="H97" s="5" t="s">
        <v>54</v>
      </c>
      <c r="I97" s="5" t="s">
        <v>208</v>
      </c>
      <c r="J97" s="5" t="s">
        <v>74</v>
      </c>
      <c r="K97" s="5" t="s">
        <v>59</v>
      </c>
      <c r="L97" s="5" t="s">
        <v>60</v>
      </c>
      <c r="M97" s="5" t="s">
        <v>65</v>
      </c>
      <c r="N97" s="5" t="s">
        <v>75</v>
      </c>
      <c r="O97" s="5" t="s">
        <v>53</v>
      </c>
      <c r="P97" s="5" t="s">
        <v>64</v>
      </c>
      <c r="Q97" s="5" t="s">
        <v>210</v>
      </c>
      <c r="R97" s="5" t="s">
        <v>48</v>
      </c>
      <c r="S97" s="5" t="s">
        <v>72</v>
      </c>
      <c r="T97" s="1">
        <v>8</v>
      </c>
      <c r="U97" s="1">
        <v>60</v>
      </c>
      <c r="V97" s="1">
        <v>45</v>
      </c>
      <c r="AA97">
        <f t="shared" si="28"/>
        <v>95</v>
      </c>
      <c r="AB97">
        <f t="shared" si="27"/>
        <v>0</v>
      </c>
    </row>
    <row r="98" spans="1:28" ht="28.8" x14ac:dyDescent="0.3">
      <c r="A98" s="42">
        <v>83</v>
      </c>
      <c r="B98" s="4"/>
      <c r="C98" s="6" t="s">
        <v>41</v>
      </c>
      <c r="D98" s="5"/>
      <c r="E98" s="5" t="s">
        <v>52</v>
      </c>
      <c r="F98" s="5" t="s">
        <v>71</v>
      </c>
      <c r="G98" s="5" t="s">
        <v>57</v>
      </c>
      <c r="H98" s="5" t="s">
        <v>54</v>
      </c>
      <c r="I98" s="5" t="s">
        <v>55</v>
      </c>
      <c r="J98" s="5" t="s">
        <v>74</v>
      </c>
      <c r="K98" s="5" t="s">
        <v>59</v>
      </c>
      <c r="L98" s="5" t="s">
        <v>73</v>
      </c>
      <c r="M98" s="5" t="s">
        <v>65</v>
      </c>
      <c r="N98" s="5" t="s">
        <v>75</v>
      </c>
      <c r="O98" s="5" t="s">
        <v>53</v>
      </c>
      <c r="P98" s="5" t="s">
        <v>64</v>
      </c>
      <c r="Q98" s="5" t="s">
        <v>210</v>
      </c>
      <c r="R98" s="5" t="s">
        <v>48</v>
      </c>
      <c r="S98" s="5" t="s">
        <v>67</v>
      </c>
      <c r="T98" s="1">
        <v>8</v>
      </c>
      <c r="U98" s="1">
        <v>59</v>
      </c>
      <c r="V98" s="1">
        <v>43</v>
      </c>
      <c r="AA98">
        <f t="shared" si="28"/>
        <v>96</v>
      </c>
      <c r="AB98">
        <f t="shared" si="27"/>
        <v>0</v>
      </c>
    </row>
    <row r="99" spans="1:28" x14ac:dyDescent="0.3">
      <c r="A99" s="42">
        <v>84</v>
      </c>
      <c r="B99" s="4"/>
      <c r="C99" s="6" t="s">
        <v>26</v>
      </c>
      <c r="D99" s="5"/>
      <c r="E99" s="5" t="s">
        <v>61</v>
      </c>
      <c r="F99" s="5" t="s">
        <v>71</v>
      </c>
      <c r="G99" s="5" t="s">
        <v>57</v>
      </c>
      <c r="H99" s="5" t="s">
        <v>54</v>
      </c>
      <c r="I99" s="5" t="s">
        <v>55</v>
      </c>
      <c r="J99" s="5" t="s">
        <v>74</v>
      </c>
      <c r="K99" s="5" t="s">
        <v>59</v>
      </c>
      <c r="L99" s="5" t="s">
        <v>60</v>
      </c>
      <c r="M99" s="5" t="s">
        <v>58</v>
      </c>
      <c r="N99" s="5" t="s">
        <v>47</v>
      </c>
      <c r="O99" s="5" t="s">
        <v>53</v>
      </c>
      <c r="P99" s="5" t="s">
        <v>64</v>
      </c>
      <c r="Q99" s="5" t="s">
        <v>66</v>
      </c>
      <c r="R99" s="5" t="s">
        <v>48</v>
      </c>
      <c r="S99" s="5" t="s">
        <v>72</v>
      </c>
      <c r="T99" s="1">
        <v>8</v>
      </c>
      <c r="U99" s="1">
        <v>54</v>
      </c>
      <c r="V99" s="1">
        <v>46</v>
      </c>
      <c r="AA99">
        <f t="shared" si="28"/>
        <v>97</v>
      </c>
      <c r="AB99">
        <f t="shared" si="27"/>
        <v>0</v>
      </c>
    </row>
    <row r="100" spans="1:28" ht="28.8" x14ac:dyDescent="0.3">
      <c r="A100" s="42">
        <v>85</v>
      </c>
      <c r="B100" s="4"/>
      <c r="C100" s="6" t="s">
        <v>24</v>
      </c>
      <c r="D100" s="5"/>
      <c r="E100" s="5" t="s">
        <v>61</v>
      </c>
      <c r="F100" s="5" t="s">
        <v>71</v>
      </c>
      <c r="G100" s="5" t="s">
        <v>63</v>
      </c>
      <c r="H100" s="5" t="s">
        <v>54</v>
      </c>
      <c r="I100" s="5" t="s">
        <v>208</v>
      </c>
      <c r="J100" s="5" t="s">
        <v>74</v>
      </c>
      <c r="K100" s="5" t="s">
        <v>59</v>
      </c>
      <c r="L100" s="5" t="s">
        <v>60</v>
      </c>
      <c r="M100" s="5" t="s">
        <v>65</v>
      </c>
      <c r="N100" s="5" t="s">
        <v>75</v>
      </c>
      <c r="O100" s="5" t="s">
        <v>50</v>
      </c>
      <c r="P100" s="5" t="s">
        <v>64</v>
      </c>
      <c r="Q100" s="5" t="s">
        <v>210</v>
      </c>
      <c r="R100" s="5" t="s">
        <v>70</v>
      </c>
      <c r="S100" s="5" t="s">
        <v>67</v>
      </c>
      <c r="T100" s="1">
        <v>8</v>
      </c>
      <c r="U100" s="1">
        <v>56</v>
      </c>
      <c r="V100" s="1">
        <v>42</v>
      </c>
      <c r="AA100">
        <f t="shared" si="28"/>
        <v>98</v>
      </c>
      <c r="AB100">
        <f t="shared" si="27"/>
        <v>0</v>
      </c>
    </row>
    <row r="101" spans="1:28" x14ac:dyDescent="0.3">
      <c r="A101" s="42">
        <v>86</v>
      </c>
      <c r="B101" s="4"/>
      <c r="C101" s="6" t="s">
        <v>37</v>
      </c>
      <c r="D101" s="5"/>
      <c r="E101" s="5" t="s">
        <v>52</v>
      </c>
      <c r="F101" s="5" t="s">
        <v>71</v>
      </c>
      <c r="G101" s="5" t="s">
        <v>57</v>
      </c>
      <c r="H101" s="5" t="s">
        <v>54</v>
      </c>
      <c r="I101" s="5" t="s">
        <v>208</v>
      </c>
      <c r="J101" s="5" t="s">
        <v>74</v>
      </c>
      <c r="K101" s="5" t="s">
        <v>69</v>
      </c>
      <c r="L101" s="5" t="s">
        <v>60</v>
      </c>
      <c r="M101" s="5" t="s">
        <v>65</v>
      </c>
      <c r="N101" s="5" t="s">
        <v>75</v>
      </c>
      <c r="O101" s="5" t="s">
        <v>50</v>
      </c>
      <c r="P101" s="5" t="s">
        <v>64</v>
      </c>
      <c r="Q101" s="5" t="s">
        <v>210</v>
      </c>
      <c r="R101" s="5" t="s">
        <v>48</v>
      </c>
      <c r="S101" s="5" t="s">
        <v>67</v>
      </c>
      <c r="T101" s="1">
        <v>8</v>
      </c>
      <c r="U101" s="1">
        <v>59</v>
      </c>
      <c r="V101" s="1">
        <v>46</v>
      </c>
      <c r="AA101">
        <f t="shared" si="28"/>
        <v>99</v>
      </c>
      <c r="AB101">
        <f t="shared" si="27"/>
        <v>0</v>
      </c>
    </row>
    <row r="102" spans="1:28" ht="28.8" x14ac:dyDescent="0.3">
      <c r="A102" s="42">
        <v>87</v>
      </c>
      <c r="B102" s="4"/>
      <c r="C102" s="6" t="s">
        <v>81</v>
      </c>
      <c r="D102" s="5"/>
      <c r="E102" s="5" t="s">
        <v>52</v>
      </c>
      <c r="F102" s="5" t="s">
        <v>71</v>
      </c>
      <c r="G102" s="5" t="s">
        <v>57</v>
      </c>
      <c r="H102" s="5" t="s">
        <v>51</v>
      </c>
      <c r="I102" s="5" t="s">
        <v>55</v>
      </c>
      <c r="J102" s="5" t="s">
        <v>74</v>
      </c>
      <c r="K102" s="5" t="s">
        <v>69</v>
      </c>
      <c r="L102" s="5" t="s">
        <v>73</v>
      </c>
      <c r="M102" s="5" t="s">
        <v>65</v>
      </c>
      <c r="N102" s="5" t="s">
        <v>47</v>
      </c>
      <c r="O102" s="5" t="s">
        <v>50</v>
      </c>
      <c r="P102" s="5" t="s">
        <v>64</v>
      </c>
      <c r="Q102" s="5" t="s">
        <v>210</v>
      </c>
      <c r="R102" s="5" t="s">
        <v>48</v>
      </c>
      <c r="S102" s="5" t="s">
        <v>67</v>
      </c>
      <c r="T102" s="1">
        <v>8</v>
      </c>
      <c r="U102" s="1">
        <v>66</v>
      </c>
      <c r="V102" s="1">
        <v>42</v>
      </c>
      <c r="AA102">
        <f t="shared" si="28"/>
        <v>100</v>
      </c>
      <c r="AB102">
        <f t="shared" si="27"/>
        <v>0</v>
      </c>
    </row>
    <row r="103" spans="1:28" x14ac:dyDescent="0.3">
      <c r="A103" s="42">
        <v>88</v>
      </c>
      <c r="B103" s="4"/>
      <c r="C103" s="6" t="s">
        <v>44</v>
      </c>
      <c r="D103" s="5"/>
      <c r="E103" s="5" t="s">
        <v>52</v>
      </c>
      <c r="F103" s="5" t="s">
        <v>71</v>
      </c>
      <c r="G103" s="5" t="s">
        <v>63</v>
      </c>
      <c r="H103" s="5" t="s">
        <v>54</v>
      </c>
      <c r="I103" s="5" t="s">
        <v>208</v>
      </c>
      <c r="J103" s="5" t="s">
        <v>56</v>
      </c>
      <c r="K103" s="5" t="s">
        <v>69</v>
      </c>
      <c r="L103" s="5" t="s">
        <v>60</v>
      </c>
      <c r="M103" s="5" t="s">
        <v>58</v>
      </c>
      <c r="N103" s="5" t="s">
        <v>75</v>
      </c>
      <c r="O103" s="5" t="s">
        <v>53</v>
      </c>
      <c r="P103" s="5" t="s">
        <v>64</v>
      </c>
      <c r="Q103" s="5" t="s">
        <v>210</v>
      </c>
      <c r="R103" s="5" t="s">
        <v>70</v>
      </c>
      <c r="S103" s="5" t="s">
        <v>72</v>
      </c>
      <c r="T103" s="1">
        <v>8</v>
      </c>
      <c r="U103" s="1">
        <v>72</v>
      </c>
      <c r="V103" s="1">
        <v>42</v>
      </c>
      <c r="AA103">
        <f t="shared" si="28"/>
        <v>101</v>
      </c>
      <c r="AB103">
        <f t="shared" si="27"/>
        <v>0</v>
      </c>
    </row>
    <row r="104" spans="1:28" ht="28.8" x14ac:dyDescent="0.3">
      <c r="A104" s="42">
        <v>89</v>
      </c>
      <c r="B104" s="4"/>
      <c r="C104" s="6" t="s">
        <v>27</v>
      </c>
      <c r="D104" s="5"/>
      <c r="E104" s="5" t="s">
        <v>52</v>
      </c>
      <c r="F104" s="5" t="s">
        <v>71</v>
      </c>
      <c r="G104" s="5" t="s">
        <v>57</v>
      </c>
      <c r="H104" s="5" t="s">
        <v>54</v>
      </c>
      <c r="I104" s="5" t="s">
        <v>208</v>
      </c>
      <c r="J104" s="5" t="s">
        <v>56</v>
      </c>
      <c r="K104" s="5" t="s">
        <v>69</v>
      </c>
      <c r="L104" s="5" t="s">
        <v>73</v>
      </c>
      <c r="M104" s="5" t="s">
        <v>58</v>
      </c>
      <c r="N104" s="5" t="s">
        <v>75</v>
      </c>
      <c r="O104" s="5" t="s">
        <v>53</v>
      </c>
      <c r="P104" s="5" t="s">
        <v>64</v>
      </c>
      <c r="Q104" s="5" t="s">
        <v>210</v>
      </c>
      <c r="R104" s="5" t="s">
        <v>48</v>
      </c>
      <c r="S104" s="5" t="s">
        <v>67</v>
      </c>
      <c r="T104" s="1">
        <v>8</v>
      </c>
      <c r="U104" s="1">
        <v>67</v>
      </c>
      <c r="V104" s="1">
        <v>47</v>
      </c>
      <c r="AA104">
        <f t="shared" si="28"/>
        <v>102</v>
      </c>
      <c r="AB104">
        <f t="shared" si="27"/>
        <v>0</v>
      </c>
    </row>
    <row r="105" spans="1:28" ht="28.8" x14ac:dyDescent="0.3">
      <c r="A105" s="42">
        <v>90</v>
      </c>
      <c r="B105" s="4"/>
      <c r="C105" s="6" t="s">
        <v>92</v>
      </c>
      <c r="D105" s="5"/>
      <c r="E105" s="5" t="s">
        <v>61</v>
      </c>
      <c r="F105" s="5" t="s">
        <v>71</v>
      </c>
      <c r="G105" s="5" t="s">
        <v>57</v>
      </c>
      <c r="H105" s="5" t="s">
        <v>54</v>
      </c>
      <c r="I105" s="5" t="s">
        <v>208</v>
      </c>
      <c r="J105" s="5" t="s">
        <v>74</v>
      </c>
      <c r="K105" s="5" t="s">
        <v>69</v>
      </c>
      <c r="L105" s="5" t="s">
        <v>73</v>
      </c>
      <c r="M105" s="5" t="s">
        <v>58</v>
      </c>
      <c r="N105" s="5" t="s">
        <v>75</v>
      </c>
      <c r="O105" s="5" t="s">
        <v>50</v>
      </c>
      <c r="P105" s="5" t="s">
        <v>64</v>
      </c>
      <c r="Q105" s="5" t="s">
        <v>66</v>
      </c>
      <c r="R105" s="5" t="s">
        <v>48</v>
      </c>
      <c r="S105" s="5" t="s">
        <v>67</v>
      </c>
      <c r="T105" s="1">
        <v>8</v>
      </c>
      <c r="U105" s="1">
        <v>58</v>
      </c>
      <c r="V105" s="1">
        <v>41</v>
      </c>
      <c r="AA105">
        <f t="shared" si="28"/>
        <v>103</v>
      </c>
      <c r="AB105">
        <f t="shared" si="27"/>
        <v>0</v>
      </c>
    </row>
    <row r="106" spans="1:28" x14ac:dyDescent="0.3">
      <c r="A106" s="42">
        <v>91</v>
      </c>
      <c r="B106" s="4"/>
      <c r="C106" s="6" t="s">
        <v>100</v>
      </c>
      <c r="D106" s="5"/>
      <c r="E106" s="5" t="s">
        <v>61</v>
      </c>
      <c r="F106" s="5" t="s">
        <v>62</v>
      </c>
      <c r="G106" s="5" t="s">
        <v>63</v>
      </c>
      <c r="H106" s="5" t="s">
        <v>54</v>
      </c>
      <c r="I106" s="5" t="s">
        <v>208</v>
      </c>
      <c r="J106" s="5" t="s">
        <v>56</v>
      </c>
      <c r="K106" s="5" t="s">
        <v>59</v>
      </c>
      <c r="L106" s="5" t="s">
        <v>60</v>
      </c>
      <c r="M106" s="5" t="s">
        <v>58</v>
      </c>
      <c r="N106" s="5" t="s">
        <v>75</v>
      </c>
      <c r="O106" s="5" t="s">
        <v>53</v>
      </c>
      <c r="P106" s="5" t="s">
        <v>64</v>
      </c>
      <c r="Q106" s="5" t="s">
        <v>210</v>
      </c>
      <c r="R106" s="5" t="s">
        <v>70</v>
      </c>
      <c r="S106" s="5" t="s">
        <v>67</v>
      </c>
      <c r="T106" s="1">
        <v>8</v>
      </c>
      <c r="U106" s="1">
        <v>63</v>
      </c>
      <c r="V106" s="1">
        <v>41</v>
      </c>
      <c r="AA106">
        <f t="shared" si="28"/>
        <v>104</v>
      </c>
      <c r="AB106">
        <f t="shared" si="27"/>
        <v>0</v>
      </c>
    </row>
    <row r="107" spans="1:28" ht="28.8" x14ac:dyDescent="0.3">
      <c r="A107" s="42">
        <v>92</v>
      </c>
      <c r="B107" s="4"/>
      <c r="C107" s="6" t="s">
        <v>10</v>
      </c>
      <c r="D107" s="5"/>
      <c r="E107" s="5" t="s">
        <v>61</v>
      </c>
      <c r="F107" s="5" t="s">
        <v>62</v>
      </c>
      <c r="G107" s="5" t="s">
        <v>57</v>
      </c>
      <c r="H107" s="5" t="s">
        <v>51</v>
      </c>
      <c r="I107" s="5" t="s">
        <v>55</v>
      </c>
      <c r="J107" s="5" t="s">
        <v>56</v>
      </c>
      <c r="K107" s="5" t="s">
        <v>59</v>
      </c>
      <c r="L107" s="5" t="s">
        <v>73</v>
      </c>
      <c r="M107" s="5" t="s">
        <v>58</v>
      </c>
      <c r="N107" s="5" t="s">
        <v>75</v>
      </c>
      <c r="O107" s="5" t="s">
        <v>53</v>
      </c>
      <c r="P107" s="5" t="s">
        <v>68</v>
      </c>
      <c r="Q107" s="5" t="s">
        <v>66</v>
      </c>
      <c r="R107" s="5" t="s">
        <v>48</v>
      </c>
      <c r="S107" s="5" t="s">
        <v>72</v>
      </c>
      <c r="T107" s="1">
        <v>8</v>
      </c>
      <c r="U107" s="1">
        <v>59</v>
      </c>
      <c r="V107" s="1">
        <v>41</v>
      </c>
      <c r="AA107">
        <f t="shared" si="28"/>
        <v>105</v>
      </c>
      <c r="AB107">
        <f t="shared" si="27"/>
        <v>0</v>
      </c>
    </row>
    <row r="108" spans="1:28" ht="28.8" x14ac:dyDescent="0.3">
      <c r="A108" s="42">
        <v>93</v>
      </c>
      <c r="B108" s="4"/>
      <c r="C108" s="6" t="s">
        <v>153</v>
      </c>
      <c r="D108" s="5"/>
      <c r="E108" s="5" t="s">
        <v>61</v>
      </c>
      <c r="F108" s="5" t="s">
        <v>71</v>
      </c>
      <c r="G108" s="5" t="s">
        <v>57</v>
      </c>
      <c r="H108" s="5" t="s">
        <v>54</v>
      </c>
      <c r="I108" s="5" t="s">
        <v>208</v>
      </c>
      <c r="J108" s="5" t="s">
        <v>74</v>
      </c>
      <c r="K108" s="5" t="s">
        <v>59</v>
      </c>
      <c r="L108" s="5" t="s">
        <v>60</v>
      </c>
      <c r="M108" s="5" t="s">
        <v>58</v>
      </c>
      <c r="N108" s="5" t="s">
        <v>75</v>
      </c>
      <c r="O108" s="5" t="s">
        <v>53</v>
      </c>
      <c r="P108" s="5" t="s">
        <v>64</v>
      </c>
      <c r="Q108" s="5" t="s">
        <v>66</v>
      </c>
      <c r="R108" s="5" t="s">
        <v>70</v>
      </c>
      <c r="S108" s="5" t="s">
        <v>67</v>
      </c>
      <c r="T108" s="1">
        <v>8</v>
      </c>
      <c r="U108" s="1">
        <v>56</v>
      </c>
      <c r="V108" s="1">
        <v>41</v>
      </c>
      <c r="AA108">
        <f t="shared" si="28"/>
        <v>106</v>
      </c>
      <c r="AB108">
        <f t="shared" si="27"/>
        <v>0</v>
      </c>
    </row>
    <row r="109" spans="1:28" x14ac:dyDescent="0.3">
      <c r="A109" s="42">
        <v>94</v>
      </c>
      <c r="B109" s="4"/>
      <c r="C109" s="6" t="s">
        <v>190</v>
      </c>
      <c r="D109" s="5"/>
      <c r="E109" s="5" t="s">
        <v>52</v>
      </c>
      <c r="F109" s="5" t="s">
        <v>71</v>
      </c>
      <c r="G109" s="5" t="s">
        <v>63</v>
      </c>
      <c r="H109" s="5" t="s">
        <v>54</v>
      </c>
      <c r="I109" s="5" t="s">
        <v>208</v>
      </c>
      <c r="J109" s="5" t="s">
        <v>74</v>
      </c>
      <c r="K109" s="5" t="s">
        <v>59</v>
      </c>
      <c r="L109" s="5" t="s">
        <v>73</v>
      </c>
      <c r="M109" s="5" t="s">
        <v>65</v>
      </c>
      <c r="N109" s="5" t="s">
        <v>75</v>
      </c>
      <c r="O109" s="5" t="s">
        <v>53</v>
      </c>
      <c r="P109" s="5" t="s">
        <v>64</v>
      </c>
      <c r="Q109" s="5" t="s">
        <v>66</v>
      </c>
      <c r="R109" s="5" t="s">
        <v>70</v>
      </c>
      <c r="S109" s="5" t="s">
        <v>67</v>
      </c>
      <c r="T109" s="1">
        <v>8</v>
      </c>
      <c r="U109" s="1">
        <v>62</v>
      </c>
      <c r="V109" s="1">
        <v>40</v>
      </c>
      <c r="AA109">
        <f t="shared" si="28"/>
        <v>107</v>
      </c>
      <c r="AB109">
        <f t="shared" si="27"/>
        <v>0</v>
      </c>
    </row>
    <row r="110" spans="1:28" x14ac:dyDescent="0.3">
      <c r="A110" s="42">
        <v>95</v>
      </c>
      <c r="B110" s="4"/>
      <c r="C110" s="6" t="s">
        <v>93</v>
      </c>
      <c r="D110" s="5"/>
      <c r="E110" s="5" t="s">
        <v>52</v>
      </c>
      <c r="F110" s="5" t="s">
        <v>71</v>
      </c>
      <c r="G110" s="5" t="s">
        <v>57</v>
      </c>
      <c r="H110" s="5" t="s">
        <v>54</v>
      </c>
      <c r="I110" s="5" t="s">
        <v>208</v>
      </c>
      <c r="J110" s="5" t="s">
        <v>56</v>
      </c>
      <c r="K110" s="5" t="s">
        <v>59</v>
      </c>
      <c r="L110" s="5" t="s">
        <v>73</v>
      </c>
      <c r="M110" s="5" t="s">
        <v>58</v>
      </c>
      <c r="N110" s="5" t="s">
        <v>75</v>
      </c>
      <c r="O110" s="5" t="s">
        <v>53</v>
      </c>
      <c r="P110" s="5" t="s">
        <v>64</v>
      </c>
      <c r="Q110" s="5" t="s">
        <v>66</v>
      </c>
      <c r="R110" s="5" t="s">
        <v>48</v>
      </c>
      <c r="S110" s="5" t="s">
        <v>67</v>
      </c>
      <c r="T110" s="1">
        <v>8</v>
      </c>
      <c r="U110" s="1">
        <v>63</v>
      </c>
      <c r="V110" s="1">
        <v>39</v>
      </c>
      <c r="AA110">
        <f t="shared" si="28"/>
        <v>108</v>
      </c>
      <c r="AB110">
        <f t="shared" si="27"/>
        <v>0</v>
      </c>
    </row>
    <row r="111" spans="1:28" ht="28.8" x14ac:dyDescent="0.3">
      <c r="A111" s="42">
        <v>96</v>
      </c>
      <c r="B111" s="4"/>
      <c r="C111" s="6" t="s">
        <v>87</v>
      </c>
      <c r="D111" s="5"/>
      <c r="E111" s="5" t="s">
        <v>61</v>
      </c>
      <c r="F111" s="5" t="s">
        <v>62</v>
      </c>
      <c r="G111" s="5" t="s">
        <v>57</v>
      </c>
      <c r="H111" s="5" t="s">
        <v>51</v>
      </c>
      <c r="I111" s="5" t="s">
        <v>208</v>
      </c>
      <c r="J111" s="5" t="s">
        <v>74</v>
      </c>
      <c r="K111" s="5" t="s">
        <v>69</v>
      </c>
      <c r="L111" s="5" t="s">
        <v>73</v>
      </c>
      <c r="M111" s="5" t="s">
        <v>65</v>
      </c>
      <c r="N111" s="5" t="s">
        <v>47</v>
      </c>
      <c r="O111" s="5" t="s">
        <v>53</v>
      </c>
      <c r="P111" s="5" t="s">
        <v>64</v>
      </c>
      <c r="Q111" s="5" t="s">
        <v>66</v>
      </c>
      <c r="R111" s="5" t="s">
        <v>70</v>
      </c>
      <c r="S111" s="5" t="s">
        <v>67</v>
      </c>
      <c r="T111" s="1">
        <v>8</v>
      </c>
      <c r="U111" s="1">
        <v>50</v>
      </c>
      <c r="V111" s="1">
        <v>39</v>
      </c>
      <c r="AA111">
        <f t="shared" si="28"/>
        <v>109</v>
      </c>
      <c r="AB111">
        <f t="shared" si="27"/>
        <v>0</v>
      </c>
    </row>
    <row r="112" spans="1:28" ht="28.8" x14ac:dyDescent="0.3">
      <c r="A112" s="42">
        <v>97</v>
      </c>
      <c r="B112" s="4"/>
      <c r="C112" s="6" t="s">
        <v>115</v>
      </c>
      <c r="D112" s="5"/>
      <c r="E112" s="5" t="s">
        <v>61</v>
      </c>
      <c r="F112" s="5" t="s">
        <v>62</v>
      </c>
      <c r="G112" s="5" t="s">
        <v>57</v>
      </c>
      <c r="H112" s="5" t="s">
        <v>54</v>
      </c>
      <c r="I112" s="5" t="s">
        <v>208</v>
      </c>
      <c r="J112" s="5" t="s">
        <v>74</v>
      </c>
      <c r="K112" s="5" t="s">
        <v>59</v>
      </c>
      <c r="L112" s="5" t="s">
        <v>73</v>
      </c>
      <c r="M112" s="5" t="s">
        <v>65</v>
      </c>
      <c r="N112" s="5" t="s">
        <v>75</v>
      </c>
      <c r="O112" s="5" t="s">
        <v>53</v>
      </c>
      <c r="P112" s="5" t="s">
        <v>64</v>
      </c>
      <c r="Q112" s="5" t="s">
        <v>66</v>
      </c>
      <c r="R112" s="5" t="s">
        <v>48</v>
      </c>
      <c r="S112" s="5" t="s">
        <v>67</v>
      </c>
      <c r="T112" s="1">
        <v>8</v>
      </c>
      <c r="U112" s="1">
        <v>57</v>
      </c>
      <c r="V112" s="1">
        <v>39</v>
      </c>
      <c r="AA112">
        <f t="shared" si="28"/>
        <v>110</v>
      </c>
      <c r="AB112">
        <f t="shared" si="27"/>
        <v>0</v>
      </c>
    </row>
    <row r="113" spans="1:28" ht="28.8" x14ac:dyDescent="0.3">
      <c r="A113" s="42">
        <v>98</v>
      </c>
      <c r="B113" s="4"/>
      <c r="C113" s="6" t="s">
        <v>165</v>
      </c>
      <c r="D113" s="5"/>
      <c r="E113" s="5" t="s">
        <v>61</v>
      </c>
      <c r="F113" s="5" t="s">
        <v>62</v>
      </c>
      <c r="G113" s="5" t="s">
        <v>63</v>
      </c>
      <c r="H113" s="5" t="s">
        <v>51</v>
      </c>
      <c r="I113" s="5" t="s">
        <v>55</v>
      </c>
      <c r="J113" s="5" t="s">
        <v>56</v>
      </c>
      <c r="K113" s="5" t="s">
        <v>59</v>
      </c>
      <c r="L113" s="5" t="s">
        <v>60</v>
      </c>
      <c r="M113" s="5" t="s">
        <v>58</v>
      </c>
      <c r="N113" s="5" t="s">
        <v>47</v>
      </c>
      <c r="O113" s="5" t="s">
        <v>53</v>
      </c>
      <c r="P113" s="5" t="s">
        <v>68</v>
      </c>
      <c r="Q113" s="5" t="s">
        <v>66</v>
      </c>
      <c r="R113" s="5" t="s">
        <v>70</v>
      </c>
      <c r="S113" s="5" t="s">
        <v>72</v>
      </c>
      <c r="T113" s="1">
        <v>8</v>
      </c>
      <c r="U113" s="1">
        <v>54</v>
      </c>
      <c r="V113" s="1">
        <v>38</v>
      </c>
      <c r="AA113">
        <f t="shared" si="28"/>
        <v>111</v>
      </c>
      <c r="AB113">
        <f t="shared" si="27"/>
        <v>0</v>
      </c>
    </row>
    <row r="114" spans="1:28" x14ac:dyDescent="0.3">
      <c r="A114" s="42">
        <v>99</v>
      </c>
      <c r="B114" s="4"/>
      <c r="C114" s="6" t="s">
        <v>189</v>
      </c>
      <c r="D114" s="5"/>
      <c r="E114" s="5" t="s">
        <v>61</v>
      </c>
      <c r="F114" s="5" t="s">
        <v>62</v>
      </c>
      <c r="G114" s="5" t="s">
        <v>57</v>
      </c>
      <c r="H114" s="5" t="s">
        <v>51</v>
      </c>
      <c r="I114" s="5" t="s">
        <v>55</v>
      </c>
      <c r="J114" s="5" t="s">
        <v>74</v>
      </c>
      <c r="K114" s="5" t="s">
        <v>59</v>
      </c>
      <c r="L114" s="5" t="s">
        <v>60</v>
      </c>
      <c r="M114" s="5" t="s">
        <v>58</v>
      </c>
      <c r="N114" s="5" t="s">
        <v>75</v>
      </c>
      <c r="O114" s="5" t="s">
        <v>53</v>
      </c>
      <c r="P114" s="5" t="s">
        <v>64</v>
      </c>
      <c r="Q114" s="5" t="s">
        <v>210</v>
      </c>
      <c r="R114" s="5" t="s">
        <v>48</v>
      </c>
      <c r="S114" s="5" t="s">
        <v>72</v>
      </c>
      <c r="T114" s="1">
        <v>8</v>
      </c>
      <c r="U114" s="1">
        <v>61</v>
      </c>
      <c r="V114" s="1">
        <v>38</v>
      </c>
      <c r="AA114">
        <f t="shared" si="28"/>
        <v>112</v>
      </c>
      <c r="AB114">
        <f t="shared" si="27"/>
        <v>0</v>
      </c>
    </row>
    <row r="115" spans="1:28" x14ac:dyDescent="0.3">
      <c r="A115" s="42">
        <v>100</v>
      </c>
      <c r="B115" s="4"/>
      <c r="C115" s="6" t="s">
        <v>186</v>
      </c>
      <c r="D115" s="5"/>
      <c r="E115" s="5" t="s">
        <v>61</v>
      </c>
      <c r="F115" s="5" t="s">
        <v>62</v>
      </c>
      <c r="G115" s="5" t="s">
        <v>57</v>
      </c>
      <c r="H115" s="5" t="s">
        <v>54</v>
      </c>
      <c r="I115" s="5" t="s">
        <v>208</v>
      </c>
      <c r="J115" s="5" t="s">
        <v>56</v>
      </c>
      <c r="K115" s="5" t="s">
        <v>69</v>
      </c>
      <c r="L115" s="5" t="s">
        <v>60</v>
      </c>
      <c r="M115" s="5" t="s">
        <v>58</v>
      </c>
      <c r="N115" s="5" t="s">
        <v>75</v>
      </c>
      <c r="O115" s="5" t="s">
        <v>53</v>
      </c>
      <c r="P115" s="5" t="s">
        <v>68</v>
      </c>
      <c r="Q115" s="5" t="s">
        <v>210</v>
      </c>
      <c r="R115" s="5" t="s">
        <v>48</v>
      </c>
      <c r="S115" s="5" t="s">
        <v>67</v>
      </c>
      <c r="T115" s="1">
        <v>8</v>
      </c>
      <c r="U115" s="1">
        <v>53</v>
      </c>
      <c r="V115" s="1">
        <v>50</v>
      </c>
      <c r="AA115">
        <f t="shared" si="28"/>
        <v>113</v>
      </c>
      <c r="AB115">
        <f t="shared" si="27"/>
        <v>0</v>
      </c>
    </row>
    <row r="116" spans="1:28" ht="28.8" x14ac:dyDescent="0.3">
      <c r="A116" s="42">
        <v>101</v>
      </c>
      <c r="B116" s="4"/>
      <c r="C116" s="6" t="s">
        <v>193</v>
      </c>
      <c r="D116" s="5"/>
      <c r="E116" s="5" t="s">
        <v>61</v>
      </c>
      <c r="F116" s="5" t="s">
        <v>71</v>
      </c>
      <c r="G116" s="5" t="s">
        <v>57</v>
      </c>
      <c r="H116" s="5" t="s">
        <v>54</v>
      </c>
      <c r="I116" s="5" t="s">
        <v>208</v>
      </c>
      <c r="J116" s="5" t="s">
        <v>74</v>
      </c>
      <c r="K116" s="5" t="s">
        <v>69</v>
      </c>
      <c r="L116" s="5" t="s">
        <v>60</v>
      </c>
      <c r="M116" s="5" t="s">
        <v>58</v>
      </c>
      <c r="N116" s="5" t="s">
        <v>75</v>
      </c>
      <c r="O116" s="5" t="s">
        <v>53</v>
      </c>
      <c r="P116" s="5" t="s">
        <v>64</v>
      </c>
      <c r="Q116" s="5" t="s">
        <v>210</v>
      </c>
      <c r="R116" s="5" t="s">
        <v>70</v>
      </c>
      <c r="S116" s="5" t="s">
        <v>67</v>
      </c>
      <c r="T116" s="1">
        <v>8</v>
      </c>
      <c r="U116" s="1">
        <v>55</v>
      </c>
      <c r="V116" s="1">
        <v>38</v>
      </c>
      <c r="AA116">
        <f t="shared" si="28"/>
        <v>114</v>
      </c>
      <c r="AB116">
        <f t="shared" si="27"/>
        <v>0</v>
      </c>
    </row>
    <row r="117" spans="1:28" x14ac:dyDescent="0.3">
      <c r="A117" s="42">
        <v>102</v>
      </c>
      <c r="B117" s="4"/>
      <c r="C117" s="6" t="s">
        <v>150</v>
      </c>
      <c r="D117" s="5"/>
      <c r="E117" s="5" t="s">
        <v>61</v>
      </c>
      <c r="F117" s="5" t="s">
        <v>71</v>
      </c>
      <c r="G117" s="5" t="s">
        <v>63</v>
      </c>
      <c r="H117" s="5" t="s">
        <v>54</v>
      </c>
      <c r="I117" s="5" t="s">
        <v>208</v>
      </c>
      <c r="J117" s="5" t="s">
        <v>56</v>
      </c>
      <c r="K117" s="5" t="s">
        <v>59</v>
      </c>
      <c r="L117" s="5" t="s">
        <v>73</v>
      </c>
      <c r="M117" s="5" t="s">
        <v>58</v>
      </c>
      <c r="N117" s="5" t="s">
        <v>75</v>
      </c>
      <c r="O117" s="5" t="s">
        <v>53</v>
      </c>
      <c r="P117" s="5" t="s">
        <v>64</v>
      </c>
      <c r="Q117" s="5" t="s">
        <v>66</v>
      </c>
      <c r="R117" s="5" t="s">
        <v>70</v>
      </c>
      <c r="S117" s="5" t="s">
        <v>72</v>
      </c>
      <c r="T117" s="1">
        <v>8</v>
      </c>
      <c r="U117" s="1">
        <v>56</v>
      </c>
      <c r="V117" s="1">
        <v>38</v>
      </c>
      <c r="AA117">
        <f t="shared" si="28"/>
        <v>115</v>
      </c>
      <c r="AB117">
        <f t="shared" si="27"/>
        <v>0</v>
      </c>
    </row>
    <row r="118" spans="1:28" x14ac:dyDescent="0.3">
      <c r="A118" s="42">
        <v>103</v>
      </c>
      <c r="B118" s="4"/>
      <c r="C118" s="6" t="s">
        <v>13</v>
      </c>
      <c r="D118" s="5"/>
      <c r="E118" s="5" t="s">
        <v>52</v>
      </c>
      <c r="F118" s="5" t="s">
        <v>71</v>
      </c>
      <c r="G118" s="5" t="s">
        <v>63</v>
      </c>
      <c r="H118" s="5" t="s">
        <v>51</v>
      </c>
      <c r="I118" s="5" t="s">
        <v>208</v>
      </c>
      <c r="J118" s="5" t="s">
        <v>56</v>
      </c>
      <c r="K118" s="5" t="s">
        <v>59</v>
      </c>
      <c r="L118" s="5" t="s">
        <v>73</v>
      </c>
      <c r="M118" s="5" t="s">
        <v>58</v>
      </c>
      <c r="N118" s="5" t="s">
        <v>47</v>
      </c>
      <c r="O118" s="5" t="s">
        <v>53</v>
      </c>
      <c r="P118" s="5" t="s">
        <v>64</v>
      </c>
      <c r="Q118" s="5" t="s">
        <v>66</v>
      </c>
      <c r="R118" s="5" t="s">
        <v>70</v>
      </c>
      <c r="S118" s="5" t="s">
        <v>67</v>
      </c>
      <c r="T118" s="1">
        <v>8</v>
      </c>
      <c r="U118" s="1">
        <v>64</v>
      </c>
      <c r="V118" s="1">
        <v>38</v>
      </c>
      <c r="AA118">
        <f t="shared" si="28"/>
        <v>116</v>
      </c>
      <c r="AB118">
        <f t="shared" si="27"/>
        <v>0</v>
      </c>
    </row>
    <row r="119" spans="1:28" x14ac:dyDescent="0.3">
      <c r="A119" s="42">
        <v>104</v>
      </c>
      <c r="B119" s="4"/>
      <c r="C119" s="6" t="s">
        <v>31</v>
      </c>
      <c r="D119" s="5"/>
      <c r="E119" s="5" t="s">
        <v>61</v>
      </c>
      <c r="F119" s="5" t="s">
        <v>71</v>
      </c>
      <c r="G119" s="5" t="s">
        <v>63</v>
      </c>
      <c r="H119" s="5" t="s">
        <v>54</v>
      </c>
      <c r="I119" s="5" t="s">
        <v>55</v>
      </c>
      <c r="J119" s="5" t="s">
        <v>74</v>
      </c>
      <c r="K119" s="5" t="s">
        <v>69</v>
      </c>
      <c r="L119" s="5" t="s">
        <v>60</v>
      </c>
      <c r="M119" s="5" t="s">
        <v>58</v>
      </c>
      <c r="N119" s="5" t="s">
        <v>75</v>
      </c>
      <c r="O119" s="5" t="s">
        <v>50</v>
      </c>
      <c r="P119" s="5" t="s">
        <v>68</v>
      </c>
      <c r="Q119" s="5" t="s">
        <v>210</v>
      </c>
      <c r="R119" s="5" t="s">
        <v>70</v>
      </c>
      <c r="S119" s="5" t="s">
        <v>67</v>
      </c>
      <c r="T119" s="1">
        <v>8</v>
      </c>
      <c r="U119" s="1">
        <v>56</v>
      </c>
      <c r="V119" s="1">
        <v>37</v>
      </c>
      <c r="AA119">
        <f t="shared" si="28"/>
        <v>117</v>
      </c>
      <c r="AB119">
        <f t="shared" si="27"/>
        <v>0</v>
      </c>
    </row>
    <row r="120" spans="1:28" x14ac:dyDescent="0.3">
      <c r="A120" s="42">
        <v>105</v>
      </c>
      <c r="B120" s="4"/>
      <c r="C120" s="6" t="s">
        <v>98</v>
      </c>
      <c r="D120" s="5"/>
      <c r="E120" s="5" t="s">
        <v>52</v>
      </c>
      <c r="F120" s="5" t="s">
        <v>71</v>
      </c>
      <c r="G120" s="5" t="s">
        <v>57</v>
      </c>
      <c r="H120" s="5" t="s">
        <v>54</v>
      </c>
      <c r="I120" s="5" t="s">
        <v>55</v>
      </c>
      <c r="J120" s="5" t="s">
        <v>74</v>
      </c>
      <c r="K120" s="5" t="s">
        <v>59</v>
      </c>
      <c r="L120" s="5" t="s">
        <v>60</v>
      </c>
      <c r="M120" s="5" t="s">
        <v>65</v>
      </c>
      <c r="N120" s="5" t="s">
        <v>75</v>
      </c>
      <c r="O120" s="5" t="s">
        <v>53</v>
      </c>
      <c r="P120" s="5" t="s">
        <v>64</v>
      </c>
      <c r="Q120" s="5" t="s">
        <v>210</v>
      </c>
      <c r="R120" s="5" t="s">
        <v>70</v>
      </c>
      <c r="S120" s="5" t="s">
        <v>67</v>
      </c>
      <c r="T120" s="1">
        <v>8</v>
      </c>
      <c r="U120" s="1">
        <v>62</v>
      </c>
      <c r="V120" s="1">
        <v>37</v>
      </c>
      <c r="AA120">
        <f t="shared" si="28"/>
        <v>118</v>
      </c>
      <c r="AB120">
        <f t="shared" si="27"/>
        <v>0</v>
      </c>
    </row>
    <row r="121" spans="1:28" ht="28.8" x14ac:dyDescent="0.3">
      <c r="A121" s="42">
        <v>106</v>
      </c>
      <c r="B121" s="4"/>
      <c r="C121" s="6" t="s">
        <v>147</v>
      </c>
      <c r="D121" s="5"/>
      <c r="E121" s="5" t="s">
        <v>61</v>
      </c>
      <c r="F121" s="5" t="s">
        <v>71</v>
      </c>
      <c r="G121" s="5" t="s">
        <v>63</v>
      </c>
      <c r="H121" s="5" t="s">
        <v>51</v>
      </c>
      <c r="I121" s="5" t="s">
        <v>208</v>
      </c>
      <c r="J121" s="5" t="s">
        <v>56</v>
      </c>
      <c r="K121" s="5" t="s">
        <v>59</v>
      </c>
      <c r="L121" s="5" t="s">
        <v>73</v>
      </c>
      <c r="M121" s="5" t="s">
        <v>58</v>
      </c>
      <c r="N121" s="5" t="s">
        <v>75</v>
      </c>
      <c r="O121" s="5" t="s">
        <v>50</v>
      </c>
      <c r="P121" s="5" t="s">
        <v>64</v>
      </c>
      <c r="Q121" s="5" t="s">
        <v>210</v>
      </c>
      <c r="R121" s="5" t="s">
        <v>70</v>
      </c>
      <c r="S121" s="5" t="s">
        <v>67</v>
      </c>
      <c r="T121" s="1">
        <v>8</v>
      </c>
      <c r="U121" s="1">
        <v>63</v>
      </c>
      <c r="V121" s="1">
        <v>37</v>
      </c>
    </row>
    <row r="122" spans="1:28" x14ac:dyDescent="0.3">
      <c r="A122" s="42">
        <v>107</v>
      </c>
      <c r="B122" s="4"/>
      <c r="C122" s="6" t="s">
        <v>110</v>
      </c>
      <c r="D122" s="5"/>
      <c r="E122" s="5" t="s">
        <v>52</v>
      </c>
      <c r="F122" s="5" t="s">
        <v>71</v>
      </c>
      <c r="G122" s="5" t="s">
        <v>63</v>
      </c>
      <c r="H122" s="5" t="s">
        <v>54</v>
      </c>
      <c r="I122" s="5" t="s">
        <v>208</v>
      </c>
      <c r="J122" s="5" t="s">
        <v>74</v>
      </c>
      <c r="K122" s="5" t="s">
        <v>69</v>
      </c>
      <c r="L122" s="5" t="s">
        <v>73</v>
      </c>
      <c r="M122" s="5" t="s">
        <v>65</v>
      </c>
      <c r="N122" s="5" t="s">
        <v>75</v>
      </c>
      <c r="O122" s="5" t="s">
        <v>50</v>
      </c>
      <c r="P122" s="5" t="s">
        <v>64</v>
      </c>
      <c r="Q122" s="5" t="s">
        <v>66</v>
      </c>
      <c r="R122" s="5" t="s">
        <v>70</v>
      </c>
      <c r="S122" s="5" t="s">
        <v>67</v>
      </c>
      <c r="T122" s="1">
        <v>8</v>
      </c>
      <c r="U122" s="1">
        <v>63</v>
      </c>
      <c r="V122" s="1">
        <v>37</v>
      </c>
    </row>
    <row r="123" spans="1:28" x14ac:dyDescent="0.3">
      <c r="A123" s="42">
        <v>108</v>
      </c>
      <c r="B123" s="4"/>
      <c r="C123" s="6" t="s">
        <v>118</v>
      </c>
      <c r="D123" s="5"/>
      <c r="E123" s="5" t="s">
        <v>61</v>
      </c>
      <c r="F123" s="5" t="s">
        <v>71</v>
      </c>
      <c r="G123" s="5" t="s">
        <v>57</v>
      </c>
      <c r="H123" s="5" t="s">
        <v>54</v>
      </c>
      <c r="I123" s="5" t="s">
        <v>55</v>
      </c>
      <c r="J123" s="5" t="s">
        <v>74</v>
      </c>
      <c r="K123" s="5" t="s">
        <v>59</v>
      </c>
      <c r="L123" s="5" t="s">
        <v>60</v>
      </c>
      <c r="M123" s="5" t="s">
        <v>58</v>
      </c>
      <c r="N123" s="5" t="s">
        <v>47</v>
      </c>
      <c r="O123" s="5" t="s">
        <v>53</v>
      </c>
      <c r="P123" s="5" t="s">
        <v>64</v>
      </c>
      <c r="Q123" s="5" t="s">
        <v>210</v>
      </c>
      <c r="R123" s="5" t="s">
        <v>48</v>
      </c>
      <c r="S123" s="5" t="s">
        <v>67</v>
      </c>
      <c r="T123" s="1">
        <v>8</v>
      </c>
      <c r="U123" s="1">
        <v>56</v>
      </c>
      <c r="V123" s="1">
        <v>52</v>
      </c>
    </row>
    <row r="124" spans="1:28" x14ac:dyDescent="0.3">
      <c r="A124" s="42">
        <v>109</v>
      </c>
      <c r="B124" s="4"/>
      <c r="C124" s="6" t="s">
        <v>120</v>
      </c>
      <c r="D124" s="5"/>
      <c r="E124" s="5" t="s">
        <v>52</v>
      </c>
      <c r="F124" s="5" t="s">
        <v>71</v>
      </c>
      <c r="G124" s="5" t="s">
        <v>57</v>
      </c>
      <c r="H124" s="5" t="s">
        <v>54</v>
      </c>
      <c r="I124" s="5" t="s">
        <v>55</v>
      </c>
      <c r="J124" s="5" t="s">
        <v>74</v>
      </c>
      <c r="K124" s="5" t="s">
        <v>59</v>
      </c>
      <c r="L124" s="5" t="s">
        <v>73</v>
      </c>
      <c r="M124" s="5" t="s">
        <v>65</v>
      </c>
      <c r="N124" s="5" t="s">
        <v>75</v>
      </c>
      <c r="O124" s="5" t="s">
        <v>53</v>
      </c>
      <c r="P124" s="5" t="s">
        <v>64</v>
      </c>
      <c r="Q124" s="5" t="s">
        <v>210</v>
      </c>
      <c r="R124" s="5" t="s">
        <v>48</v>
      </c>
      <c r="S124" s="5" t="s">
        <v>67</v>
      </c>
      <c r="T124" s="1">
        <v>8</v>
      </c>
      <c r="U124" s="1">
        <v>56</v>
      </c>
      <c r="V124" s="1">
        <v>53</v>
      </c>
    </row>
    <row r="125" spans="1:28" x14ac:dyDescent="0.3">
      <c r="A125" s="42">
        <v>110</v>
      </c>
      <c r="B125" s="4"/>
      <c r="C125" s="6" t="s">
        <v>142</v>
      </c>
      <c r="D125" s="5"/>
      <c r="E125" s="5" t="s">
        <v>61</v>
      </c>
      <c r="F125" s="5" t="s">
        <v>71</v>
      </c>
      <c r="G125" s="5" t="s">
        <v>63</v>
      </c>
      <c r="H125" s="5" t="s">
        <v>51</v>
      </c>
      <c r="I125" s="5" t="s">
        <v>208</v>
      </c>
      <c r="J125" s="5" t="s">
        <v>74</v>
      </c>
      <c r="K125" s="5" t="s">
        <v>59</v>
      </c>
      <c r="L125" s="5" t="s">
        <v>73</v>
      </c>
      <c r="M125" s="5" t="s">
        <v>58</v>
      </c>
      <c r="N125" s="5" t="s">
        <v>47</v>
      </c>
      <c r="O125" s="5" t="s">
        <v>53</v>
      </c>
      <c r="P125" s="5" t="s">
        <v>64</v>
      </c>
      <c r="Q125" s="5" t="s">
        <v>66</v>
      </c>
      <c r="R125" s="5" t="s">
        <v>70</v>
      </c>
      <c r="S125" s="5" t="s">
        <v>67</v>
      </c>
      <c r="T125" s="1">
        <v>8</v>
      </c>
      <c r="U125" s="1">
        <v>60</v>
      </c>
      <c r="V125" s="1">
        <v>35</v>
      </c>
    </row>
    <row r="126" spans="1:28" x14ac:dyDescent="0.3">
      <c r="A126" s="42">
        <v>111</v>
      </c>
      <c r="B126" s="4"/>
      <c r="C126" s="6" t="s">
        <v>136</v>
      </c>
      <c r="D126" s="5"/>
      <c r="E126" s="5" t="s">
        <v>61</v>
      </c>
      <c r="F126" s="5" t="s">
        <v>62</v>
      </c>
      <c r="G126" s="5" t="s">
        <v>63</v>
      </c>
      <c r="H126" s="5" t="s">
        <v>51</v>
      </c>
      <c r="I126" s="5" t="s">
        <v>55</v>
      </c>
      <c r="J126" s="5" t="s">
        <v>56</v>
      </c>
      <c r="K126" s="5" t="s">
        <v>69</v>
      </c>
      <c r="L126" s="5" t="s">
        <v>60</v>
      </c>
      <c r="M126" s="5" t="s">
        <v>58</v>
      </c>
      <c r="N126" s="5" t="s">
        <v>47</v>
      </c>
      <c r="O126" s="5" t="s">
        <v>50</v>
      </c>
      <c r="P126" s="5" t="s">
        <v>68</v>
      </c>
      <c r="Q126" s="5" t="s">
        <v>66</v>
      </c>
      <c r="R126" s="5" t="s">
        <v>70</v>
      </c>
      <c r="S126" s="5" t="s">
        <v>72</v>
      </c>
      <c r="T126" s="1">
        <v>8</v>
      </c>
      <c r="U126" s="1">
        <v>56</v>
      </c>
      <c r="V126" s="1">
        <v>34</v>
      </c>
    </row>
    <row r="127" spans="1:28" ht="28.8" x14ac:dyDescent="0.3">
      <c r="A127" s="42">
        <v>112</v>
      </c>
      <c r="B127" s="4"/>
      <c r="C127" s="6" t="s">
        <v>162</v>
      </c>
      <c r="D127" s="5"/>
      <c r="E127" s="5" t="s">
        <v>61</v>
      </c>
      <c r="F127" s="5" t="s">
        <v>71</v>
      </c>
      <c r="G127" s="5" t="s">
        <v>63</v>
      </c>
      <c r="H127" s="5" t="s">
        <v>54</v>
      </c>
      <c r="I127" s="5" t="s">
        <v>55</v>
      </c>
      <c r="J127" s="5" t="s">
        <v>74</v>
      </c>
      <c r="K127" s="5" t="s">
        <v>59</v>
      </c>
      <c r="L127" s="5" t="s">
        <v>60</v>
      </c>
      <c r="M127" s="5" t="s">
        <v>65</v>
      </c>
      <c r="N127" s="5" t="s">
        <v>47</v>
      </c>
      <c r="O127" s="5" t="s">
        <v>50</v>
      </c>
      <c r="P127" s="5" t="s">
        <v>64</v>
      </c>
      <c r="Q127" s="5" t="s">
        <v>210</v>
      </c>
      <c r="R127" s="5" t="s">
        <v>70</v>
      </c>
      <c r="S127" s="5" t="s">
        <v>67</v>
      </c>
      <c r="T127" s="1">
        <v>8</v>
      </c>
      <c r="U127" s="1">
        <v>61</v>
      </c>
      <c r="V127" s="1">
        <v>33</v>
      </c>
    </row>
    <row r="128" spans="1:28" x14ac:dyDescent="0.3">
      <c r="A128" s="42">
        <v>113</v>
      </c>
      <c r="B128" s="4"/>
      <c r="C128" s="6" t="s">
        <v>129</v>
      </c>
      <c r="D128" s="5"/>
      <c r="E128" s="5" t="s">
        <v>61</v>
      </c>
      <c r="F128" s="5" t="s">
        <v>71</v>
      </c>
      <c r="G128" s="5" t="s">
        <v>57</v>
      </c>
      <c r="H128" s="5" t="s">
        <v>54</v>
      </c>
      <c r="I128" s="5" t="s">
        <v>55</v>
      </c>
      <c r="J128" s="5" t="s">
        <v>56</v>
      </c>
      <c r="K128" s="5" t="s">
        <v>59</v>
      </c>
      <c r="L128" s="5" t="s">
        <v>60</v>
      </c>
      <c r="M128" s="5" t="s">
        <v>65</v>
      </c>
      <c r="N128" s="5" t="s">
        <v>75</v>
      </c>
      <c r="O128" s="5" t="s">
        <v>50</v>
      </c>
      <c r="P128" s="5" t="s">
        <v>64</v>
      </c>
      <c r="Q128" s="5" t="s">
        <v>210</v>
      </c>
      <c r="R128" s="5" t="s">
        <v>70</v>
      </c>
      <c r="S128" s="5" t="s">
        <v>72</v>
      </c>
      <c r="T128" s="1">
        <v>8</v>
      </c>
      <c r="U128" s="1">
        <v>63</v>
      </c>
      <c r="V128" s="1">
        <v>31</v>
      </c>
    </row>
    <row r="129" spans="1:22" x14ac:dyDescent="0.3">
      <c r="A129" s="42">
        <v>114</v>
      </c>
      <c r="B129" s="4"/>
      <c r="C129" s="6" t="s">
        <v>11</v>
      </c>
      <c r="D129" s="5"/>
      <c r="E129" s="5" t="s">
        <v>52</v>
      </c>
      <c r="F129" s="5" t="s">
        <v>71</v>
      </c>
      <c r="G129" s="5" t="s">
        <v>57</v>
      </c>
      <c r="H129" s="5" t="s">
        <v>54</v>
      </c>
      <c r="I129" s="5" t="s">
        <v>208</v>
      </c>
      <c r="J129" s="5" t="s">
        <v>74</v>
      </c>
      <c r="K129" s="5" t="s">
        <v>69</v>
      </c>
      <c r="L129" s="5" t="s">
        <v>60</v>
      </c>
      <c r="M129" s="5" t="s">
        <v>65</v>
      </c>
      <c r="N129" s="5" t="s">
        <v>75</v>
      </c>
      <c r="O129" s="5" t="s">
        <v>53</v>
      </c>
      <c r="P129" s="5" t="s">
        <v>64</v>
      </c>
      <c r="Q129" s="5" t="s">
        <v>210</v>
      </c>
      <c r="R129" s="5" t="s">
        <v>70</v>
      </c>
      <c r="S129" s="5" t="s">
        <v>67</v>
      </c>
      <c r="T129" s="1">
        <v>8</v>
      </c>
      <c r="U129" s="1">
        <v>59</v>
      </c>
      <c r="V129" s="1">
        <v>28</v>
      </c>
    </row>
    <row r="130" spans="1:22" ht="28.8" x14ac:dyDescent="0.3">
      <c r="A130" s="42">
        <v>115</v>
      </c>
      <c r="B130" s="4"/>
      <c r="C130" s="6" t="s">
        <v>191</v>
      </c>
      <c r="D130" s="5"/>
      <c r="E130" s="5" t="s">
        <v>52</v>
      </c>
      <c r="F130" s="5" t="s">
        <v>71</v>
      </c>
      <c r="G130" s="5" t="s">
        <v>57</v>
      </c>
      <c r="H130" s="5" t="s">
        <v>54</v>
      </c>
      <c r="I130" s="5" t="s">
        <v>208</v>
      </c>
      <c r="J130" s="5" t="s">
        <v>56</v>
      </c>
      <c r="K130" s="5" t="s">
        <v>59</v>
      </c>
      <c r="L130" s="5" t="s">
        <v>73</v>
      </c>
      <c r="M130" s="5" t="s">
        <v>65</v>
      </c>
      <c r="N130" s="5" t="s">
        <v>75</v>
      </c>
      <c r="O130" s="5" t="s">
        <v>53</v>
      </c>
      <c r="P130" s="5" t="s">
        <v>64</v>
      </c>
      <c r="Q130" s="5" t="s">
        <v>210</v>
      </c>
      <c r="R130" s="5" t="s">
        <v>48</v>
      </c>
      <c r="S130" s="5" t="s">
        <v>67</v>
      </c>
      <c r="T130" s="1">
        <v>8</v>
      </c>
      <c r="U130" s="1">
        <v>56</v>
      </c>
      <c r="V130" s="1">
        <v>61</v>
      </c>
    </row>
    <row r="131" spans="1:22" x14ac:dyDescent="0.3">
      <c r="A131" s="42">
        <v>116</v>
      </c>
      <c r="B131" s="4"/>
      <c r="C131" s="6" t="s">
        <v>166</v>
      </c>
      <c r="D131" s="5"/>
      <c r="E131" s="5" t="s">
        <v>52</v>
      </c>
      <c r="F131" s="5" t="s">
        <v>62</v>
      </c>
      <c r="G131" s="5" t="s">
        <v>57</v>
      </c>
      <c r="H131" s="5" t="s">
        <v>51</v>
      </c>
      <c r="I131" s="5" t="s">
        <v>208</v>
      </c>
      <c r="J131" s="5" t="s">
        <v>74</v>
      </c>
      <c r="K131" s="5" t="s">
        <v>69</v>
      </c>
      <c r="L131" s="5" t="s">
        <v>73</v>
      </c>
      <c r="M131" s="5" t="s">
        <v>65</v>
      </c>
      <c r="N131" s="5" t="s">
        <v>75</v>
      </c>
      <c r="O131" s="5" t="s">
        <v>53</v>
      </c>
      <c r="P131" s="5" t="s">
        <v>64</v>
      </c>
      <c r="Q131" s="5" t="s">
        <v>66</v>
      </c>
      <c r="R131" s="5" t="s">
        <v>70</v>
      </c>
      <c r="S131" s="5" t="s">
        <v>72</v>
      </c>
      <c r="T131" s="1">
        <v>7</v>
      </c>
      <c r="U131" s="1">
        <v>49</v>
      </c>
      <c r="V131" s="1">
        <v>44</v>
      </c>
    </row>
    <row r="132" spans="1:22" ht="28.8" x14ac:dyDescent="0.3">
      <c r="A132" s="42">
        <v>117</v>
      </c>
      <c r="B132" s="4"/>
      <c r="C132" s="6" t="s">
        <v>146</v>
      </c>
      <c r="D132" s="5"/>
      <c r="E132" s="5" t="s">
        <v>61</v>
      </c>
      <c r="F132" s="5" t="s">
        <v>62</v>
      </c>
      <c r="G132" s="5" t="s">
        <v>63</v>
      </c>
      <c r="H132" s="5" t="s">
        <v>54</v>
      </c>
      <c r="I132" s="5" t="s">
        <v>208</v>
      </c>
      <c r="J132" s="5" t="s">
        <v>74</v>
      </c>
      <c r="K132" s="5" t="s">
        <v>59</v>
      </c>
      <c r="L132" s="5" t="s">
        <v>73</v>
      </c>
      <c r="M132" s="5" t="s">
        <v>58</v>
      </c>
      <c r="N132" s="5" t="s">
        <v>75</v>
      </c>
      <c r="O132" s="5" t="s">
        <v>50</v>
      </c>
      <c r="P132" s="5" t="s">
        <v>64</v>
      </c>
      <c r="Q132" s="5" t="s">
        <v>66</v>
      </c>
      <c r="R132" s="5" t="s">
        <v>48</v>
      </c>
      <c r="S132" s="5" t="s">
        <v>67</v>
      </c>
      <c r="T132" s="1">
        <v>7</v>
      </c>
      <c r="U132" s="1">
        <v>54</v>
      </c>
      <c r="V132" s="1">
        <v>44</v>
      </c>
    </row>
    <row r="133" spans="1:22" x14ac:dyDescent="0.3">
      <c r="A133" s="42">
        <v>118</v>
      </c>
      <c r="B133" s="4"/>
      <c r="C133" s="6" t="s">
        <v>86</v>
      </c>
      <c r="D133" s="5"/>
      <c r="E133" s="5" t="s">
        <v>61</v>
      </c>
      <c r="F133" s="5" t="s">
        <v>62</v>
      </c>
      <c r="G133" s="5" t="s">
        <v>57</v>
      </c>
      <c r="H133" s="5" t="s">
        <v>54</v>
      </c>
      <c r="I133" s="5" t="s">
        <v>55</v>
      </c>
      <c r="J133" s="5" t="s">
        <v>74</v>
      </c>
      <c r="K133" s="5" t="s">
        <v>59</v>
      </c>
      <c r="L133" s="5" t="s">
        <v>60</v>
      </c>
      <c r="M133" s="5" t="s">
        <v>58</v>
      </c>
      <c r="N133" s="5" t="s">
        <v>75</v>
      </c>
      <c r="O133" s="5" t="s">
        <v>53</v>
      </c>
      <c r="P133" s="5" t="s">
        <v>64</v>
      </c>
      <c r="Q133" s="5" t="s">
        <v>210</v>
      </c>
      <c r="R133" s="5" t="s">
        <v>70</v>
      </c>
      <c r="S133" s="5" t="s">
        <v>67</v>
      </c>
      <c r="T133" s="1">
        <v>7</v>
      </c>
      <c r="U133" s="1">
        <v>57</v>
      </c>
      <c r="V133" s="1">
        <v>45</v>
      </c>
    </row>
    <row r="134" spans="1:22" x14ac:dyDescent="0.3">
      <c r="A134" s="42">
        <v>119</v>
      </c>
      <c r="B134" s="4"/>
      <c r="C134" s="6" t="s">
        <v>42</v>
      </c>
      <c r="D134" s="5"/>
      <c r="E134" s="5" t="s">
        <v>52</v>
      </c>
      <c r="F134" s="5" t="s">
        <v>71</v>
      </c>
      <c r="G134" s="5" t="s">
        <v>57</v>
      </c>
      <c r="H134" s="5" t="s">
        <v>54</v>
      </c>
      <c r="I134" s="5" t="s">
        <v>208</v>
      </c>
      <c r="J134" s="5" t="s">
        <v>74</v>
      </c>
      <c r="K134" s="5" t="s">
        <v>59</v>
      </c>
      <c r="L134" s="5" t="s">
        <v>73</v>
      </c>
      <c r="M134" s="5" t="s">
        <v>65</v>
      </c>
      <c r="N134" s="5" t="s">
        <v>75</v>
      </c>
      <c r="O134" s="5" t="s">
        <v>53</v>
      </c>
      <c r="P134" s="5" t="s">
        <v>64</v>
      </c>
      <c r="Q134" s="5" t="s">
        <v>210</v>
      </c>
      <c r="R134" s="5" t="s">
        <v>48</v>
      </c>
      <c r="S134" s="5" t="s">
        <v>67</v>
      </c>
      <c r="T134" s="1">
        <v>7</v>
      </c>
      <c r="U134" s="1">
        <v>60</v>
      </c>
      <c r="V134" s="1">
        <v>43</v>
      </c>
    </row>
    <row r="135" spans="1:22" x14ac:dyDescent="0.3">
      <c r="A135" s="42">
        <v>120</v>
      </c>
      <c r="B135" s="4"/>
      <c r="C135" s="6" t="s">
        <v>33</v>
      </c>
      <c r="D135" s="5"/>
      <c r="E135" s="5" t="s">
        <v>52</v>
      </c>
      <c r="F135" s="5" t="s">
        <v>71</v>
      </c>
      <c r="G135" s="5" t="s">
        <v>57</v>
      </c>
      <c r="H135" s="5" t="s">
        <v>54</v>
      </c>
      <c r="I135" s="5" t="s">
        <v>208</v>
      </c>
      <c r="J135" s="5" t="s">
        <v>74</v>
      </c>
      <c r="K135" s="5" t="s">
        <v>59</v>
      </c>
      <c r="L135" s="5" t="s">
        <v>60</v>
      </c>
      <c r="M135" s="5" t="s">
        <v>65</v>
      </c>
      <c r="N135" s="5" t="s">
        <v>47</v>
      </c>
      <c r="O135" s="5" t="s">
        <v>50</v>
      </c>
      <c r="P135" s="5" t="s">
        <v>64</v>
      </c>
      <c r="Q135" s="5" t="s">
        <v>66</v>
      </c>
      <c r="R135" s="5" t="s">
        <v>48</v>
      </c>
      <c r="S135" s="5" t="s">
        <v>67</v>
      </c>
      <c r="T135" s="1">
        <v>7</v>
      </c>
      <c r="U135" s="1">
        <v>56</v>
      </c>
      <c r="V135" s="1">
        <v>42</v>
      </c>
    </row>
    <row r="136" spans="1:22" ht="43.2" x14ac:dyDescent="0.3">
      <c r="A136" s="42">
        <v>121</v>
      </c>
      <c r="B136" s="4"/>
      <c r="C136" s="6" t="s">
        <v>188</v>
      </c>
      <c r="D136" s="5"/>
      <c r="E136" s="5" t="s">
        <v>52</v>
      </c>
      <c r="F136" s="5" t="s">
        <v>71</v>
      </c>
      <c r="G136" s="5" t="s">
        <v>57</v>
      </c>
      <c r="H136" s="5" t="s">
        <v>54</v>
      </c>
      <c r="I136" s="5" t="s">
        <v>208</v>
      </c>
      <c r="J136" s="5" t="s">
        <v>74</v>
      </c>
      <c r="K136" s="5" t="s">
        <v>69</v>
      </c>
      <c r="L136" s="5" t="s">
        <v>73</v>
      </c>
      <c r="M136" s="5" t="s">
        <v>65</v>
      </c>
      <c r="N136" s="5" t="s">
        <v>75</v>
      </c>
      <c r="O136" s="5" t="s">
        <v>50</v>
      </c>
      <c r="P136" s="5" t="s">
        <v>64</v>
      </c>
      <c r="Q136" s="5" t="s">
        <v>210</v>
      </c>
      <c r="R136" s="5" t="s">
        <v>48</v>
      </c>
      <c r="S136" s="5" t="s">
        <v>67</v>
      </c>
      <c r="T136" s="1">
        <v>7</v>
      </c>
      <c r="U136" s="1">
        <v>52</v>
      </c>
      <c r="V136" s="1">
        <v>42</v>
      </c>
    </row>
    <row r="137" spans="1:22" ht="28.8" x14ac:dyDescent="0.3">
      <c r="A137" s="42">
        <v>122</v>
      </c>
      <c r="B137" s="4"/>
      <c r="C137" s="6" t="s">
        <v>32</v>
      </c>
      <c r="D137" s="5"/>
      <c r="E137" s="5" t="s">
        <v>52</v>
      </c>
      <c r="F137" s="5" t="s">
        <v>71</v>
      </c>
      <c r="G137" s="5" t="s">
        <v>63</v>
      </c>
      <c r="H137" s="5" t="s">
        <v>54</v>
      </c>
      <c r="I137" s="5" t="s">
        <v>208</v>
      </c>
      <c r="J137" s="5" t="s">
        <v>56</v>
      </c>
      <c r="K137" s="5" t="s">
        <v>59</v>
      </c>
      <c r="L137" s="5" t="s">
        <v>73</v>
      </c>
      <c r="M137" s="5" t="s">
        <v>65</v>
      </c>
      <c r="N137" s="5" t="s">
        <v>47</v>
      </c>
      <c r="O137" s="5" t="s">
        <v>50</v>
      </c>
      <c r="P137" s="5" t="s">
        <v>68</v>
      </c>
      <c r="Q137" s="5" t="s">
        <v>66</v>
      </c>
      <c r="R137" s="5" t="s">
        <v>48</v>
      </c>
      <c r="S137" s="5" t="s">
        <v>67</v>
      </c>
      <c r="T137" s="1">
        <v>7</v>
      </c>
      <c r="U137" s="1">
        <v>54</v>
      </c>
      <c r="V137" s="1">
        <v>41</v>
      </c>
    </row>
    <row r="138" spans="1:22" ht="28.8" x14ac:dyDescent="0.3">
      <c r="A138" s="42">
        <v>123</v>
      </c>
      <c r="B138" s="4"/>
      <c r="C138" s="6" t="s">
        <v>107</v>
      </c>
      <c r="D138" s="5"/>
      <c r="E138" s="5" t="s">
        <v>61</v>
      </c>
      <c r="F138" s="5" t="s">
        <v>71</v>
      </c>
      <c r="G138" s="5" t="s">
        <v>57</v>
      </c>
      <c r="H138" s="5" t="s">
        <v>54</v>
      </c>
      <c r="I138" s="5" t="s">
        <v>208</v>
      </c>
      <c r="J138" s="5" t="s">
        <v>74</v>
      </c>
      <c r="K138" s="5" t="s">
        <v>69</v>
      </c>
      <c r="L138" s="5" t="s">
        <v>60</v>
      </c>
      <c r="M138" s="5" t="s">
        <v>58</v>
      </c>
      <c r="N138" s="5" t="s">
        <v>75</v>
      </c>
      <c r="O138" s="5" t="s">
        <v>50</v>
      </c>
      <c r="P138" s="5" t="s">
        <v>68</v>
      </c>
      <c r="Q138" s="5" t="s">
        <v>210</v>
      </c>
      <c r="R138" s="5" t="s">
        <v>48</v>
      </c>
      <c r="S138" s="5" t="s">
        <v>67</v>
      </c>
      <c r="T138" s="1">
        <v>7</v>
      </c>
      <c r="U138" s="1">
        <v>59</v>
      </c>
      <c r="V138" s="1">
        <v>48</v>
      </c>
    </row>
    <row r="139" spans="1:22" x14ac:dyDescent="0.3">
      <c r="A139" s="42">
        <v>124</v>
      </c>
      <c r="B139" s="4"/>
      <c r="C139" s="6" t="s">
        <v>111</v>
      </c>
      <c r="D139" s="5"/>
      <c r="E139" s="5" t="s">
        <v>61</v>
      </c>
      <c r="F139" s="5" t="s">
        <v>71</v>
      </c>
      <c r="G139" s="5" t="s">
        <v>57</v>
      </c>
      <c r="H139" s="5" t="s">
        <v>54</v>
      </c>
      <c r="I139" s="5" t="s">
        <v>55</v>
      </c>
      <c r="J139" s="5" t="s">
        <v>74</v>
      </c>
      <c r="K139" s="5" t="s">
        <v>59</v>
      </c>
      <c r="L139" s="5" t="s">
        <v>60</v>
      </c>
      <c r="M139" s="5" t="s">
        <v>65</v>
      </c>
      <c r="N139" s="5" t="s">
        <v>47</v>
      </c>
      <c r="O139" s="5" t="s">
        <v>53</v>
      </c>
      <c r="P139" s="5" t="s">
        <v>68</v>
      </c>
      <c r="Q139" s="5" t="s">
        <v>210</v>
      </c>
      <c r="R139" s="5" t="s">
        <v>48</v>
      </c>
      <c r="S139" s="5" t="s">
        <v>72</v>
      </c>
      <c r="T139" s="1">
        <v>7</v>
      </c>
      <c r="U139" s="1">
        <v>56</v>
      </c>
      <c r="V139" s="1">
        <v>50</v>
      </c>
    </row>
    <row r="140" spans="1:22" ht="28.8" x14ac:dyDescent="0.3">
      <c r="A140" s="42">
        <v>125</v>
      </c>
      <c r="B140" s="4"/>
      <c r="C140" s="6" t="s">
        <v>20</v>
      </c>
      <c r="D140" s="5"/>
      <c r="E140" s="5" t="s">
        <v>61</v>
      </c>
      <c r="F140" s="5" t="s">
        <v>71</v>
      </c>
      <c r="G140" s="5" t="s">
        <v>57</v>
      </c>
      <c r="H140" s="5" t="s">
        <v>54</v>
      </c>
      <c r="I140" s="5" t="s">
        <v>208</v>
      </c>
      <c r="J140" s="5" t="s">
        <v>74</v>
      </c>
      <c r="K140" s="5" t="s">
        <v>59</v>
      </c>
      <c r="L140" s="5" t="s">
        <v>73</v>
      </c>
      <c r="M140" s="5" t="s">
        <v>58</v>
      </c>
      <c r="N140" s="5" t="s">
        <v>75</v>
      </c>
      <c r="O140" s="5" t="s">
        <v>53</v>
      </c>
      <c r="P140" s="5" t="s">
        <v>64</v>
      </c>
      <c r="Q140" s="5" t="s">
        <v>210</v>
      </c>
      <c r="R140" s="5" t="s">
        <v>48</v>
      </c>
      <c r="S140" s="5" t="s">
        <v>67</v>
      </c>
      <c r="T140" s="1">
        <v>7</v>
      </c>
      <c r="U140" s="1">
        <v>58</v>
      </c>
      <c r="V140" s="1">
        <v>38</v>
      </c>
    </row>
    <row r="141" spans="1:22" x14ac:dyDescent="0.3">
      <c r="A141" s="42">
        <v>126</v>
      </c>
      <c r="B141" s="4"/>
      <c r="C141" s="6" t="s">
        <v>23</v>
      </c>
      <c r="D141" s="5"/>
      <c r="E141" s="5" t="s">
        <v>52</v>
      </c>
      <c r="F141" s="5" t="s">
        <v>71</v>
      </c>
      <c r="G141" s="5" t="s">
        <v>57</v>
      </c>
      <c r="H141" s="5" t="s">
        <v>54</v>
      </c>
      <c r="I141" s="5" t="s">
        <v>208</v>
      </c>
      <c r="J141" s="5" t="s">
        <v>74</v>
      </c>
      <c r="K141" s="5" t="s">
        <v>69</v>
      </c>
      <c r="L141" s="5" t="s">
        <v>60</v>
      </c>
      <c r="M141" s="5" t="s">
        <v>65</v>
      </c>
      <c r="N141" s="5" t="s">
        <v>75</v>
      </c>
      <c r="O141" s="5" t="s">
        <v>50</v>
      </c>
      <c r="P141" s="5" t="s">
        <v>64</v>
      </c>
      <c r="Q141" s="5" t="s">
        <v>210</v>
      </c>
      <c r="R141" s="5" t="s">
        <v>70</v>
      </c>
      <c r="S141" s="5" t="s">
        <v>67</v>
      </c>
      <c r="T141" s="1">
        <v>7</v>
      </c>
      <c r="U141" s="1">
        <v>60</v>
      </c>
      <c r="V141" s="1">
        <v>37</v>
      </c>
    </row>
    <row r="142" spans="1:22" x14ac:dyDescent="0.3">
      <c r="A142" s="42">
        <v>127</v>
      </c>
      <c r="B142" s="4"/>
      <c r="C142" s="6" t="s">
        <v>14</v>
      </c>
      <c r="D142" s="5"/>
      <c r="E142" s="5" t="s">
        <v>52</v>
      </c>
      <c r="F142" s="5" t="s">
        <v>71</v>
      </c>
      <c r="G142" s="5" t="s">
        <v>57</v>
      </c>
      <c r="H142" s="5" t="s">
        <v>54</v>
      </c>
      <c r="I142" s="5" t="s">
        <v>208</v>
      </c>
      <c r="J142" s="5" t="s">
        <v>74</v>
      </c>
      <c r="K142" s="5" t="s">
        <v>69</v>
      </c>
      <c r="L142" s="5" t="s">
        <v>60</v>
      </c>
      <c r="M142" s="5" t="s">
        <v>65</v>
      </c>
      <c r="N142" s="5" t="s">
        <v>75</v>
      </c>
      <c r="O142" s="5" t="s">
        <v>50</v>
      </c>
      <c r="P142" s="5" t="s">
        <v>64</v>
      </c>
      <c r="Q142" s="5" t="s">
        <v>210</v>
      </c>
      <c r="R142" s="5" t="s">
        <v>70</v>
      </c>
      <c r="S142" s="5" t="s">
        <v>67</v>
      </c>
      <c r="T142" s="1">
        <v>7</v>
      </c>
      <c r="U142" s="1">
        <v>62</v>
      </c>
      <c r="V142" s="1">
        <v>37</v>
      </c>
    </row>
    <row r="143" spans="1:22" ht="28.8" x14ac:dyDescent="0.3">
      <c r="A143" s="42">
        <v>128</v>
      </c>
      <c r="B143" s="4"/>
      <c r="C143" s="6" t="s">
        <v>22</v>
      </c>
      <c r="D143" s="5"/>
      <c r="E143" s="5" t="s">
        <v>61</v>
      </c>
      <c r="F143" s="5" t="s">
        <v>71</v>
      </c>
      <c r="G143" s="5" t="s">
        <v>57</v>
      </c>
      <c r="H143" s="5" t="s">
        <v>54</v>
      </c>
      <c r="I143" s="5" t="s">
        <v>208</v>
      </c>
      <c r="J143" s="5" t="s">
        <v>74</v>
      </c>
      <c r="K143" s="5" t="s">
        <v>69</v>
      </c>
      <c r="L143" s="5" t="s">
        <v>73</v>
      </c>
      <c r="M143" s="5" t="s">
        <v>65</v>
      </c>
      <c r="N143" s="5" t="s">
        <v>75</v>
      </c>
      <c r="O143" s="5" t="s">
        <v>53</v>
      </c>
      <c r="P143" s="5" t="s">
        <v>68</v>
      </c>
      <c r="Q143" s="5" t="s">
        <v>210</v>
      </c>
      <c r="R143" s="5" t="s">
        <v>48</v>
      </c>
      <c r="S143" s="5" t="s">
        <v>72</v>
      </c>
      <c r="T143" s="1">
        <v>7</v>
      </c>
      <c r="U143" s="1">
        <v>64</v>
      </c>
      <c r="V143" s="1">
        <v>37</v>
      </c>
    </row>
    <row r="144" spans="1:22" x14ac:dyDescent="0.3">
      <c r="A144" s="42">
        <v>129</v>
      </c>
      <c r="B144" s="4"/>
      <c r="C144" s="6" t="s">
        <v>88</v>
      </c>
      <c r="D144" s="5"/>
      <c r="E144" s="5" t="s">
        <v>61</v>
      </c>
      <c r="F144" s="5" t="s">
        <v>71</v>
      </c>
      <c r="G144" s="5" t="s">
        <v>57</v>
      </c>
      <c r="H144" s="5" t="s">
        <v>54</v>
      </c>
      <c r="I144" s="5" t="s">
        <v>208</v>
      </c>
      <c r="J144" s="5" t="s">
        <v>56</v>
      </c>
      <c r="K144" s="5" t="s">
        <v>69</v>
      </c>
      <c r="L144" s="5" t="s">
        <v>73</v>
      </c>
      <c r="M144" s="5" t="s">
        <v>58</v>
      </c>
      <c r="N144" s="5" t="s">
        <v>47</v>
      </c>
      <c r="O144" s="5" t="s">
        <v>50</v>
      </c>
      <c r="P144" s="5" t="s">
        <v>64</v>
      </c>
      <c r="Q144" s="5" t="s">
        <v>66</v>
      </c>
      <c r="R144" s="5" t="s">
        <v>48</v>
      </c>
      <c r="S144" s="5" t="s">
        <v>72</v>
      </c>
      <c r="T144" s="1">
        <v>7</v>
      </c>
      <c r="U144" s="1">
        <v>61</v>
      </c>
      <c r="V144" s="1">
        <v>36</v>
      </c>
    </row>
    <row r="145" spans="1:22" x14ac:dyDescent="0.3">
      <c r="A145" s="42">
        <v>130</v>
      </c>
      <c r="B145" s="4"/>
      <c r="C145" s="6" t="s">
        <v>151</v>
      </c>
      <c r="D145" s="5"/>
      <c r="E145" s="5" t="s">
        <v>61</v>
      </c>
      <c r="F145" s="5" t="s">
        <v>71</v>
      </c>
      <c r="G145" s="5" t="s">
        <v>63</v>
      </c>
      <c r="H145" s="5" t="s">
        <v>51</v>
      </c>
      <c r="I145" s="5" t="s">
        <v>208</v>
      </c>
      <c r="J145" s="5" t="s">
        <v>56</v>
      </c>
      <c r="K145" s="5" t="s">
        <v>69</v>
      </c>
      <c r="L145" s="5" t="s">
        <v>73</v>
      </c>
      <c r="M145" s="5" t="s">
        <v>58</v>
      </c>
      <c r="N145" s="5" t="s">
        <v>47</v>
      </c>
      <c r="O145" s="5" t="s">
        <v>50</v>
      </c>
      <c r="P145" s="5" t="s">
        <v>64</v>
      </c>
      <c r="Q145" s="5" t="s">
        <v>210</v>
      </c>
      <c r="R145" s="5" t="s">
        <v>70</v>
      </c>
      <c r="S145" s="5" t="s">
        <v>72</v>
      </c>
      <c r="T145" s="1">
        <v>7</v>
      </c>
      <c r="U145" s="1">
        <v>57</v>
      </c>
      <c r="V145" s="1">
        <v>36</v>
      </c>
    </row>
    <row r="146" spans="1:22" x14ac:dyDescent="0.3">
      <c r="A146" s="42">
        <v>131</v>
      </c>
      <c r="B146" s="4"/>
      <c r="C146" s="6" t="s">
        <v>157</v>
      </c>
      <c r="D146" s="5"/>
      <c r="E146" s="5" t="s">
        <v>61</v>
      </c>
      <c r="F146" s="5" t="s">
        <v>71</v>
      </c>
      <c r="G146" s="5" t="s">
        <v>57</v>
      </c>
      <c r="H146" s="5" t="s">
        <v>51</v>
      </c>
      <c r="I146" s="5" t="s">
        <v>208</v>
      </c>
      <c r="J146" s="5" t="s">
        <v>74</v>
      </c>
      <c r="K146" s="5" t="s">
        <v>59</v>
      </c>
      <c r="L146" s="5" t="s">
        <v>60</v>
      </c>
      <c r="M146" s="5" t="s">
        <v>65</v>
      </c>
      <c r="N146" s="5" t="s">
        <v>47</v>
      </c>
      <c r="O146" s="5" t="s">
        <v>50</v>
      </c>
      <c r="P146" s="5" t="s">
        <v>64</v>
      </c>
      <c r="Q146" s="5" t="s">
        <v>210</v>
      </c>
      <c r="R146" s="5" t="s">
        <v>70</v>
      </c>
      <c r="S146" s="5" t="s">
        <v>67</v>
      </c>
      <c r="T146" s="1">
        <v>7</v>
      </c>
      <c r="U146" s="1">
        <v>51</v>
      </c>
      <c r="V146" s="1">
        <v>36</v>
      </c>
    </row>
    <row r="147" spans="1:22" ht="28.8" x14ac:dyDescent="0.3">
      <c r="A147" s="42">
        <v>132</v>
      </c>
      <c r="B147" s="4"/>
      <c r="C147" s="6" t="s">
        <v>125</v>
      </c>
      <c r="D147" s="5"/>
      <c r="E147" s="5" t="s">
        <v>52</v>
      </c>
      <c r="F147" s="5" t="s">
        <v>71</v>
      </c>
      <c r="G147" s="5" t="s">
        <v>57</v>
      </c>
      <c r="H147" s="5" t="s">
        <v>54</v>
      </c>
      <c r="I147" s="5" t="s">
        <v>208</v>
      </c>
      <c r="J147" s="5" t="s">
        <v>74</v>
      </c>
      <c r="K147" s="5" t="s">
        <v>69</v>
      </c>
      <c r="L147" s="5" t="s">
        <v>60</v>
      </c>
      <c r="M147" s="5" t="s">
        <v>58</v>
      </c>
      <c r="N147" s="5" t="s">
        <v>75</v>
      </c>
      <c r="O147" s="5" t="s">
        <v>53</v>
      </c>
      <c r="P147" s="5" t="s">
        <v>64</v>
      </c>
      <c r="Q147" s="5" t="s">
        <v>210</v>
      </c>
      <c r="R147" s="5" t="s">
        <v>70</v>
      </c>
      <c r="S147" s="5" t="s">
        <v>67</v>
      </c>
      <c r="T147" s="1">
        <v>7</v>
      </c>
      <c r="U147" s="1">
        <v>64</v>
      </c>
      <c r="V147" s="1">
        <v>35</v>
      </c>
    </row>
    <row r="148" spans="1:22" ht="28.8" x14ac:dyDescent="0.3">
      <c r="A148" s="42">
        <v>133</v>
      </c>
      <c r="B148" s="4"/>
      <c r="C148" s="6" t="s">
        <v>6</v>
      </c>
      <c r="D148" s="5"/>
      <c r="E148" s="5" t="s">
        <v>52</v>
      </c>
      <c r="F148" s="5" t="s">
        <v>62</v>
      </c>
      <c r="G148" s="5" t="s">
        <v>57</v>
      </c>
      <c r="H148" s="5" t="s">
        <v>54</v>
      </c>
      <c r="I148" s="5" t="s">
        <v>55</v>
      </c>
      <c r="J148" s="5" t="s">
        <v>74</v>
      </c>
      <c r="K148" s="5" t="s">
        <v>59</v>
      </c>
      <c r="L148" s="5" t="s">
        <v>60</v>
      </c>
      <c r="M148" s="5" t="s">
        <v>65</v>
      </c>
      <c r="N148" s="5" t="s">
        <v>75</v>
      </c>
      <c r="O148" s="5" t="s">
        <v>53</v>
      </c>
      <c r="P148" s="5" t="s">
        <v>64</v>
      </c>
      <c r="Q148" s="5" t="s">
        <v>210</v>
      </c>
      <c r="R148" s="5" t="s">
        <v>70</v>
      </c>
      <c r="S148" s="5" t="s">
        <v>67</v>
      </c>
      <c r="T148" s="1">
        <v>7</v>
      </c>
      <c r="U148" s="1">
        <v>55</v>
      </c>
      <c r="V148" s="1">
        <v>31</v>
      </c>
    </row>
    <row r="149" spans="1:22" ht="28.8" x14ac:dyDescent="0.3">
      <c r="A149" s="42">
        <v>134</v>
      </c>
      <c r="B149" s="4"/>
      <c r="C149" s="6" t="s">
        <v>184</v>
      </c>
      <c r="D149" s="5"/>
      <c r="E149" s="5" t="s">
        <v>61</v>
      </c>
      <c r="F149" s="5" t="s">
        <v>71</v>
      </c>
      <c r="G149" s="5" t="s">
        <v>63</v>
      </c>
      <c r="H149" s="5" t="s">
        <v>51</v>
      </c>
      <c r="I149" s="5" t="s">
        <v>208</v>
      </c>
      <c r="J149" s="5" t="s">
        <v>74</v>
      </c>
      <c r="K149" s="5" t="s">
        <v>59</v>
      </c>
      <c r="L149" s="5" t="s">
        <v>73</v>
      </c>
      <c r="M149" s="5" t="s">
        <v>58</v>
      </c>
      <c r="N149" s="5" t="s">
        <v>47</v>
      </c>
      <c r="O149" s="5" t="s">
        <v>53</v>
      </c>
      <c r="P149" s="5" t="s">
        <v>64</v>
      </c>
      <c r="Q149" s="5" t="s">
        <v>66</v>
      </c>
      <c r="R149" s="5" t="s">
        <v>70</v>
      </c>
      <c r="S149" s="5" t="s">
        <v>72</v>
      </c>
      <c r="T149" s="1">
        <v>7</v>
      </c>
      <c r="U149" s="1">
        <v>58</v>
      </c>
      <c r="V149" s="1">
        <v>30</v>
      </c>
    </row>
    <row r="150" spans="1:22" x14ac:dyDescent="0.3">
      <c r="A150" s="42">
        <v>135</v>
      </c>
      <c r="B150" s="4"/>
      <c r="C150" s="6" t="s">
        <v>40</v>
      </c>
      <c r="D150" s="5"/>
      <c r="E150" s="5" t="s">
        <v>52</v>
      </c>
      <c r="F150" s="5" t="s">
        <v>71</v>
      </c>
      <c r="G150" s="5" t="s">
        <v>57</v>
      </c>
      <c r="H150" s="5" t="s">
        <v>54</v>
      </c>
      <c r="I150" s="5" t="s">
        <v>208</v>
      </c>
      <c r="J150" s="5" t="s">
        <v>74</v>
      </c>
      <c r="K150" s="5" t="s">
        <v>69</v>
      </c>
      <c r="L150" s="5" t="s">
        <v>73</v>
      </c>
      <c r="M150" s="5" t="s">
        <v>65</v>
      </c>
      <c r="N150" s="5" t="s">
        <v>75</v>
      </c>
      <c r="O150" s="5" t="s">
        <v>50</v>
      </c>
      <c r="P150" s="5" t="s">
        <v>68</v>
      </c>
      <c r="Q150" s="5" t="s">
        <v>66</v>
      </c>
      <c r="R150" s="5" t="s">
        <v>70</v>
      </c>
      <c r="S150" s="5" t="s">
        <v>67</v>
      </c>
      <c r="T150" s="1">
        <v>6</v>
      </c>
      <c r="U150" s="1">
        <v>62</v>
      </c>
      <c r="V150" s="1">
        <v>44</v>
      </c>
    </row>
    <row r="151" spans="1:22" x14ac:dyDescent="0.3">
      <c r="A151" s="42">
        <v>136</v>
      </c>
      <c r="B151" s="4"/>
      <c r="C151" s="6" t="s">
        <v>119</v>
      </c>
      <c r="D151" s="5"/>
      <c r="E151" s="5" t="s">
        <v>61</v>
      </c>
      <c r="F151" s="5" t="s">
        <v>71</v>
      </c>
      <c r="G151" s="5" t="s">
        <v>57</v>
      </c>
      <c r="H151" s="5" t="s">
        <v>54</v>
      </c>
      <c r="I151" s="5" t="s">
        <v>208</v>
      </c>
      <c r="J151" s="5" t="s">
        <v>74</v>
      </c>
      <c r="K151" s="5" t="s">
        <v>59</v>
      </c>
      <c r="L151" s="5" t="s">
        <v>73</v>
      </c>
      <c r="M151" s="5" t="s">
        <v>58</v>
      </c>
      <c r="N151" s="5" t="s">
        <v>75</v>
      </c>
      <c r="O151" s="5" t="s">
        <v>50</v>
      </c>
      <c r="P151" s="5" t="s">
        <v>64</v>
      </c>
      <c r="Q151" s="5" t="s">
        <v>66</v>
      </c>
      <c r="R151" s="5" t="s">
        <v>70</v>
      </c>
      <c r="S151" s="5" t="s">
        <v>67</v>
      </c>
      <c r="T151" s="1">
        <v>6</v>
      </c>
      <c r="U151" s="1">
        <v>62</v>
      </c>
      <c r="V151" s="1">
        <v>45</v>
      </c>
    </row>
    <row r="152" spans="1:22" ht="28.8" x14ac:dyDescent="0.3">
      <c r="A152" s="42">
        <v>137</v>
      </c>
      <c r="B152" s="4"/>
      <c r="C152" s="6" t="s">
        <v>17</v>
      </c>
      <c r="D152" s="5"/>
      <c r="E152" s="5" t="s">
        <v>61</v>
      </c>
      <c r="F152" s="5" t="s">
        <v>62</v>
      </c>
      <c r="G152" s="5" t="s">
        <v>63</v>
      </c>
      <c r="H152" s="5" t="s">
        <v>54</v>
      </c>
      <c r="I152" s="5" t="s">
        <v>208</v>
      </c>
      <c r="J152" s="5" t="s">
        <v>74</v>
      </c>
      <c r="K152" s="5" t="s">
        <v>59</v>
      </c>
      <c r="L152" s="5" t="s">
        <v>60</v>
      </c>
      <c r="M152" s="5" t="s">
        <v>58</v>
      </c>
      <c r="N152" s="5" t="s">
        <v>47</v>
      </c>
      <c r="O152" s="5" t="s">
        <v>50</v>
      </c>
      <c r="P152" s="5" t="s">
        <v>64</v>
      </c>
      <c r="Q152" s="5" t="s">
        <v>210</v>
      </c>
      <c r="R152" s="5" t="s">
        <v>48</v>
      </c>
      <c r="S152" s="5" t="s">
        <v>67</v>
      </c>
      <c r="T152" s="1">
        <v>6</v>
      </c>
      <c r="U152" s="1">
        <v>64</v>
      </c>
      <c r="V152" s="1">
        <v>42</v>
      </c>
    </row>
    <row r="153" spans="1:22" x14ac:dyDescent="0.3">
      <c r="A153" s="42">
        <v>138</v>
      </c>
      <c r="B153" s="4"/>
      <c r="C153" s="6" t="s">
        <v>106</v>
      </c>
      <c r="D153" s="5"/>
      <c r="E153" s="5" t="s">
        <v>52</v>
      </c>
      <c r="F153" s="5" t="s">
        <v>71</v>
      </c>
      <c r="G153" s="5" t="s">
        <v>63</v>
      </c>
      <c r="H153" s="5" t="s">
        <v>54</v>
      </c>
      <c r="I153" s="5" t="s">
        <v>55</v>
      </c>
      <c r="J153" s="5" t="s">
        <v>56</v>
      </c>
      <c r="K153" s="5" t="s">
        <v>59</v>
      </c>
      <c r="L153" s="5" t="s">
        <v>60</v>
      </c>
      <c r="M153" s="5" t="s">
        <v>58</v>
      </c>
      <c r="N153" s="5" t="s">
        <v>75</v>
      </c>
      <c r="O153" s="5" t="s">
        <v>50</v>
      </c>
      <c r="P153" s="5" t="s">
        <v>68</v>
      </c>
      <c r="Q153" s="5" t="s">
        <v>210</v>
      </c>
      <c r="R153" s="5" t="s">
        <v>70</v>
      </c>
      <c r="S153" s="5" t="s">
        <v>72</v>
      </c>
      <c r="T153" s="1">
        <v>6</v>
      </c>
      <c r="U153" s="1">
        <v>62</v>
      </c>
      <c r="V153" s="1">
        <v>42</v>
      </c>
    </row>
    <row r="154" spans="1:22" ht="43.2" x14ac:dyDescent="0.3">
      <c r="A154" s="42">
        <v>139</v>
      </c>
      <c r="B154" s="4"/>
      <c r="C154" s="6" t="s">
        <v>171</v>
      </c>
      <c r="D154" s="5"/>
      <c r="E154" s="5" t="s">
        <v>61</v>
      </c>
      <c r="F154" s="5" t="s">
        <v>62</v>
      </c>
      <c r="G154" s="5" t="s">
        <v>57</v>
      </c>
      <c r="H154" s="5" t="s">
        <v>51</v>
      </c>
      <c r="I154" s="5" t="s">
        <v>208</v>
      </c>
      <c r="J154" s="5" t="s">
        <v>74</v>
      </c>
      <c r="K154" s="5" t="s">
        <v>59</v>
      </c>
      <c r="L154" s="5" t="s">
        <v>73</v>
      </c>
      <c r="M154" s="5" t="s">
        <v>58</v>
      </c>
      <c r="N154" s="5" t="s">
        <v>75</v>
      </c>
      <c r="O154" s="5" t="s">
        <v>50</v>
      </c>
      <c r="P154" s="5" t="s">
        <v>64</v>
      </c>
      <c r="Q154" s="5" t="s">
        <v>66</v>
      </c>
      <c r="R154" s="5" t="s">
        <v>70</v>
      </c>
      <c r="S154" s="5" t="s">
        <v>67</v>
      </c>
      <c r="T154" s="1">
        <v>6</v>
      </c>
      <c r="U154" s="1">
        <v>55</v>
      </c>
      <c r="V154" s="1">
        <v>42</v>
      </c>
    </row>
    <row r="155" spans="1:22" x14ac:dyDescent="0.3">
      <c r="A155" s="42">
        <v>140</v>
      </c>
      <c r="B155" s="4"/>
      <c r="C155" s="6" t="s">
        <v>183</v>
      </c>
      <c r="D155" s="5"/>
      <c r="E155" s="5" t="s">
        <v>61</v>
      </c>
      <c r="F155" s="5" t="s">
        <v>71</v>
      </c>
      <c r="G155" s="5" t="s">
        <v>57</v>
      </c>
      <c r="H155" s="5" t="s">
        <v>54</v>
      </c>
      <c r="I155" s="5" t="s">
        <v>208</v>
      </c>
      <c r="J155" s="5" t="s">
        <v>74</v>
      </c>
      <c r="K155" s="5" t="s">
        <v>59</v>
      </c>
      <c r="L155" s="5" t="s">
        <v>73</v>
      </c>
      <c r="M155" s="5" t="s">
        <v>65</v>
      </c>
      <c r="N155" s="5" t="s">
        <v>47</v>
      </c>
      <c r="O155" s="5" t="s">
        <v>50</v>
      </c>
      <c r="P155" s="5" t="s">
        <v>64</v>
      </c>
      <c r="Q155" s="5" t="s">
        <v>66</v>
      </c>
      <c r="R155" s="5" t="s">
        <v>70</v>
      </c>
      <c r="S155" s="5" t="s">
        <v>67</v>
      </c>
      <c r="T155" s="1">
        <v>6</v>
      </c>
      <c r="U155" s="1">
        <v>59</v>
      </c>
      <c r="V155" s="1">
        <v>42</v>
      </c>
    </row>
    <row r="156" spans="1:22" ht="28.8" x14ac:dyDescent="0.3">
      <c r="A156" s="42">
        <v>141</v>
      </c>
      <c r="B156" s="4"/>
      <c r="C156" s="6" t="s">
        <v>185</v>
      </c>
      <c r="D156" s="5"/>
      <c r="E156" s="5" t="s">
        <v>52</v>
      </c>
      <c r="F156" s="5" t="s">
        <v>71</v>
      </c>
      <c r="G156" s="5" t="s">
        <v>57</v>
      </c>
      <c r="H156" s="5" t="s">
        <v>54</v>
      </c>
      <c r="I156" s="5" t="s">
        <v>208</v>
      </c>
      <c r="J156" s="5" t="s">
        <v>74</v>
      </c>
      <c r="K156" s="5" t="s">
        <v>59</v>
      </c>
      <c r="L156" s="5" t="s">
        <v>73</v>
      </c>
      <c r="M156" s="5" t="s">
        <v>65</v>
      </c>
      <c r="N156" s="5" t="s">
        <v>75</v>
      </c>
      <c r="O156" s="5" t="s">
        <v>53</v>
      </c>
      <c r="P156" s="5" t="s">
        <v>64</v>
      </c>
      <c r="Q156" s="5" t="s">
        <v>210</v>
      </c>
      <c r="R156" s="5" t="s">
        <v>70</v>
      </c>
      <c r="S156" s="5" t="s">
        <v>67</v>
      </c>
      <c r="T156" s="1">
        <v>6</v>
      </c>
      <c r="U156" s="1">
        <v>56</v>
      </c>
      <c r="V156" s="1">
        <v>47</v>
      </c>
    </row>
    <row r="157" spans="1:22" x14ac:dyDescent="0.3">
      <c r="A157" s="42">
        <v>142</v>
      </c>
      <c r="B157" s="4"/>
      <c r="C157" s="6" t="s">
        <v>97</v>
      </c>
      <c r="D157" s="5"/>
      <c r="E157" s="5" t="s">
        <v>52</v>
      </c>
      <c r="F157" s="5" t="s">
        <v>71</v>
      </c>
      <c r="G157" s="5" t="s">
        <v>57</v>
      </c>
      <c r="H157" s="5" t="s">
        <v>54</v>
      </c>
      <c r="I157" s="5" t="s">
        <v>208</v>
      </c>
      <c r="J157" s="5" t="s">
        <v>74</v>
      </c>
      <c r="K157" s="5" t="s">
        <v>59</v>
      </c>
      <c r="L157" s="5" t="s">
        <v>60</v>
      </c>
      <c r="M157" s="5" t="s">
        <v>65</v>
      </c>
      <c r="N157" s="5" t="s">
        <v>75</v>
      </c>
      <c r="O157" s="5" t="s">
        <v>50</v>
      </c>
      <c r="P157" s="5" t="s">
        <v>64</v>
      </c>
      <c r="Q157" s="5" t="s">
        <v>210</v>
      </c>
      <c r="R157" s="5" t="s">
        <v>70</v>
      </c>
      <c r="S157" s="5" t="s">
        <v>67</v>
      </c>
      <c r="T157" s="1">
        <v>6</v>
      </c>
      <c r="U157" s="1">
        <v>54</v>
      </c>
      <c r="V157" s="1">
        <v>47</v>
      </c>
    </row>
    <row r="158" spans="1:22" x14ac:dyDescent="0.3">
      <c r="A158" s="42">
        <v>143</v>
      </c>
      <c r="B158" s="4"/>
      <c r="C158" s="6" t="s">
        <v>12</v>
      </c>
      <c r="D158" s="5"/>
      <c r="E158" s="5" t="s">
        <v>52</v>
      </c>
      <c r="F158" s="5" t="s">
        <v>62</v>
      </c>
      <c r="G158" s="5" t="s">
        <v>57</v>
      </c>
      <c r="H158" s="5" t="s">
        <v>54</v>
      </c>
      <c r="I158" s="5" t="s">
        <v>55</v>
      </c>
      <c r="J158" s="5" t="s">
        <v>56</v>
      </c>
      <c r="K158" s="5" t="s">
        <v>59</v>
      </c>
      <c r="L158" s="5" t="s">
        <v>73</v>
      </c>
      <c r="M158" s="5" t="s">
        <v>65</v>
      </c>
      <c r="N158" s="5" t="s">
        <v>47</v>
      </c>
      <c r="O158" s="5" t="s">
        <v>50</v>
      </c>
      <c r="P158" s="5" t="s">
        <v>64</v>
      </c>
      <c r="Q158" s="5" t="s">
        <v>210</v>
      </c>
      <c r="R158" s="5" t="s">
        <v>48</v>
      </c>
      <c r="S158" s="5" t="s">
        <v>67</v>
      </c>
      <c r="T158" s="1">
        <v>6</v>
      </c>
      <c r="U158" s="1">
        <v>57</v>
      </c>
      <c r="V158" s="1">
        <v>40</v>
      </c>
    </row>
    <row r="159" spans="1:22" x14ac:dyDescent="0.3">
      <c r="A159" s="42">
        <v>144</v>
      </c>
      <c r="B159" s="4"/>
      <c r="C159" s="6" t="s">
        <v>43</v>
      </c>
      <c r="D159" s="5"/>
      <c r="E159" s="5" t="s">
        <v>61</v>
      </c>
      <c r="F159" s="5" t="s">
        <v>71</v>
      </c>
      <c r="G159" s="5" t="s">
        <v>57</v>
      </c>
      <c r="H159" s="5" t="s">
        <v>54</v>
      </c>
      <c r="I159" s="5" t="s">
        <v>208</v>
      </c>
      <c r="J159" s="5" t="s">
        <v>74</v>
      </c>
      <c r="K159" s="5" t="s">
        <v>69</v>
      </c>
      <c r="L159" s="5" t="s">
        <v>73</v>
      </c>
      <c r="M159" s="5" t="s">
        <v>65</v>
      </c>
      <c r="N159" s="5" t="s">
        <v>47</v>
      </c>
      <c r="O159" s="5" t="s">
        <v>50</v>
      </c>
      <c r="P159" s="5" t="s">
        <v>64</v>
      </c>
      <c r="Q159" s="5" t="s">
        <v>210</v>
      </c>
      <c r="R159" s="5" t="s">
        <v>70</v>
      </c>
      <c r="S159" s="5" t="s">
        <v>67</v>
      </c>
      <c r="T159" s="1">
        <v>6</v>
      </c>
      <c r="U159" s="1">
        <v>57</v>
      </c>
      <c r="V159" s="1">
        <v>40</v>
      </c>
    </row>
    <row r="160" spans="1:22" x14ac:dyDescent="0.3">
      <c r="A160" s="42">
        <v>145</v>
      </c>
      <c r="B160" s="4"/>
      <c r="C160" s="6" t="s">
        <v>35</v>
      </c>
      <c r="D160" s="5"/>
      <c r="E160" s="5" t="s">
        <v>52</v>
      </c>
      <c r="F160" s="5" t="s">
        <v>71</v>
      </c>
      <c r="G160" s="5" t="s">
        <v>57</v>
      </c>
      <c r="H160" s="5" t="s">
        <v>54</v>
      </c>
      <c r="I160" s="5" t="s">
        <v>208</v>
      </c>
      <c r="J160" s="5" t="s">
        <v>56</v>
      </c>
      <c r="K160" s="5" t="s">
        <v>69</v>
      </c>
      <c r="L160" s="5" t="s">
        <v>73</v>
      </c>
      <c r="M160" s="5" t="s">
        <v>58</v>
      </c>
      <c r="N160" s="5" t="s">
        <v>47</v>
      </c>
      <c r="O160" s="5" t="s">
        <v>50</v>
      </c>
      <c r="P160" s="5" t="s">
        <v>64</v>
      </c>
      <c r="Q160" s="5" t="s">
        <v>210</v>
      </c>
      <c r="R160" s="5" t="s">
        <v>48</v>
      </c>
      <c r="S160" s="5" t="s">
        <v>67</v>
      </c>
      <c r="T160" s="1">
        <v>6</v>
      </c>
      <c r="U160" s="1">
        <v>55</v>
      </c>
      <c r="V160" s="1">
        <v>48</v>
      </c>
    </row>
    <row r="161" spans="1:22" x14ac:dyDescent="0.3">
      <c r="A161" s="42">
        <v>146</v>
      </c>
      <c r="B161" s="4"/>
      <c r="C161" s="6" t="s">
        <v>109</v>
      </c>
      <c r="D161" s="5"/>
      <c r="E161" s="5" t="s">
        <v>52</v>
      </c>
      <c r="F161" s="5" t="s">
        <v>71</v>
      </c>
      <c r="G161" s="5" t="s">
        <v>57</v>
      </c>
      <c r="H161" s="5" t="s">
        <v>51</v>
      </c>
      <c r="I161" s="5" t="s">
        <v>208</v>
      </c>
      <c r="J161" s="5" t="s">
        <v>56</v>
      </c>
      <c r="K161" s="5" t="s">
        <v>69</v>
      </c>
      <c r="L161" s="5" t="s">
        <v>73</v>
      </c>
      <c r="M161" s="5" t="s">
        <v>65</v>
      </c>
      <c r="N161" s="5" t="s">
        <v>47</v>
      </c>
      <c r="O161" s="5" t="s">
        <v>50</v>
      </c>
      <c r="P161" s="5" t="s">
        <v>64</v>
      </c>
      <c r="Q161" s="5" t="s">
        <v>210</v>
      </c>
      <c r="R161" s="5" t="s">
        <v>70</v>
      </c>
      <c r="S161" s="5" t="s">
        <v>72</v>
      </c>
      <c r="T161" s="1">
        <v>6</v>
      </c>
      <c r="U161" s="1">
        <v>61</v>
      </c>
      <c r="V161" s="1">
        <v>48</v>
      </c>
    </row>
    <row r="162" spans="1:22" ht="28.8" x14ac:dyDescent="0.3">
      <c r="A162" s="42">
        <v>147</v>
      </c>
      <c r="B162" s="4"/>
      <c r="C162" s="6" t="s">
        <v>80</v>
      </c>
      <c r="D162" s="5"/>
      <c r="E162" s="5" t="s">
        <v>61</v>
      </c>
      <c r="F162" s="5" t="s">
        <v>62</v>
      </c>
      <c r="G162" s="5" t="s">
        <v>57</v>
      </c>
      <c r="H162" s="5" t="s">
        <v>54</v>
      </c>
      <c r="I162" s="5" t="s">
        <v>208</v>
      </c>
      <c r="J162" s="5" t="s">
        <v>56</v>
      </c>
      <c r="K162" s="5" t="s">
        <v>69</v>
      </c>
      <c r="L162" s="5" t="s">
        <v>73</v>
      </c>
      <c r="M162" s="5" t="s">
        <v>58</v>
      </c>
      <c r="N162" s="5" t="s">
        <v>75</v>
      </c>
      <c r="O162" s="5" t="s">
        <v>53</v>
      </c>
      <c r="P162" s="5" t="s">
        <v>68</v>
      </c>
      <c r="Q162" s="5" t="s">
        <v>66</v>
      </c>
      <c r="R162" s="5" t="s">
        <v>70</v>
      </c>
      <c r="S162" s="5" t="s">
        <v>72</v>
      </c>
      <c r="T162" s="1">
        <v>6</v>
      </c>
      <c r="U162" s="1">
        <v>56</v>
      </c>
      <c r="V162" s="1">
        <v>39</v>
      </c>
    </row>
    <row r="163" spans="1:22" x14ac:dyDescent="0.3">
      <c r="A163" s="42">
        <v>148</v>
      </c>
      <c r="B163" s="4"/>
      <c r="C163" s="6" t="s">
        <v>45</v>
      </c>
      <c r="D163" s="5"/>
      <c r="E163" s="5" t="s">
        <v>52</v>
      </c>
      <c r="F163" s="5" t="s">
        <v>71</v>
      </c>
      <c r="G163" s="5" t="s">
        <v>57</v>
      </c>
      <c r="H163" s="5" t="s">
        <v>54</v>
      </c>
      <c r="I163" s="5" t="s">
        <v>208</v>
      </c>
      <c r="J163" s="5" t="s">
        <v>74</v>
      </c>
      <c r="K163" s="5" t="s">
        <v>69</v>
      </c>
      <c r="L163" s="5" t="s">
        <v>73</v>
      </c>
      <c r="M163" s="5" t="s">
        <v>65</v>
      </c>
      <c r="N163" s="5" t="s">
        <v>47</v>
      </c>
      <c r="O163" s="5" t="s">
        <v>50</v>
      </c>
      <c r="P163" s="5" t="s">
        <v>64</v>
      </c>
      <c r="Q163" s="5" t="s">
        <v>210</v>
      </c>
      <c r="R163" s="5" t="s">
        <v>48</v>
      </c>
      <c r="S163" s="5" t="s">
        <v>67</v>
      </c>
      <c r="T163" s="1">
        <v>6</v>
      </c>
      <c r="U163" s="1">
        <v>52</v>
      </c>
      <c r="V163" s="1">
        <v>38</v>
      </c>
    </row>
    <row r="164" spans="1:22" ht="28.8" x14ac:dyDescent="0.3">
      <c r="A164" s="42">
        <v>149</v>
      </c>
      <c r="B164" s="4"/>
      <c r="C164" s="6" t="s">
        <v>34</v>
      </c>
      <c r="D164" s="5"/>
      <c r="E164" s="5" t="s">
        <v>52</v>
      </c>
      <c r="F164" s="5" t="s">
        <v>71</v>
      </c>
      <c r="G164" s="5" t="s">
        <v>57</v>
      </c>
      <c r="H164" s="5" t="s">
        <v>54</v>
      </c>
      <c r="I164" s="5" t="s">
        <v>208</v>
      </c>
      <c r="J164" s="5" t="s">
        <v>74</v>
      </c>
      <c r="K164" s="5" t="s">
        <v>59</v>
      </c>
      <c r="L164" s="5" t="s">
        <v>73</v>
      </c>
      <c r="M164" s="5" t="s">
        <v>65</v>
      </c>
      <c r="N164" s="5" t="s">
        <v>75</v>
      </c>
      <c r="O164" s="5" t="s">
        <v>53</v>
      </c>
      <c r="P164" s="5" t="s">
        <v>68</v>
      </c>
      <c r="Q164" s="5" t="s">
        <v>210</v>
      </c>
      <c r="R164" s="5" t="s">
        <v>48</v>
      </c>
      <c r="S164" s="5" t="s">
        <v>67</v>
      </c>
      <c r="T164" s="1">
        <v>6</v>
      </c>
      <c r="U164" s="1">
        <v>55</v>
      </c>
      <c r="V164" s="1">
        <v>38</v>
      </c>
    </row>
    <row r="165" spans="1:22" ht="28.8" x14ac:dyDescent="0.3">
      <c r="A165" s="42">
        <v>150</v>
      </c>
      <c r="B165" s="4"/>
      <c r="C165" s="6" t="s">
        <v>196</v>
      </c>
      <c r="D165" s="5"/>
      <c r="E165" s="5" t="s">
        <v>52</v>
      </c>
      <c r="F165" s="5" t="s">
        <v>62</v>
      </c>
      <c r="G165" s="5" t="s">
        <v>63</v>
      </c>
      <c r="H165" s="5" t="s">
        <v>51</v>
      </c>
      <c r="I165" s="5" t="s">
        <v>55</v>
      </c>
      <c r="J165" s="5" t="s">
        <v>74</v>
      </c>
      <c r="K165" s="5" t="s">
        <v>69</v>
      </c>
      <c r="L165" s="5" t="s">
        <v>60</v>
      </c>
      <c r="M165" s="5" t="s">
        <v>58</v>
      </c>
      <c r="N165" s="5" t="s">
        <v>47</v>
      </c>
      <c r="O165" s="5" t="s">
        <v>53</v>
      </c>
      <c r="P165" s="5" t="s">
        <v>68</v>
      </c>
      <c r="Q165" s="5" t="s">
        <v>210</v>
      </c>
      <c r="R165" s="5" t="s">
        <v>70</v>
      </c>
      <c r="S165" s="5" t="s">
        <v>72</v>
      </c>
      <c r="T165" s="1">
        <v>6</v>
      </c>
      <c r="U165" s="1">
        <v>56</v>
      </c>
      <c r="V165" s="1">
        <v>35</v>
      </c>
    </row>
    <row r="166" spans="1:22" x14ac:dyDescent="0.3">
      <c r="A166" s="42">
        <v>151</v>
      </c>
      <c r="B166" s="4"/>
      <c r="C166" s="6" t="s">
        <v>128</v>
      </c>
      <c r="D166" s="5"/>
      <c r="E166" s="5" t="s">
        <v>52</v>
      </c>
      <c r="F166" s="5" t="s">
        <v>71</v>
      </c>
      <c r="G166" s="5" t="s">
        <v>57</v>
      </c>
      <c r="H166" s="5" t="s">
        <v>54</v>
      </c>
      <c r="I166" s="5" t="s">
        <v>208</v>
      </c>
      <c r="J166" s="5" t="s">
        <v>74</v>
      </c>
      <c r="K166" s="5" t="s">
        <v>69</v>
      </c>
      <c r="L166" s="5" t="s">
        <v>73</v>
      </c>
      <c r="M166" s="5" t="s">
        <v>65</v>
      </c>
      <c r="N166" s="5" t="s">
        <v>47</v>
      </c>
      <c r="O166" s="5" t="s">
        <v>53</v>
      </c>
      <c r="P166" s="5" t="s">
        <v>64</v>
      </c>
      <c r="Q166" s="5" t="s">
        <v>210</v>
      </c>
      <c r="R166" s="5" t="s">
        <v>48</v>
      </c>
      <c r="S166" s="5" t="s">
        <v>72</v>
      </c>
      <c r="T166" s="1">
        <v>6</v>
      </c>
      <c r="U166" s="1">
        <v>56</v>
      </c>
      <c r="V166" s="1">
        <v>30</v>
      </c>
    </row>
    <row r="167" spans="1:22" x14ac:dyDescent="0.3">
      <c r="A167" s="42">
        <v>152</v>
      </c>
      <c r="B167" s="4"/>
      <c r="C167" s="6" t="s">
        <v>82</v>
      </c>
      <c r="D167" s="5"/>
      <c r="E167" s="5" t="s">
        <v>61</v>
      </c>
      <c r="F167" s="5" t="s">
        <v>62</v>
      </c>
      <c r="G167" s="5" t="s">
        <v>57</v>
      </c>
      <c r="H167" s="5" t="s">
        <v>54</v>
      </c>
      <c r="I167" s="5" t="s">
        <v>208</v>
      </c>
      <c r="J167" s="5" t="s">
        <v>74</v>
      </c>
      <c r="K167" s="5" t="s">
        <v>59</v>
      </c>
      <c r="L167" s="5" t="s">
        <v>60</v>
      </c>
      <c r="M167" s="5" t="s">
        <v>58</v>
      </c>
      <c r="N167" s="5" t="s">
        <v>47</v>
      </c>
      <c r="O167" s="5" t="s">
        <v>53</v>
      </c>
      <c r="P167" s="5" t="s">
        <v>64</v>
      </c>
      <c r="Q167" s="5" t="s">
        <v>210</v>
      </c>
      <c r="R167" s="5" t="s">
        <v>48</v>
      </c>
      <c r="S167" s="5" t="s">
        <v>72</v>
      </c>
      <c r="T167" s="1">
        <v>5</v>
      </c>
      <c r="U167" s="1">
        <v>56</v>
      </c>
      <c r="V167" s="1">
        <v>44</v>
      </c>
    </row>
    <row r="168" spans="1:22" x14ac:dyDescent="0.3">
      <c r="A168" s="42">
        <v>153</v>
      </c>
      <c r="B168" s="4"/>
      <c r="C168" s="6" t="s">
        <v>91</v>
      </c>
      <c r="D168" s="5"/>
      <c r="E168" s="5" t="s">
        <v>52</v>
      </c>
      <c r="F168" s="5" t="s">
        <v>62</v>
      </c>
      <c r="G168" s="5" t="s">
        <v>63</v>
      </c>
      <c r="H168" s="5" t="s">
        <v>51</v>
      </c>
      <c r="I168" s="5" t="s">
        <v>208</v>
      </c>
      <c r="J168" s="5" t="s">
        <v>74</v>
      </c>
      <c r="K168" s="5" t="s">
        <v>59</v>
      </c>
      <c r="L168" s="5" t="s">
        <v>73</v>
      </c>
      <c r="M168" s="5" t="s">
        <v>58</v>
      </c>
      <c r="N168" s="5" t="s">
        <v>47</v>
      </c>
      <c r="O168" s="5" t="s">
        <v>53</v>
      </c>
      <c r="P168" s="5" t="s">
        <v>68</v>
      </c>
      <c r="Q168" s="5" t="s">
        <v>210</v>
      </c>
      <c r="R168" s="5" t="s">
        <v>48</v>
      </c>
      <c r="S168" s="5" t="s">
        <v>67</v>
      </c>
      <c r="T168" s="1">
        <v>5</v>
      </c>
      <c r="U168" s="1">
        <v>59</v>
      </c>
      <c r="V168" s="1">
        <v>45</v>
      </c>
    </row>
    <row r="169" spans="1:22" x14ac:dyDescent="0.3">
      <c r="A169" s="42">
        <v>154</v>
      </c>
      <c r="B169" s="4"/>
      <c r="C169" s="6" t="s">
        <v>161</v>
      </c>
      <c r="D169" s="5"/>
      <c r="E169" s="5" t="s">
        <v>61</v>
      </c>
      <c r="F169" s="5" t="s">
        <v>62</v>
      </c>
      <c r="G169" s="5" t="s">
        <v>57</v>
      </c>
      <c r="H169" s="5" t="s">
        <v>54</v>
      </c>
      <c r="I169" s="5" t="s">
        <v>208</v>
      </c>
      <c r="J169" s="5" t="s">
        <v>74</v>
      </c>
      <c r="K169" s="5" t="s">
        <v>59</v>
      </c>
      <c r="L169" s="5" t="s">
        <v>60</v>
      </c>
      <c r="M169" s="5" t="s">
        <v>65</v>
      </c>
      <c r="N169" s="5" t="s">
        <v>75</v>
      </c>
      <c r="O169" s="5" t="s">
        <v>50</v>
      </c>
      <c r="P169" s="5" t="s">
        <v>68</v>
      </c>
      <c r="Q169" s="5" t="s">
        <v>210</v>
      </c>
      <c r="R169" s="5" t="s">
        <v>70</v>
      </c>
      <c r="S169" s="5" t="s">
        <v>67</v>
      </c>
      <c r="T169" s="1">
        <v>5</v>
      </c>
      <c r="U169" s="1">
        <v>57</v>
      </c>
      <c r="V169" s="1">
        <v>43</v>
      </c>
    </row>
    <row r="170" spans="1:22" ht="28.8" x14ac:dyDescent="0.3">
      <c r="A170" s="42">
        <v>155</v>
      </c>
      <c r="B170" s="4"/>
      <c r="C170" s="6" t="s">
        <v>158</v>
      </c>
      <c r="D170" s="5"/>
      <c r="E170" s="5" t="s">
        <v>61</v>
      </c>
      <c r="F170" s="5" t="s">
        <v>71</v>
      </c>
      <c r="G170" s="5" t="s">
        <v>57</v>
      </c>
      <c r="H170" s="5" t="s">
        <v>54</v>
      </c>
      <c r="I170" s="5" t="s">
        <v>208</v>
      </c>
      <c r="J170" s="5" t="s">
        <v>74</v>
      </c>
      <c r="K170" s="5" t="s">
        <v>69</v>
      </c>
      <c r="L170" s="5" t="s">
        <v>73</v>
      </c>
      <c r="M170" s="5" t="s">
        <v>58</v>
      </c>
      <c r="N170" s="5" t="s">
        <v>47</v>
      </c>
      <c r="O170" s="5" t="s">
        <v>50</v>
      </c>
      <c r="P170" s="5" t="s">
        <v>68</v>
      </c>
      <c r="Q170" s="5" t="s">
        <v>210</v>
      </c>
      <c r="R170" s="5" t="s">
        <v>48</v>
      </c>
      <c r="S170" s="5" t="s">
        <v>67</v>
      </c>
      <c r="T170" s="1">
        <v>5</v>
      </c>
      <c r="U170" s="1">
        <v>55</v>
      </c>
      <c r="V170" s="1">
        <v>42</v>
      </c>
    </row>
    <row r="171" spans="1:22" ht="28.8" x14ac:dyDescent="0.3">
      <c r="A171" s="42">
        <v>156</v>
      </c>
      <c r="B171" s="4"/>
      <c r="C171" s="6" t="s">
        <v>167</v>
      </c>
      <c r="D171" s="5"/>
      <c r="E171" s="5" t="s">
        <v>52</v>
      </c>
      <c r="F171" s="5" t="s">
        <v>62</v>
      </c>
      <c r="G171" s="5" t="s">
        <v>57</v>
      </c>
      <c r="H171" s="5" t="s">
        <v>51</v>
      </c>
      <c r="I171" s="5" t="s">
        <v>208</v>
      </c>
      <c r="J171" s="5" t="s">
        <v>74</v>
      </c>
      <c r="K171" s="5" t="s">
        <v>59</v>
      </c>
      <c r="L171" s="5" t="s">
        <v>73</v>
      </c>
      <c r="M171" s="5" t="s">
        <v>65</v>
      </c>
      <c r="N171" s="5" t="s">
        <v>75</v>
      </c>
      <c r="O171" s="5" t="s">
        <v>53</v>
      </c>
      <c r="P171" s="5" t="s">
        <v>68</v>
      </c>
      <c r="Q171" s="5" t="s">
        <v>66</v>
      </c>
      <c r="R171" s="5" t="s">
        <v>70</v>
      </c>
      <c r="S171" s="5" t="s">
        <v>72</v>
      </c>
      <c r="T171" s="1">
        <v>5</v>
      </c>
      <c r="U171" s="1">
        <v>53</v>
      </c>
      <c r="V171" s="1">
        <v>40</v>
      </c>
    </row>
    <row r="172" spans="1:22" ht="28.8" x14ac:dyDescent="0.3">
      <c r="A172" s="42">
        <v>157</v>
      </c>
      <c r="B172" s="4"/>
      <c r="C172" s="6" t="s">
        <v>143</v>
      </c>
      <c r="D172" s="5"/>
      <c r="E172" s="5" t="s">
        <v>52</v>
      </c>
      <c r="F172" s="5" t="s">
        <v>71</v>
      </c>
      <c r="G172" s="5" t="s">
        <v>57</v>
      </c>
      <c r="H172" s="5" t="s">
        <v>54</v>
      </c>
      <c r="I172" s="5" t="s">
        <v>208</v>
      </c>
      <c r="J172" s="5" t="s">
        <v>74</v>
      </c>
      <c r="K172" s="5" t="s">
        <v>59</v>
      </c>
      <c r="L172" s="5" t="s">
        <v>60</v>
      </c>
      <c r="M172" s="5" t="s">
        <v>65</v>
      </c>
      <c r="N172" s="5" t="s">
        <v>47</v>
      </c>
      <c r="O172" s="5" t="s">
        <v>50</v>
      </c>
      <c r="P172" s="5" t="s">
        <v>68</v>
      </c>
      <c r="Q172" s="5" t="s">
        <v>210</v>
      </c>
      <c r="R172" s="5" t="s">
        <v>48</v>
      </c>
      <c r="S172" s="5" t="s">
        <v>67</v>
      </c>
      <c r="T172" s="1">
        <v>5</v>
      </c>
      <c r="U172" s="1">
        <v>54</v>
      </c>
      <c r="V172" s="1">
        <v>39</v>
      </c>
    </row>
    <row r="173" spans="1:22" x14ac:dyDescent="0.3">
      <c r="A173" s="42">
        <v>158</v>
      </c>
      <c r="B173" s="4"/>
      <c r="C173" s="6" t="s">
        <v>18</v>
      </c>
      <c r="D173" s="5"/>
      <c r="E173" s="5" t="s">
        <v>52</v>
      </c>
      <c r="F173" s="5" t="s">
        <v>71</v>
      </c>
      <c r="G173" s="5" t="s">
        <v>57</v>
      </c>
      <c r="H173" s="5" t="s">
        <v>54</v>
      </c>
      <c r="I173" s="5" t="s">
        <v>208</v>
      </c>
      <c r="J173" s="5" t="s">
        <v>56</v>
      </c>
      <c r="K173" s="5" t="s">
        <v>59</v>
      </c>
      <c r="L173" s="5" t="s">
        <v>73</v>
      </c>
      <c r="M173" s="5" t="s">
        <v>58</v>
      </c>
      <c r="N173" s="5" t="s">
        <v>47</v>
      </c>
      <c r="O173" s="5" t="s">
        <v>50</v>
      </c>
      <c r="P173" s="5" t="s">
        <v>64</v>
      </c>
      <c r="Q173" s="5" t="s">
        <v>210</v>
      </c>
      <c r="R173" s="5" t="s">
        <v>48</v>
      </c>
      <c r="S173" s="5" t="s">
        <v>67</v>
      </c>
      <c r="T173" s="1">
        <v>5</v>
      </c>
      <c r="U173" s="1">
        <v>48</v>
      </c>
      <c r="V173" s="1">
        <v>38</v>
      </c>
    </row>
    <row r="174" spans="1:22" x14ac:dyDescent="0.3">
      <c r="A174" s="42">
        <v>159</v>
      </c>
      <c r="B174" s="4"/>
      <c r="C174" s="6" t="s">
        <v>145</v>
      </c>
      <c r="D174" s="5"/>
      <c r="E174" s="5" t="s">
        <v>52</v>
      </c>
      <c r="F174" s="5" t="s">
        <v>62</v>
      </c>
      <c r="G174" s="5" t="s">
        <v>57</v>
      </c>
      <c r="H174" s="5" t="s">
        <v>54</v>
      </c>
      <c r="I174" s="5" t="s">
        <v>208</v>
      </c>
      <c r="J174" s="5" t="s">
        <v>74</v>
      </c>
      <c r="K174" s="5" t="s">
        <v>69</v>
      </c>
      <c r="L174" s="5" t="s">
        <v>60</v>
      </c>
      <c r="M174" s="5" t="s">
        <v>58</v>
      </c>
      <c r="N174" s="5" t="s">
        <v>47</v>
      </c>
      <c r="O174" s="5" t="s">
        <v>53</v>
      </c>
      <c r="P174" s="5" t="s">
        <v>64</v>
      </c>
      <c r="Q174" s="5" t="s">
        <v>210</v>
      </c>
      <c r="R174" s="5" t="s">
        <v>48</v>
      </c>
      <c r="S174" s="5" t="s">
        <v>72</v>
      </c>
      <c r="T174" s="1">
        <v>5</v>
      </c>
      <c r="U174" s="1">
        <v>58</v>
      </c>
      <c r="V174" s="1">
        <v>38</v>
      </c>
    </row>
    <row r="175" spans="1:22" ht="28.8" x14ac:dyDescent="0.3">
      <c r="A175" s="42">
        <v>160</v>
      </c>
      <c r="B175" s="4"/>
      <c r="C175" s="6" t="s">
        <v>28</v>
      </c>
      <c r="D175" s="5"/>
      <c r="E175" s="5" t="s">
        <v>52</v>
      </c>
      <c r="F175" s="5" t="s">
        <v>71</v>
      </c>
      <c r="G175" s="5" t="s">
        <v>57</v>
      </c>
      <c r="H175" s="5" t="s">
        <v>54</v>
      </c>
      <c r="I175" s="5" t="s">
        <v>208</v>
      </c>
      <c r="J175" s="5" t="s">
        <v>74</v>
      </c>
      <c r="K175" s="5" t="s">
        <v>59</v>
      </c>
      <c r="L175" s="5" t="s">
        <v>60</v>
      </c>
      <c r="M175" s="5" t="s">
        <v>65</v>
      </c>
      <c r="N175" s="5" t="s">
        <v>47</v>
      </c>
      <c r="O175" s="5" t="s">
        <v>50</v>
      </c>
      <c r="P175" s="5" t="s">
        <v>64</v>
      </c>
      <c r="Q175" s="5" t="s">
        <v>210</v>
      </c>
      <c r="R175" s="5" t="s">
        <v>70</v>
      </c>
      <c r="S175" s="5" t="s">
        <v>72</v>
      </c>
      <c r="T175" s="1">
        <v>4</v>
      </c>
      <c r="U175" s="1">
        <v>52</v>
      </c>
      <c r="V175" s="1">
        <v>54</v>
      </c>
    </row>
    <row r="176" spans="1:22" x14ac:dyDescent="0.3">
      <c r="A176" s="42">
        <v>161</v>
      </c>
      <c r="B176" s="4"/>
      <c r="C176" s="6" t="s">
        <v>39</v>
      </c>
      <c r="D176" s="5"/>
      <c r="E176" s="5" t="s">
        <v>52</v>
      </c>
      <c r="F176" s="5" t="s">
        <v>62</v>
      </c>
      <c r="G176" s="5" t="s">
        <v>57</v>
      </c>
      <c r="H176" s="5" t="s">
        <v>51</v>
      </c>
      <c r="I176" s="5" t="s">
        <v>55</v>
      </c>
      <c r="J176" s="5" t="s">
        <v>74</v>
      </c>
      <c r="K176" s="5" t="s">
        <v>59</v>
      </c>
      <c r="L176" s="5" t="s">
        <v>73</v>
      </c>
      <c r="M176" s="5" t="s">
        <v>58</v>
      </c>
      <c r="N176" s="5" t="s">
        <v>47</v>
      </c>
      <c r="O176" s="5" t="s">
        <v>53</v>
      </c>
      <c r="P176" s="5" t="s">
        <v>68</v>
      </c>
      <c r="Q176" s="5" t="s">
        <v>210</v>
      </c>
      <c r="R176" s="5" t="s">
        <v>70</v>
      </c>
      <c r="S176" s="5" t="s">
        <v>72</v>
      </c>
      <c r="T176" s="1">
        <v>3</v>
      </c>
      <c r="U176" s="1">
        <v>59</v>
      </c>
      <c r="V176" s="1">
        <v>43</v>
      </c>
    </row>
    <row r="177" spans="1:22" ht="28.8" x14ac:dyDescent="0.3">
      <c r="A177" s="42">
        <v>162</v>
      </c>
      <c r="B177" s="4"/>
      <c r="C177" s="6" t="s">
        <v>160</v>
      </c>
      <c r="D177" s="5"/>
      <c r="E177" s="5" t="s">
        <v>52</v>
      </c>
      <c r="F177" s="5" t="s">
        <v>62</v>
      </c>
      <c r="G177" s="5" t="s">
        <v>57</v>
      </c>
      <c r="H177" s="5" t="s">
        <v>51</v>
      </c>
      <c r="I177" s="5" t="s">
        <v>208</v>
      </c>
      <c r="J177" s="5" t="s">
        <v>74</v>
      </c>
      <c r="K177" s="5" t="s">
        <v>59</v>
      </c>
      <c r="L177" s="5" t="s">
        <v>73</v>
      </c>
      <c r="M177" s="5" t="s">
        <v>58</v>
      </c>
      <c r="N177" s="5" t="s">
        <v>75</v>
      </c>
      <c r="O177" s="5" t="s">
        <v>50</v>
      </c>
      <c r="P177" s="5" t="s">
        <v>64</v>
      </c>
      <c r="Q177" s="5" t="s">
        <v>210</v>
      </c>
      <c r="R177" s="5" t="s">
        <v>70</v>
      </c>
      <c r="S177" s="5" t="s">
        <v>72</v>
      </c>
      <c r="T177" s="1">
        <v>3</v>
      </c>
      <c r="U177" s="1">
        <v>39</v>
      </c>
      <c r="V177" s="1">
        <v>40</v>
      </c>
    </row>
    <row r="178" spans="1:22" ht="28.8" x14ac:dyDescent="0.3">
      <c r="A178" s="42">
        <v>163</v>
      </c>
      <c r="B178" s="4"/>
      <c r="C178" s="6" t="s">
        <v>197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">
        <v>0</v>
      </c>
      <c r="U178" s="1">
        <v>41</v>
      </c>
      <c r="V178" s="1"/>
    </row>
  </sheetData>
  <mergeCells count="4">
    <mergeCell ref="A9:A15"/>
    <mergeCell ref="B9:B15"/>
    <mergeCell ref="T9:T15"/>
    <mergeCell ref="U9:U15"/>
  </mergeCells>
  <conditionalFormatting sqref="E4:O4 R4:S4">
    <cfRule type="colorScale" priority="17">
      <colorScale>
        <cfvo type="min"/>
        <cfvo type="max"/>
        <color rgb="FFFF7128"/>
        <color rgb="FFFFEF9C"/>
      </colorScale>
    </cfRule>
  </conditionalFormatting>
  <conditionalFormatting sqref="E2:O3 R2:S3">
    <cfRule type="cellIs" dxfId="89" priority="15" operator="equal">
      <formula>"Y"</formula>
    </cfRule>
    <cfRule type="cellIs" dxfId="88" priority="16" operator="equal">
      <formula>"N"</formula>
    </cfRule>
  </conditionalFormatting>
  <conditionalFormatting sqref="E7:O7 R7:S7">
    <cfRule type="cellIs" dxfId="87" priority="13" operator="equal">
      <formula>"Y"</formula>
    </cfRule>
    <cfRule type="cellIs" dxfId="86" priority="14" operator="equal">
      <formula>"N"</formula>
    </cfRule>
  </conditionalFormatting>
  <conditionalFormatting sqref="U7">
    <cfRule type="cellIs" dxfId="85" priority="11" operator="equal">
      <formula>"Y"</formula>
    </cfRule>
    <cfRule type="cellIs" dxfId="84" priority="12" operator="equal">
      <formula>"N"</formula>
    </cfRule>
  </conditionalFormatting>
  <conditionalFormatting sqref="P4">
    <cfRule type="colorScale" priority="10">
      <colorScale>
        <cfvo type="min"/>
        <cfvo type="max"/>
        <color rgb="FFFF7128"/>
        <color rgb="FFFFEF9C"/>
      </colorScale>
    </cfRule>
  </conditionalFormatting>
  <conditionalFormatting sqref="P2:P3">
    <cfRule type="cellIs" dxfId="83" priority="8" operator="equal">
      <formula>"Y"</formula>
    </cfRule>
    <cfRule type="cellIs" dxfId="82" priority="9" operator="equal">
      <formula>"N"</formula>
    </cfRule>
  </conditionalFormatting>
  <conditionalFormatting sqref="P7">
    <cfRule type="cellIs" dxfId="81" priority="6" operator="equal">
      <formula>"Y"</formula>
    </cfRule>
    <cfRule type="cellIs" dxfId="80" priority="7" operator="equal">
      <formula>"N"</formula>
    </cfRule>
  </conditionalFormatting>
  <conditionalFormatting sqref="Q4">
    <cfRule type="colorScale" priority="5">
      <colorScale>
        <cfvo type="min"/>
        <cfvo type="max"/>
        <color rgb="FFFF7128"/>
        <color rgb="FFFFEF9C"/>
      </colorScale>
    </cfRule>
  </conditionalFormatting>
  <conditionalFormatting sqref="Q2:Q3">
    <cfRule type="cellIs" dxfId="79" priority="3" operator="equal">
      <formula>"Y"</formula>
    </cfRule>
    <cfRule type="cellIs" dxfId="78" priority="4" operator="equal">
      <formula>"N"</formula>
    </cfRule>
  </conditionalFormatting>
  <conditionalFormatting sqref="Q7">
    <cfRule type="cellIs" dxfId="77" priority="1" operator="equal">
      <formula>"Y"</formula>
    </cfRule>
    <cfRule type="cellIs" dxfId="76" priority="2" operator="equal">
      <formula>"N"</formula>
    </cfRule>
  </conditionalFormatting>
  <hyperlinks>
    <hyperlink ref="C16" r:id="rId1" display="https://poolhost.com/profootball/playerstats/1696717"/>
    <hyperlink ref="C17" r:id="rId2" display="https://poolhost.com/profootball/playerstats/1668628"/>
    <hyperlink ref="C18" r:id="rId3" display="https://poolhost.com/profootball/playerstats/1654634"/>
    <hyperlink ref="C19" r:id="rId4" display="https://poolhost.com/profootball/playerstats/1687892"/>
    <hyperlink ref="C20" r:id="rId5" display="https://poolhost.com/profootball/playerstats/1673761"/>
    <hyperlink ref="C21" r:id="rId6" display="https://poolhost.com/profootball/playerstats/1741250"/>
    <hyperlink ref="C22" r:id="rId7" display="https://poolhost.com/profootball/playerstats/1681958"/>
    <hyperlink ref="C23" r:id="rId8" display="https://poolhost.com/profootball/playerstats/1668687"/>
    <hyperlink ref="C24" r:id="rId9" display="https://poolhost.com/profootball/playerstats/1649341"/>
    <hyperlink ref="C25" r:id="rId10" display="https://poolhost.com/profootball/playerstats/1665631"/>
    <hyperlink ref="C26" r:id="rId11" display="https://poolhost.com/profootball/playerstats/1662306"/>
    <hyperlink ref="C27" r:id="rId12" display="https://poolhost.com/profootball/playerstats/1649126"/>
    <hyperlink ref="C28" r:id="rId13" display="https://poolhost.com/profootball/playerstats/1735486"/>
    <hyperlink ref="C29" r:id="rId14" display="https://poolhost.com/profootball/playerstats/1726326"/>
    <hyperlink ref="C30" r:id="rId15" display="https://poolhost.com/profootball/playerstats/1734172"/>
    <hyperlink ref="C31" r:id="rId16" display="https://poolhost.com/profootball/playerstats/1673222"/>
    <hyperlink ref="C32" r:id="rId17" display="https://poolhost.com/profootball/playerstats/1665810"/>
    <hyperlink ref="C33" r:id="rId18" display="https://poolhost.com/profootball/playerstats/1730270"/>
    <hyperlink ref="C34" r:id="rId19" display="https://poolhost.com/profootball/playerstats/1703435"/>
    <hyperlink ref="C35" r:id="rId20" display="https://poolhost.com/profootball/playerstats/1672167"/>
    <hyperlink ref="C36" r:id="rId21" display="https://poolhost.com/profootball/playerstats/1670226"/>
    <hyperlink ref="C37" r:id="rId22" display="https://poolhost.com/profootball/playerstats/1725535"/>
    <hyperlink ref="C38" r:id="rId23" display="https://poolhost.com/profootball/playerstats/1709781"/>
    <hyperlink ref="C39" r:id="rId24" display="https://poolhost.com/profootball/playerstats/1707988"/>
    <hyperlink ref="C40" r:id="rId25" display="https://poolhost.com/profootball/playerstats/1708448"/>
    <hyperlink ref="C41" r:id="rId26" display="https://poolhost.com/profootball/playerstats/1677049"/>
    <hyperlink ref="C42" r:id="rId27" display="https://poolhost.com/profootball/playerstats/1679156"/>
    <hyperlink ref="C43" r:id="rId28" display="https://poolhost.com/profootball/playerstats/1705029"/>
    <hyperlink ref="C44" r:id="rId29" display="https://poolhost.com/profootball/playerstats/1721401"/>
    <hyperlink ref="C45" r:id="rId30" display="https://poolhost.com/profootball/playerstats/1712780"/>
    <hyperlink ref="C46" r:id="rId31" display="https://poolhost.com/profootball/playerstats/1679009"/>
    <hyperlink ref="C47" r:id="rId32" display="https://poolhost.com/profootball/playerstats/1701354"/>
    <hyperlink ref="C48" r:id="rId33" display="https://poolhost.com/profootball/playerstats/1702170"/>
    <hyperlink ref="C49" r:id="rId34" display="https://poolhost.com/profootball/playerstats/1655447"/>
    <hyperlink ref="C50" r:id="rId35" display="https://poolhost.com/profootball/playerstats/1728782"/>
    <hyperlink ref="C51" r:id="rId36" display="https://poolhost.com/profootball/playerstats/1681897"/>
    <hyperlink ref="C52" r:id="rId37" display="https://poolhost.com/profootball/playerstats/1695716"/>
    <hyperlink ref="C53" r:id="rId38" display="https://poolhost.com/profootball/playerstats/1732851"/>
    <hyperlink ref="C54" r:id="rId39" display="https://poolhost.com/profootball/playerstats/1663101"/>
    <hyperlink ref="C55" r:id="rId40" display="https://poolhost.com/profootball/playerstats/1654649"/>
    <hyperlink ref="C56" r:id="rId41" display="https://poolhost.com/profootball/playerstats/1672298"/>
    <hyperlink ref="C57" r:id="rId42" display="https://poolhost.com/profootball/playerstats/1654485"/>
    <hyperlink ref="C58" r:id="rId43" display="https://poolhost.com/profootball/playerstats/1655488"/>
    <hyperlink ref="C59" r:id="rId44" display="https://poolhost.com/profootball/playerstats/1733218"/>
    <hyperlink ref="C60" r:id="rId45" display="https://poolhost.com/profootball/playerstats/1699295"/>
    <hyperlink ref="C61" r:id="rId46" display="https://poolhost.com/profootball/playerstats/1708312"/>
    <hyperlink ref="C62" r:id="rId47" display="https://poolhost.com/profootball/playerstats/1704026"/>
    <hyperlink ref="C63" r:id="rId48" display="https://poolhost.com/profootball/playerstats/1661981"/>
    <hyperlink ref="C64" r:id="rId49" display="https://poolhost.com/profootball/playerstats/1667866"/>
    <hyperlink ref="C65" r:id="rId50" display="https://poolhost.com/profootball/playerstats/1654500"/>
    <hyperlink ref="C66" r:id="rId51" display="https://poolhost.com/profootball/playerstats/1733415"/>
    <hyperlink ref="C67" r:id="rId52" display="https://poolhost.com/profootball/playerstats/1711169"/>
    <hyperlink ref="C68" r:id="rId53" display="https://poolhost.com/profootball/playerstats/1732953"/>
    <hyperlink ref="C69" r:id="rId54" display="https://poolhost.com/profootball/playerstats/1732411"/>
    <hyperlink ref="C70" r:id="rId55" display="https://poolhost.com/profootball/playerstats/1732290"/>
    <hyperlink ref="C71" r:id="rId56" display="https://poolhost.com/profootball/playerstats/1709552"/>
    <hyperlink ref="C72" r:id="rId57" display="https://poolhost.com/profootball/playerstats/1669305"/>
    <hyperlink ref="C73" r:id="rId58" display="https://poolhost.com/profootball/playerstats/1731780"/>
    <hyperlink ref="C74" r:id="rId59" display="https://poolhost.com/profootball/playerstats/1731755"/>
    <hyperlink ref="C75" r:id="rId60" display="https://poolhost.com/profootball/playerstats/1683531"/>
    <hyperlink ref="C76" r:id="rId61" display="https://poolhost.com/profootball/playerstats/1723980"/>
    <hyperlink ref="C77" r:id="rId62" display="https://poolhost.com/profootball/playerstats/1678667"/>
    <hyperlink ref="C78" r:id="rId63" display="https://poolhost.com/profootball/playerstats/1730347"/>
    <hyperlink ref="C79" r:id="rId64" display="https://poolhost.com/profootball/playerstats/1665910"/>
    <hyperlink ref="C80" r:id="rId65" display="https://poolhost.com/profootball/playerstats/1666034"/>
    <hyperlink ref="C81" r:id="rId66" display="https://poolhost.com/profootball/playerstats/1730676"/>
    <hyperlink ref="C82" r:id="rId67" display="https://poolhost.com/profootball/playerstats/1722206"/>
    <hyperlink ref="C83" r:id="rId68" display="https://poolhost.com/profootball/playerstats/1721307"/>
    <hyperlink ref="C84" r:id="rId69" display="https://poolhost.com/profootball/playerstats/1668682"/>
    <hyperlink ref="C85" r:id="rId70" display="https://poolhost.com/profootball/playerstats/1663641"/>
    <hyperlink ref="C86" r:id="rId71" display="https://poolhost.com/profootball/playerstats/1673248"/>
    <hyperlink ref="C87" r:id="rId72" display="https://poolhost.com/profootball/playerstats/1682884"/>
    <hyperlink ref="C88" r:id="rId73" display="https://poolhost.com/profootball/playerstats/1673234"/>
    <hyperlink ref="C89" r:id="rId74" display="https://poolhost.com/profootball/playerstats/1722286"/>
    <hyperlink ref="C90" r:id="rId75" display="https://poolhost.com/profootball/playerstats/1734363"/>
    <hyperlink ref="C91" r:id="rId76" display="https://poolhost.com/profootball/playerstats/1708805"/>
    <hyperlink ref="C92" r:id="rId77" display="https://poolhost.com/profootball/playerstats/1699810"/>
    <hyperlink ref="C93" r:id="rId78" display="https://poolhost.com/profootball/playerstats/1654448"/>
    <hyperlink ref="C94" r:id="rId79" display="https://poolhost.com/profootball/playerstats/1659558"/>
    <hyperlink ref="C95" r:id="rId80" display="https://poolhost.com/profootball/playerstats/1699660"/>
    <hyperlink ref="C96" r:id="rId81" display="https://poolhost.com/profootball/playerstats/1659875"/>
    <hyperlink ref="C97" r:id="rId82" display="https://poolhost.com/profootball/playerstats/1659846"/>
    <hyperlink ref="C98" r:id="rId83" display="https://poolhost.com/profootball/playerstats/1700155"/>
    <hyperlink ref="C99" r:id="rId84" display="https://poolhost.com/profootball/playerstats/1680041"/>
    <hyperlink ref="C100" r:id="rId85" display="https://poolhost.com/profootball/playerstats/1657214"/>
    <hyperlink ref="C101" r:id="rId86" display="https://poolhost.com/profootball/playerstats/1678632"/>
    <hyperlink ref="C102" r:id="rId87" display="https://poolhost.com/profootball/playerstats/1732788"/>
    <hyperlink ref="C103" r:id="rId88" display="https://poolhost.com/profootball/playerstats/1686915"/>
    <hyperlink ref="C104" r:id="rId89" display="https://poolhost.com/profootball/playerstats/1657583"/>
    <hyperlink ref="C105" r:id="rId90" display="https://poolhost.com/profootball/playerstats/1722233"/>
    <hyperlink ref="C106" r:id="rId91" display="https://poolhost.com/profootball/playerstats/1686727"/>
    <hyperlink ref="C107" r:id="rId92" display="https://poolhost.com/profootball/playerstats/1726632"/>
    <hyperlink ref="C108" r:id="rId93" display="https://poolhost.com/profootball/playerstats/1685256"/>
    <hyperlink ref="C109" r:id="rId94" display="https://poolhost.com/profootball/playerstats/1679667"/>
    <hyperlink ref="C110" r:id="rId95" display="https://poolhost.com/profootball/playerstats/1684266"/>
    <hyperlink ref="C111" r:id="rId96" display="https://poolhost.com/profootball/playerstats/1684290"/>
    <hyperlink ref="C112" r:id="rId97" display="https://poolhost.com/profootball/playerstats/1666092"/>
    <hyperlink ref="C113" r:id="rId98" display="https://poolhost.com/profootball/playerstats/1682523"/>
    <hyperlink ref="C114" r:id="rId99" display="https://poolhost.com/profootball/playerstats/1667937"/>
    <hyperlink ref="C115" r:id="rId100" display="https://poolhost.com/profootball/playerstats/1728787"/>
    <hyperlink ref="C116" r:id="rId101" display="https://poolhost.com/profootball/playerstats/1657801"/>
    <hyperlink ref="C117" r:id="rId102" display="https://poolhost.com/profootball/playerstats/1685066"/>
    <hyperlink ref="C118" r:id="rId103" display="https://poolhost.com/profootball/playerstats/1654791"/>
    <hyperlink ref="C119" r:id="rId104" display="https://poolhost.com/profootball/playerstats/1703401"/>
    <hyperlink ref="C120" r:id="rId105" display="https://poolhost.com/profootball/playerstats/1668461"/>
    <hyperlink ref="C121" r:id="rId106" display="https://poolhost.com/profootball/playerstats/1669212"/>
    <hyperlink ref="C122" r:id="rId107" display="https://poolhost.com/profootball/playerstats/1674022"/>
    <hyperlink ref="C123" r:id="rId108" display="https://poolhost.com/profootball/playerstats/1724223"/>
    <hyperlink ref="C124" r:id="rId109" display="https://poolhost.com/profootball/playerstats/1729491"/>
    <hyperlink ref="C125" r:id="rId110" display="https://poolhost.com/profootball/playerstats/1679300"/>
    <hyperlink ref="C126" r:id="rId111" display="https://poolhost.com/profootball/playerstats/1683389"/>
    <hyperlink ref="C127" r:id="rId112" display="https://poolhost.com/profootball/playerstats/1697912"/>
    <hyperlink ref="C128" r:id="rId113" display="https://poolhost.com/profootball/playerstats/1731690"/>
    <hyperlink ref="C129" r:id="rId114" display="https://poolhost.com/profootball/playerstats/1694017"/>
    <hyperlink ref="C130" r:id="rId115" display="https://poolhost.com/profootball/playerstats/1691673"/>
    <hyperlink ref="C131" r:id="rId116" display="https://poolhost.com/profootball/playerstats/1702449"/>
    <hyperlink ref="C132" r:id="rId117" display="https://poolhost.com/profootball/playerstats/1654623"/>
    <hyperlink ref="C133" r:id="rId118" display="https://poolhost.com/profootball/playerstats/1658459"/>
    <hyperlink ref="C134" r:id="rId119" display="https://poolhost.com/profootball/playerstats/1677370"/>
    <hyperlink ref="C135" r:id="rId120" display="https://poolhost.com/profootball/playerstats/1676125"/>
    <hyperlink ref="C136" r:id="rId121" display="https://poolhost.com/profootball/playerstats/1678377"/>
    <hyperlink ref="C137" r:id="rId122" display="https://poolhost.com/profootball/playerstats/1656464"/>
    <hyperlink ref="C138" r:id="rId123" display="https://poolhost.com/profootball/playerstats/1674086"/>
    <hyperlink ref="C139" r:id="rId124" display="https://poolhost.com/profootball/playerstats/1666449"/>
    <hyperlink ref="C140" r:id="rId125" display="https://poolhost.com/profootball/playerstats/1715552"/>
    <hyperlink ref="C141" r:id="rId126" display="https://poolhost.com/profootball/playerstats/1705346"/>
    <hyperlink ref="C142" r:id="rId127" display="https://poolhost.com/profootball/playerstats/1695492"/>
    <hyperlink ref="C143" r:id="rId128" display="https://poolhost.com/profootball/playerstats/1671837"/>
    <hyperlink ref="C144" r:id="rId129" display="https://poolhost.com/profootball/playerstats/1665614"/>
    <hyperlink ref="C145" r:id="rId130" display="https://poolhost.com/profootball/playerstats/1654484"/>
    <hyperlink ref="C146" r:id="rId131" display="https://poolhost.com/profootball/playerstats/1654603"/>
    <hyperlink ref="C147" r:id="rId132" display="https://poolhost.com/profootball/playerstats/1701053"/>
    <hyperlink ref="C148" r:id="rId133" display="https://poolhost.com/profootball/playerstats/1665979"/>
    <hyperlink ref="C149" r:id="rId134" display="https://poolhost.com/profootball/playerstats/1705272"/>
    <hyperlink ref="C150" r:id="rId135" display="https://poolhost.com/profootball/playerstats/1657024"/>
    <hyperlink ref="C151" r:id="rId136" display="https://poolhost.com/profootball/playerstats/1694354"/>
    <hyperlink ref="C152" r:id="rId137" display="https://poolhost.com/profootball/playerstats/1657103"/>
    <hyperlink ref="C153" r:id="rId138" display="https://poolhost.com/profootball/playerstats/1666473"/>
    <hyperlink ref="C154" r:id="rId139" display="https://poolhost.com/profootball/playerstats/1681946"/>
    <hyperlink ref="C155" r:id="rId140" display="https://poolhost.com/profootball/playerstats/1727170"/>
    <hyperlink ref="C156" r:id="rId141" display="https://poolhost.com/profootball/playerstats/1660811"/>
    <hyperlink ref="C157" r:id="rId142" display="https://poolhost.com/profootball/playerstats/1670484"/>
    <hyperlink ref="C158" r:id="rId143" display="https://poolhost.com/profootball/playerstats/1705049"/>
    <hyperlink ref="C159" r:id="rId144" display="https://poolhost.com/profootball/playerstats/1671748"/>
    <hyperlink ref="C160" r:id="rId145" display="https://poolhost.com/profootball/playerstats/1732254"/>
    <hyperlink ref="C161" r:id="rId146" display="https://poolhost.com/profootball/playerstats/1676654"/>
    <hyperlink ref="C162" r:id="rId147" display="https://poolhost.com/profootball/playerstats/1684491"/>
    <hyperlink ref="C163" r:id="rId148" display="https://poolhost.com/profootball/playerstats/1705249"/>
    <hyperlink ref="C164" r:id="rId149" display="https://poolhost.com/profootball/playerstats/1729262"/>
    <hyperlink ref="C165" r:id="rId150" display="https://poolhost.com/profootball/playerstats/1729314"/>
    <hyperlink ref="C166" r:id="rId151" display="https://poolhost.com/profootball/playerstats/1669323"/>
    <hyperlink ref="C167" r:id="rId152" display="https://poolhost.com/profootball/playerstats/1727817"/>
    <hyperlink ref="C168" r:id="rId153" display="https://poolhost.com/profootball/playerstats/1708505"/>
    <hyperlink ref="C169" r:id="rId154" display="https://poolhost.com/profootball/playerstats/1670025"/>
    <hyperlink ref="C170" r:id="rId155" display="https://poolhost.com/profootball/playerstats/1729617"/>
    <hyperlink ref="C171" r:id="rId156" display="https://poolhost.com/profootball/playerstats/1666027"/>
    <hyperlink ref="C172" r:id="rId157" display="https://poolhost.com/profootball/playerstats/1704294"/>
    <hyperlink ref="C173" r:id="rId158" display="https://poolhost.com/profootball/playerstats/1667376"/>
    <hyperlink ref="C174" r:id="rId159" display="https://poolhost.com/profootball/playerstats/1700157"/>
    <hyperlink ref="C175" r:id="rId160" display="https://poolhost.com/profootball/playerstats/1662606"/>
    <hyperlink ref="C176" r:id="rId161" display="https://poolhost.com/profootball/playerstats/1661711"/>
    <hyperlink ref="C177" r:id="rId162" display="https://poolhost.com/profootball/playerstats/1657241"/>
    <hyperlink ref="C178" r:id="rId163" display="https://poolhost.com/profootball/playerstats/173299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8"/>
  <sheetViews>
    <sheetView zoomScaleNormal="100" workbookViewId="0">
      <selection activeCell="W2" sqref="W2:W15"/>
    </sheetView>
  </sheetViews>
  <sheetFormatPr defaultRowHeight="14.4" x14ac:dyDescent="0.3"/>
  <sheetData>
    <row r="1" spans="1:27" ht="15" thickBot="1" x14ac:dyDescent="0.35">
      <c r="A1" s="2" t="s">
        <v>0</v>
      </c>
      <c r="D1">
        <v>2</v>
      </c>
      <c r="E1">
        <f>D1+1</f>
        <v>3</v>
      </c>
      <c r="F1">
        <f t="shared" ref="F1:Q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ref="R1" si="1">Q1+1</f>
        <v>16</v>
      </c>
      <c r="S1">
        <f t="shared" ref="S1" si="2">R1+1</f>
        <v>17</v>
      </c>
      <c r="T1">
        <f t="shared" ref="T1" si="3">S1+1</f>
        <v>18</v>
      </c>
      <c r="U1" t="s">
        <v>226</v>
      </c>
      <c r="V1" s="16">
        <v>0</v>
      </c>
      <c r="W1" s="11">
        <f>COUNTIF(S$16:S$200,V1)</f>
        <v>3</v>
      </c>
      <c r="X1" s="20">
        <f t="shared" ref="X1:X15" si="4">W1/SUM(W$1:W$13)</f>
        <v>1.8404907975460124E-2</v>
      </c>
      <c r="Y1" s="33"/>
      <c r="Z1" t="s">
        <v>227</v>
      </c>
    </row>
    <row r="2" spans="1:27" ht="15" thickBot="1" x14ac:dyDescent="0.35">
      <c r="A2" s="2" t="s">
        <v>1</v>
      </c>
      <c r="C2" t="s">
        <v>204</v>
      </c>
      <c r="E2" s="24" t="str">
        <f t="shared" ref="E2:R3" si="5">IF(VLOOKUP($C2,$C$16:$AB$192,E$1,FALSE)=E$8,"Y","N")</f>
        <v>Y</v>
      </c>
      <c r="F2" s="25" t="str">
        <f t="shared" si="5"/>
        <v>N</v>
      </c>
      <c r="G2" s="25" t="str">
        <f t="shared" si="5"/>
        <v>Y</v>
      </c>
      <c r="H2" s="25" t="str">
        <f t="shared" si="5"/>
        <v>N</v>
      </c>
      <c r="I2" s="25" t="str">
        <f t="shared" si="5"/>
        <v>Y</v>
      </c>
      <c r="J2" s="25" t="str">
        <f t="shared" si="5"/>
        <v>Y</v>
      </c>
      <c r="K2" s="25" t="str">
        <f t="shared" si="5"/>
        <v>Y</v>
      </c>
      <c r="L2" s="39"/>
      <c r="M2" s="25" t="str">
        <f t="shared" si="5"/>
        <v>Y</v>
      </c>
      <c r="N2" s="25" t="str">
        <f t="shared" si="5"/>
        <v>N</v>
      </c>
      <c r="O2" s="25" t="str">
        <f t="shared" si="5"/>
        <v>N</v>
      </c>
      <c r="P2" s="25" t="str">
        <f t="shared" si="5"/>
        <v>N</v>
      </c>
      <c r="Q2" s="25" t="str">
        <f t="shared" si="5"/>
        <v>Y</v>
      </c>
      <c r="R2" s="25" t="str">
        <f t="shared" si="5"/>
        <v>Y</v>
      </c>
      <c r="S2" s="19">
        <f>VLOOKUP($C2,$C$16:$AB$192,S$1,FALSE)</f>
        <v>8</v>
      </c>
      <c r="T2" s="19">
        <f>VLOOKUP($C2,$C$16:$AB$192,T$1,FALSE)</f>
        <v>75</v>
      </c>
      <c r="U2" s="44" t="str">
        <f>IF(COUNTIF($E2:R2,"Y")=S2,"","check")</f>
        <v/>
      </c>
      <c r="V2" s="23">
        <f>V1+1</f>
        <v>1</v>
      </c>
      <c r="W2" s="12">
        <f>COUNTIF(S$16:S$200,V2)</f>
        <v>0</v>
      </c>
      <c r="X2" s="21">
        <f t="shared" si="4"/>
        <v>0</v>
      </c>
      <c r="Y2" s="33"/>
      <c r="Z2">
        <v>0</v>
      </c>
      <c r="AA2">
        <f>COUNTIF(U$16:U$179,Z2)</f>
        <v>0</v>
      </c>
    </row>
    <row r="3" spans="1:27" ht="15" thickBot="1" x14ac:dyDescent="0.35">
      <c r="A3" s="2" t="s">
        <v>2</v>
      </c>
      <c r="C3" t="s">
        <v>162</v>
      </c>
      <c r="E3" s="13" t="str">
        <f t="shared" si="5"/>
        <v>N</v>
      </c>
      <c r="F3" s="14" t="str">
        <f t="shared" si="5"/>
        <v>N</v>
      </c>
      <c r="G3" s="14" t="str">
        <f t="shared" si="5"/>
        <v>N</v>
      </c>
      <c r="H3" s="14" t="str">
        <f t="shared" si="5"/>
        <v>N</v>
      </c>
      <c r="I3" s="14" t="str">
        <f t="shared" si="5"/>
        <v>N</v>
      </c>
      <c r="J3" s="14" t="str">
        <f t="shared" si="5"/>
        <v>Y</v>
      </c>
      <c r="K3" s="14" t="str">
        <f t="shared" si="5"/>
        <v>Y</v>
      </c>
      <c r="L3" s="40"/>
      <c r="M3" s="14" t="str">
        <f t="shared" si="5"/>
        <v>Y</v>
      </c>
      <c r="N3" s="14" t="str">
        <f t="shared" si="5"/>
        <v>Y</v>
      </c>
      <c r="O3" s="14" t="str">
        <f t="shared" si="5"/>
        <v>Y</v>
      </c>
      <c r="P3" s="14" t="str">
        <f t="shared" si="5"/>
        <v>N</v>
      </c>
      <c r="Q3" s="14" t="str">
        <f t="shared" si="5"/>
        <v>Y</v>
      </c>
      <c r="R3" s="14" t="str">
        <f t="shared" si="5"/>
        <v>Y</v>
      </c>
      <c r="S3" s="18">
        <f>VLOOKUP($C3,$C$16:$AB$192,S$1,FALSE)</f>
        <v>7</v>
      </c>
      <c r="T3" s="18">
        <f>VLOOKUP($C3,$C$16:$AB$192,T$1,FALSE)</f>
        <v>68</v>
      </c>
      <c r="U3" s="44" t="str">
        <f>IF(COUNTIF($E3:R3,"Y")=S3,"","check")</f>
        <v/>
      </c>
      <c r="V3" s="23">
        <f t="shared" ref="V3:V15" si="6">V2+1</f>
        <v>2</v>
      </c>
      <c r="W3" s="12">
        <f t="shared" ref="W3:W15" si="7">COUNTIF(S$16:S$200,V3)</f>
        <v>1</v>
      </c>
      <c r="X3" s="21">
        <f t="shared" si="4"/>
        <v>6.1349693251533744E-3</v>
      </c>
      <c r="Y3" s="33"/>
      <c r="Z3">
        <v>1</v>
      </c>
      <c r="AA3">
        <f t="shared" ref="AA3:AA66" si="8">COUNTIF(U$16:U$179,Z3)</f>
        <v>0</v>
      </c>
    </row>
    <row r="4" spans="1:27" x14ac:dyDescent="0.3">
      <c r="A4" s="2" t="s">
        <v>3</v>
      </c>
      <c r="C4" t="s">
        <v>205</v>
      </c>
      <c r="E4" s="9">
        <f>E5/SUM(E5:E6)</f>
        <v>0.63749999999999996</v>
      </c>
      <c r="F4" s="9">
        <f t="shared" ref="F4:R4" si="9">F5/SUM(F5:F6)</f>
        <v>0.45624999999999999</v>
      </c>
      <c r="G4" s="9">
        <f t="shared" si="9"/>
        <v>0.70625000000000004</v>
      </c>
      <c r="H4" s="9">
        <f t="shared" si="9"/>
        <v>0.33750000000000002</v>
      </c>
      <c r="I4" s="9">
        <f t="shared" si="9"/>
        <v>0.5625</v>
      </c>
      <c r="J4" s="9">
        <f t="shared" si="9"/>
        <v>0.58750000000000002</v>
      </c>
      <c r="K4" s="9">
        <f t="shared" si="9"/>
        <v>0.16875000000000001</v>
      </c>
      <c r="L4" s="9">
        <f t="shared" si="9"/>
        <v>0.45624999999999999</v>
      </c>
      <c r="M4" s="9">
        <f t="shared" si="9"/>
        <v>0.5625</v>
      </c>
      <c r="N4" s="9">
        <f t="shared" si="9"/>
        <v>0.66874999999999996</v>
      </c>
      <c r="O4" s="9">
        <f t="shared" si="9"/>
        <v>0.36875000000000002</v>
      </c>
      <c r="P4" s="9">
        <f t="shared" ref="P4" si="10">P5/SUM(P5:P6)</f>
        <v>0.47499999999999998</v>
      </c>
      <c r="Q4" s="9">
        <f t="shared" ref="Q4" si="11">Q5/SUM(Q5:Q6)</f>
        <v>0.71250000000000002</v>
      </c>
      <c r="R4" s="9">
        <f t="shared" si="9"/>
        <v>0.34375</v>
      </c>
      <c r="S4" s="10" t="s">
        <v>217</v>
      </c>
      <c r="T4" s="10" t="s">
        <v>218</v>
      </c>
      <c r="V4" s="23">
        <f t="shared" si="6"/>
        <v>3</v>
      </c>
      <c r="W4" s="12">
        <f t="shared" si="7"/>
        <v>1</v>
      </c>
      <c r="X4" s="21">
        <f t="shared" si="4"/>
        <v>6.1349693251533744E-3</v>
      </c>
      <c r="Y4" s="33"/>
      <c r="Z4">
        <v>2</v>
      </c>
      <c r="AA4">
        <f t="shared" si="8"/>
        <v>0</v>
      </c>
    </row>
    <row r="5" spans="1:27" x14ac:dyDescent="0.3">
      <c r="A5" s="2" t="s">
        <v>0</v>
      </c>
      <c r="C5" t="s">
        <v>202</v>
      </c>
      <c r="D5">
        <f t="shared" ref="D5:R5" si="12">COUNTIF(D$16:D$197,D10)</f>
        <v>0</v>
      </c>
      <c r="E5">
        <f t="shared" si="12"/>
        <v>102</v>
      </c>
      <c r="F5">
        <f t="shared" si="12"/>
        <v>73</v>
      </c>
      <c r="G5">
        <f t="shared" si="12"/>
        <v>113</v>
      </c>
      <c r="H5">
        <f t="shared" si="12"/>
        <v>54</v>
      </c>
      <c r="I5">
        <f t="shared" si="12"/>
        <v>90</v>
      </c>
      <c r="J5">
        <f t="shared" si="12"/>
        <v>94</v>
      </c>
      <c r="K5">
        <f t="shared" si="12"/>
        <v>27</v>
      </c>
      <c r="L5">
        <f t="shared" si="12"/>
        <v>73</v>
      </c>
      <c r="M5">
        <f t="shared" si="12"/>
        <v>90</v>
      </c>
      <c r="N5">
        <f t="shared" si="12"/>
        <v>107</v>
      </c>
      <c r="O5">
        <f t="shared" si="12"/>
        <v>59</v>
      </c>
      <c r="P5">
        <f t="shared" si="12"/>
        <v>76</v>
      </c>
      <c r="Q5">
        <f t="shared" si="12"/>
        <v>114</v>
      </c>
      <c r="R5">
        <f t="shared" si="12"/>
        <v>55</v>
      </c>
      <c r="V5" s="23">
        <f t="shared" si="6"/>
        <v>4</v>
      </c>
      <c r="W5" s="12">
        <f t="shared" si="7"/>
        <v>4</v>
      </c>
      <c r="X5" s="21">
        <f t="shared" si="4"/>
        <v>2.4539877300613498E-2</v>
      </c>
      <c r="Y5" s="33"/>
      <c r="Z5">
        <v>3</v>
      </c>
      <c r="AA5">
        <f t="shared" si="8"/>
        <v>0</v>
      </c>
    </row>
    <row r="6" spans="1:27" ht="15" thickBot="1" x14ac:dyDescent="0.35">
      <c r="A6" s="2" t="s">
        <v>4</v>
      </c>
      <c r="C6" t="s">
        <v>203</v>
      </c>
      <c r="D6">
        <f t="shared" ref="D6:R6" si="13">COUNTIF(D$16:D$197,D12)</f>
        <v>0</v>
      </c>
      <c r="E6">
        <f t="shared" si="13"/>
        <v>58</v>
      </c>
      <c r="F6">
        <f t="shared" si="13"/>
        <v>87</v>
      </c>
      <c r="G6">
        <f t="shared" si="13"/>
        <v>47</v>
      </c>
      <c r="H6">
        <f t="shared" si="13"/>
        <v>106</v>
      </c>
      <c r="I6">
        <f t="shared" si="13"/>
        <v>70</v>
      </c>
      <c r="J6">
        <f t="shared" si="13"/>
        <v>66</v>
      </c>
      <c r="K6">
        <f t="shared" si="13"/>
        <v>133</v>
      </c>
      <c r="L6">
        <f t="shared" si="13"/>
        <v>87</v>
      </c>
      <c r="M6">
        <f t="shared" si="13"/>
        <v>70</v>
      </c>
      <c r="N6">
        <f t="shared" si="13"/>
        <v>53</v>
      </c>
      <c r="O6">
        <f t="shared" si="13"/>
        <v>101</v>
      </c>
      <c r="P6">
        <f t="shared" si="13"/>
        <v>84</v>
      </c>
      <c r="Q6">
        <f t="shared" si="13"/>
        <v>46</v>
      </c>
      <c r="R6">
        <f t="shared" si="13"/>
        <v>105</v>
      </c>
      <c r="V6" s="23">
        <f t="shared" si="6"/>
        <v>5</v>
      </c>
      <c r="W6" s="12">
        <f t="shared" si="7"/>
        <v>20</v>
      </c>
      <c r="X6" s="21">
        <f t="shared" si="4"/>
        <v>0.12269938650306748</v>
      </c>
      <c r="Y6" s="33"/>
      <c r="Z6">
        <f>Z5+1</f>
        <v>4</v>
      </c>
      <c r="AA6">
        <f t="shared" si="8"/>
        <v>0</v>
      </c>
    </row>
    <row r="7" spans="1:27" ht="15" thickBot="1" x14ac:dyDescent="0.35">
      <c r="A7" s="2"/>
      <c r="C7" t="s">
        <v>213</v>
      </c>
      <c r="E7" s="28" t="str">
        <f>IF(AND(E10=E8,E4&gt;0.5),"Y",IF(AND(E10=E8,E4&lt;0.5),"N",IF(E4&gt;0.5,"Y","N")))</f>
        <v>Y</v>
      </c>
      <c r="F7" s="11" t="str">
        <f>IF(AND(F10=F8,F4&gt;0.5),"Y",IF(AND(F10=F8,F4&lt;0.5),"N",IF(F4&gt;0.5,"Y","N")))</f>
        <v>N</v>
      </c>
      <c r="G7" s="11" t="str">
        <f t="shared" ref="G7:R7" si="14">IF(AND(G10=G8,G4&gt;0.5),"Y",IF(AND(G10=G8,G4&lt;0.5),"N",IF(G4&lt;0.5,"Y","N")))</f>
        <v>N</v>
      </c>
      <c r="H7" s="11" t="str">
        <f t="shared" si="14"/>
        <v>N</v>
      </c>
      <c r="I7" s="11" t="str">
        <f t="shared" si="14"/>
        <v>Y</v>
      </c>
      <c r="J7" s="11" t="str">
        <f t="shared" si="14"/>
        <v>N</v>
      </c>
      <c r="K7" s="11" t="str">
        <f t="shared" si="14"/>
        <v>Y</v>
      </c>
      <c r="L7" s="39"/>
      <c r="M7" s="11" t="str">
        <f t="shared" si="14"/>
        <v>Y</v>
      </c>
      <c r="N7" s="11" t="str">
        <f t="shared" si="14"/>
        <v>N</v>
      </c>
      <c r="O7" s="11" t="str">
        <f t="shared" si="14"/>
        <v>Y</v>
      </c>
      <c r="P7" s="11" t="str">
        <f t="shared" si="14"/>
        <v>Y</v>
      </c>
      <c r="Q7" s="11" t="str">
        <f t="shared" si="14"/>
        <v>Y</v>
      </c>
      <c r="R7" s="29" t="str">
        <f t="shared" si="14"/>
        <v>Y</v>
      </c>
      <c r="S7" s="37" t="s">
        <v>220</v>
      </c>
      <c r="T7" s="38">
        <f>COUNTIF(C7:R7,"Y")</f>
        <v>8</v>
      </c>
      <c r="V7" s="23">
        <f t="shared" si="6"/>
        <v>6</v>
      </c>
      <c r="W7" s="12">
        <f t="shared" si="7"/>
        <v>39</v>
      </c>
      <c r="X7" s="21">
        <f t="shared" si="4"/>
        <v>0.2392638036809816</v>
      </c>
      <c r="Y7" s="33"/>
      <c r="Z7">
        <f t="shared" ref="Z7:Z70" si="15">Z6+1</f>
        <v>5</v>
      </c>
      <c r="AA7">
        <f t="shared" si="8"/>
        <v>0</v>
      </c>
    </row>
    <row r="8" spans="1:27" ht="15" thickBot="1" x14ac:dyDescent="0.35">
      <c r="A8" s="2"/>
      <c r="C8" t="s">
        <v>212</v>
      </c>
      <c r="E8" s="30" t="s">
        <v>69</v>
      </c>
      <c r="F8" s="31" t="s">
        <v>52</v>
      </c>
      <c r="G8" s="31" t="s">
        <v>208</v>
      </c>
      <c r="H8" s="31" t="s">
        <v>68</v>
      </c>
      <c r="I8" s="31" t="s">
        <v>73</v>
      </c>
      <c r="J8" s="31" t="s">
        <v>65</v>
      </c>
      <c r="K8" s="31" t="s">
        <v>53</v>
      </c>
      <c r="L8" s="40"/>
      <c r="M8" s="31" t="s">
        <v>55</v>
      </c>
      <c r="N8" s="31" t="s">
        <v>51</v>
      </c>
      <c r="O8" s="31" t="s">
        <v>71</v>
      </c>
      <c r="P8" s="31" t="s">
        <v>209</v>
      </c>
      <c r="Q8" s="31" t="s">
        <v>207</v>
      </c>
      <c r="R8" s="32" t="s">
        <v>59</v>
      </c>
      <c r="V8" s="34">
        <f t="shared" si="6"/>
        <v>7</v>
      </c>
      <c r="W8" s="35">
        <f t="shared" si="7"/>
        <v>43</v>
      </c>
      <c r="X8" s="36">
        <f t="shared" si="4"/>
        <v>0.26380368098159507</v>
      </c>
      <c r="Y8" s="33"/>
      <c r="Z8">
        <f t="shared" si="15"/>
        <v>6</v>
      </c>
      <c r="AA8">
        <f t="shared" si="8"/>
        <v>0</v>
      </c>
    </row>
    <row r="9" spans="1:27" x14ac:dyDescent="0.3">
      <c r="A9" s="47" t="s">
        <v>46</v>
      </c>
      <c r="B9" s="47"/>
      <c r="C9" s="2" t="s">
        <v>0</v>
      </c>
      <c r="D9" s="7">
        <v>21</v>
      </c>
      <c r="E9" s="7">
        <v>27</v>
      </c>
      <c r="F9" s="7">
        <v>41</v>
      </c>
      <c r="G9" s="7">
        <v>30</v>
      </c>
      <c r="H9" s="7">
        <v>23</v>
      </c>
      <c r="I9" s="7">
        <v>41</v>
      </c>
      <c r="J9" s="7">
        <v>10</v>
      </c>
      <c r="K9" s="7">
        <v>22</v>
      </c>
      <c r="L9" s="7">
        <v>20</v>
      </c>
      <c r="M9" s="7">
        <v>29</v>
      </c>
      <c r="N9" s="7">
        <v>28</v>
      </c>
      <c r="O9" s="7">
        <v>14</v>
      </c>
      <c r="P9" s="7">
        <v>20</v>
      </c>
      <c r="Q9" s="7">
        <v>21</v>
      </c>
      <c r="R9" s="7">
        <v>30</v>
      </c>
      <c r="S9" s="47" t="s">
        <v>76</v>
      </c>
      <c r="T9" s="47" t="s">
        <v>77</v>
      </c>
      <c r="U9" s="8" t="s">
        <v>224</v>
      </c>
      <c r="V9" s="23">
        <f t="shared" si="6"/>
        <v>8</v>
      </c>
      <c r="W9" s="12">
        <f t="shared" si="7"/>
        <v>24</v>
      </c>
      <c r="X9" s="21">
        <f t="shared" si="4"/>
        <v>0.14723926380368099</v>
      </c>
      <c r="Y9" s="33"/>
      <c r="Z9">
        <f t="shared" si="15"/>
        <v>7</v>
      </c>
      <c r="AA9">
        <f t="shared" si="8"/>
        <v>0</v>
      </c>
    </row>
    <row r="10" spans="1:27" x14ac:dyDescent="0.3">
      <c r="A10" s="47"/>
      <c r="B10" s="47"/>
      <c r="C10" s="2" t="s">
        <v>1</v>
      </c>
      <c r="D10" s="7" t="s">
        <v>74</v>
      </c>
      <c r="E10" s="7" t="s">
        <v>69</v>
      </c>
      <c r="F10" s="7" t="s">
        <v>52</v>
      </c>
      <c r="G10" s="7" t="s">
        <v>75</v>
      </c>
      <c r="H10" s="7" t="s">
        <v>68</v>
      </c>
      <c r="I10" s="7" t="s">
        <v>73</v>
      </c>
      <c r="J10" s="7" t="s">
        <v>61</v>
      </c>
      <c r="K10" s="7" t="s">
        <v>72</v>
      </c>
      <c r="L10" s="7" t="s">
        <v>62</v>
      </c>
      <c r="M10" s="7" t="s">
        <v>55</v>
      </c>
      <c r="N10" s="7" t="s">
        <v>60</v>
      </c>
      <c r="O10" s="7" t="s">
        <v>54</v>
      </c>
      <c r="P10" s="7" t="s">
        <v>47</v>
      </c>
      <c r="Q10" s="7" t="s">
        <v>207</v>
      </c>
      <c r="R10" s="7" t="s">
        <v>210</v>
      </c>
      <c r="S10" s="47"/>
      <c r="T10" s="47"/>
      <c r="U10" s="8" t="s">
        <v>77</v>
      </c>
      <c r="V10" s="23">
        <f t="shared" si="6"/>
        <v>9</v>
      </c>
      <c r="W10" s="12">
        <f t="shared" si="7"/>
        <v>18</v>
      </c>
      <c r="X10" s="21">
        <f t="shared" si="4"/>
        <v>0.11042944785276074</v>
      </c>
      <c r="Y10" s="33"/>
      <c r="Z10">
        <f t="shared" si="15"/>
        <v>8</v>
      </c>
      <c r="AA10">
        <f t="shared" si="8"/>
        <v>0</v>
      </c>
    </row>
    <row r="11" spans="1:27" x14ac:dyDescent="0.3">
      <c r="A11" s="47"/>
      <c r="B11" s="47"/>
      <c r="C11" s="2" t="s">
        <v>2</v>
      </c>
      <c r="D11" s="7">
        <v>-2</v>
      </c>
      <c r="E11" s="7">
        <v>-2.5</v>
      </c>
      <c r="F11" s="7">
        <v>-9</v>
      </c>
      <c r="G11" s="7">
        <v>-6.5</v>
      </c>
      <c r="H11" s="7">
        <v>7</v>
      </c>
      <c r="I11" s="7">
        <v>-7.5</v>
      </c>
      <c r="J11" s="7">
        <v>2</v>
      </c>
      <c r="K11" s="7">
        <v>3.5</v>
      </c>
      <c r="L11" s="7">
        <v>-3</v>
      </c>
      <c r="M11" s="7">
        <v>-1</v>
      </c>
      <c r="N11" s="7">
        <v>-7.5</v>
      </c>
      <c r="O11" s="7">
        <v>3.5</v>
      </c>
      <c r="P11" s="7">
        <v>1</v>
      </c>
      <c r="Q11" s="7">
        <v>-5.5</v>
      </c>
      <c r="R11" s="7">
        <v>-9</v>
      </c>
      <c r="S11" s="47"/>
      <c r="T11" s="47"/>
      <c r="U11" s="8">
        <v>-54</v>
      </c>
      <c r="V11" s="23">
        <f t="shared" si="6"/>
        <v>10</v>
      </c>
      <c r="W11" s="12">
        <f t="shared" si="7"/>
        <v>8</v>
      </c>
      <c r="X11" s="21">
        <f t="shared" si="4"/>
        <v>4.9079754601226995E-2</v>
      </c>
      <c r="Y11" s="33"/>
      <c r="Z11">
        <f t="shared" si="15"/>
        <v>9</v>
      </c>
      <c r="AA11">
        <f t="shared" si="8"/>
        <v>0</v>
      </c>
    </row>
    <row r="12" spans="1:27" x14ac:dyDescent="0.3">
      <c r="A12" s="47"/>
      <c r="B12" s="47"/>
      <c r="C12" s="2" t="s">
        <v>3</v>
      </c>
      <c r="D12" s="7" t="s">
        <v>57</v>
      </c>
      <c r="E12" s="7" t="s">
        <v>70</v>
      </c>
      <c r="F12" s="7" t="s">
        <v>64</v>
      </c>
      <c r="G12" s="7" t="s">
        <v>208</v>
      </c>
      <c r="H12" s="7" t="s">
        <v>58</v>
      </c>
      <c r="I12" s="7" t="s">
        <v>66</v>
      </c>
      <c r="J12" s="7" t="s">
        <v>65</v>
      </c>
      <c r="K12" s="7" t="s">
        <v>53</v>
      </c>
      <c r="L12" s="7" t="s">
        <v>56</v>
      </c>
      <c r="M12" s="7" t="s">
        <v>50</v>
      </c>
      <c r="N12" s="7" t="s">
        <v>51</v>
      </c>
      <c r="O12" s="7" t="s">
        <v>71</v>
      </c>
      <c r="P12" s="7" t="s">
        <v>209</v>
      </c>
      <c r="Q12" s="7" t="s">
        <v>63</v>
      </c>
      <c r="R12" s="7" t="s">
        <v>59</v>
      </c>
      <c r="S12" s="47"/>
      <c r="T12" s="47"/>
      <c r="U12" s="8"/>
      <c r="V12" s="23">
        <f t="shared" si="6"/>
        <v>11</v>
      </c>
      <c r="W12" s="12">
        <f t="shared" si="7"/>
        <v>2</v>
      </c>
      <c r="X12" s="21">
        <f t="shared" si="4"/>
        <v>1.2269938650306749E-2</v>
      </c>
      <c r="Y12" s="33"/>
      <c r="Z12">
        <f t="shared" si="15"/>
        <v>10</v>
      </c>
      <c r="AA12">
        <f t="shared" si="8"/>
        <v>0</v>
      </c>
    </row>
    <row r="13" spans="1:27" x14ac:dyDescent="0.3">
      <c r="A13" s="47"/>
      <c r="B13" s="47"/>
      <c r="C13" s="2" t="s">
        <v>0</v>
      </c>
      <c r="D13" s="7">
        <v>13</v>
      </c>
      <c r="E13" s="7">
        <v>21</v>
      </c>
      <c r="F13" s="7">
        <v>10</v>
      </c>
      <c r="G13" s="7">
        <v>27</v>
      </c>
      <c r="H13" s="7">
        <v>22</v>
      </c>
      <c r="I13" s="7">
        <v>24</v>
      </c>
      <c r="J13" s="7">
        <v>27</v>
      </c>
      <c r="K13" s="7">
        <v>27</v>
      </c>
      <c r="L13" s="7">
        <v>17</v>
      </c>
      <c r="M13" s="7">
        <v>9</v>
      </c>
      <c r="N13" s="7">
        <v>23</v>
      </c>
      <c r="O13" s="7">
        <v>24</v>
      </c>
      <c r="P13" s="7">
        <v>26</v>
      </c>
      <c r="Q13" s="7">
        <v>13</v>
      </c>
      <c r="R13" s="7">
        <v>24</v>
      </c>
      <c r="S13" s="47"/>
      <c r="T13" s="47"/>
      <c r="U13" s="8"/>
      <c r="V13" s="23">
        <f t="shared" si="6"/>
        <v>12</v>
      </c>
      <c r="W13" s="12">
        <f t="shared" si="7"/>
        <v>0</v>
      </c>
      <c r="X13" s="21">
        <f t="shared" si="4"/>
        <v>0</v>
      </c>
      <c r="Y13" s="33"/>
      <c r="Z13">
        <f t="shared" si="15"/>
        <v>11</v>
      </c>
      <c r="AA13">
        <f t="shared" si="8"/>
        <v>0</v>
      </c>
    </row>
    <row r="14" spans="1:27" x14ac:dyDescent="0.3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47"/>
      <c r="T14" s="47"/>
      <c r="U14" s="8"/>
      <c r="V14" s="23">
        <f t="shared" si="6"/>
        <v>13</v>
      </c>
      <c r="W14" s="12">
        <f t="shared" si="7"/>
        <v>0</v>
      </c>
      <c r="X14" s="21">
        <f t="shared" si="4"/>
        <v>0</v>
      </c>
      <c r="Y14" s="33"/>
      <c r="Z14">
        <f t="shared" si="15"/>
        <v>12</v>
      </c>
      <c r="AA14">
        <f t="shared" si="8"/>
        <v>0</v>
      </c>
    </row>
    <row r="15" spans="1:27" ht="29.4" thickBot="1" x14ac:dyDescent="0.35">
      <c r="A15" s="47"/>
      <c r="B15" s="47"/>
      <c r="C15" s="2" t="s">
        <v>5</v>
      </c>
      <c r="D15" s="7"/>
      <c r="E15" s="7"/>
      <c r="F15" s="7"/>
      <c r="G15" s="7"/>
      <c r="H15" s="7"/>
      <c r="I15" s="7"/>
      <c r="J15" s="7"/>
      <c r="K15" s="7"/>
      <c r="L15" s="7" t="s">
        <v>206</v>
      </c>
      <c r="M15" s="7"/>
      <c r="N15" s="7"/>
      <c r="O15" s="7"/>
      <c r="P15" s="7" t="s">
        <v>206</v>
      </c>
      <c r="Q15" s="7"/>
      <c r="R15" s="7" t="s">
        <v>206</v>
      </c>
      <c r="S15" s="47"/>
      <c r="T15" s="47"/>
      <c r="U15" s="8"/>
      <c r="V15" s="17">
        <f t="shared" si="6"/>
        <v>14</v>
      </c>
      <c r="W15" s="14">
        <f t="shared" si="7"/>
        <v>0</v>
      </c>
      <c r="X15" s="22">
        <f t="shared" si="4"/>
        <v>0</v>
      </c>
      <c r="Z15">
        <f t="shared" si="15"/>
        <v>13</v>
      </c>
      <c r="AA15">
        <f t="shared" si="8"/>
        <v>1</v>
      </c>
    </row>
    <row r="16" spans="1:27" ht="28.8" x14ac:dyDescent="0.3">
      <c r="A16" s="43">
        <v>1</v>
      </c>
      <c r="B16" s="4"/>
      <c r="C16" s="6" t="s">
        <v>22</v>
      </c>
      <c r="D16" s="5"/>
      <c r="E16" s="5" t="s">
        <v>69</v>
      </c>
      <c r="F16" s="5" t="s">
        <v>52</v>
      </c>
      <c r="G16" s="5" t="s">
        <v>208</v>
      </c>
      <c r="H16" s="5" t="s">
        <v>68</v>
      </c>
      <c r="I16" s="5" t="s">
        <v>73</v>
      </c>
      <c r="J16" s="5" t="s">
        <v>61</v>
      </c>
      <c r="K16" s="5" t="s">
        <v>53</v>
      </c>
      <c r="L16" s="5" t="s">
        <v>56</v>
      </c>
      <c r="M16" s="5" t="s">
        <v>50</v>
      </c>
      <c r="N16" s="5" t="s">
        <v>51</v>
      </c>
      <c r="O16" s="5" t="s">
        <v>71</v>
      </c>
      <c r="P16" s="5" t="s">
        <v>209</v>
      </c>
      <c r="Q16" s="5" t="s">
        <v>207</v>
      </c>
      <c r="R16" s="5" t="s">
        <v>59</v>
      </c>
      <c r="S16" s="1">
        <v>11</v>
      </c>
      <c r="T16" s="1">
        <v>75</v>
      </c>
      <c r="U16" s="1">
        <v>42</v>
      </c>
      <c r="Z16">
        <f t="shared" si="15"/>
        <v>14</v>
      </c>
      <c r="AA16">
        <f t="shared" si="8"/>
        <v>0</v>
      </c>
    </row>
    <row r="17" spans="1:27" ht="28.8" x14ac:dyDescent="0.3">
      <c r="A17" s="43">
        <v>2</v>
      </c>
      <c r="B17" s="4"/>
      <c r="C17" s="6" t="s">
        <v>27</v>
      </c>
      <c r="D17" s="5"/>
      <c r="E17" s="5" t="s">
        <v>69</v>
      </c>
      <c r="F17" s="5" t="s">
        <v>64</v>
      </c>
      <c r="G17" s="5" t="s">
        <v>208</v>
      </c>
      <c r="H17" s="5" t="s">
        <v>68</v>
      </c>
      <c r="I17" s="5" t="s">
        <v>73</v>
      </c>
      <c r="J17" s="5" t="s">
        <v>65</v>
      </c>
      <c r="K17" s="5" t="s">
        <v>53</v>
      </c>
      <c r="L17" s="5" t="s">
        <v>56</v>
      </c>
      <c r="M17" s="5" t="s">
        <v>55</v>
      </c>
      <c r="N17" s="5" t="s">
        <v>51</v>
      </c>
      <c r="O17" s="5" t="s">
        <v>71</v>
      </c>
      <c r="P17" s="5" t="s">
        <v>47</v>
      </c>
      <c r="Q17" s="5" t="s">
        <v>207</v>
      </c>
      <c r="R17" s="5" t="s">
        <v>59</v>
      </c>
      <c r="S17" s="1">
        <v>11</v>
      </c>
      <c r="T17" s="1">
        <v>78</v>
      </c>
      <c r="U17" s="1">
        <v>38</v>
      </c>
      <c r="Z17">
        <f t="shared" si="15"/>
        <v>15</v>
      </c>
      <c r="AA17">
        <f t="shared" si="8"/>
        <v>0</v>
      </c>
    </row>
    <row r="18" spans="1:27" x14ac:dyDescent="0.3">
      <c r="A18" s="43">
        <v>3</v>
      </c>
      <c r="B18" s="4"/>
      <c r="C18" s="6" t="s">
        <v>45</v>
      </c>
      <c r="D18" s="5"/>
      <c r="E18" s="5" t="s">
        <v>69</v>
      </c>
      <c r="F18" s="5" t="s">
        <v>52</v>
      </c>
      <c r="G18" s="5" t="s">
        <v>75</v>
      </c>
      <c r="H18" s="5" t="s">
        <v>68</v>
      </c>
      <c r="I18" s="5" t="s">
        <v>73</v>
      </c>
      <c r="J18" s="5" t="s">
        <v>65</v>
      </c>
      <c r="K18" s="5" t="s">
        <v>53</v>
      </c>
      <c r="L18" s="5" t="s">
        <v>62</v>
      </c>
      <c r="M18" s="5" t="s">
        <v>55</v>
      </c>
      <c r="N18" s="5" t="s">
        <v>60</v>
      </c>
      <c r="O18" s="5" t="s">
        <v>71</v>
      </c>
      <c r="P18" s="5" t="s">
        <v>209</v>
      </c>
      <c r="Q18" s="5" t="s">
        <v>207</v>
      </c>
      <c r="R18" s="5" t="s">
        <v>210</v>
      </c>
      <c r="S18" s="1">
        <v>10</v>
      </c>
      <c r="T18" s="1">
        <v>62</v>
      </c>
      <c r="U18" s="1">
        <v>52</v>
      </c>
      <c r="Z18">
        <f t="shared" si="15"/>
        <v>16</v>
      </c>
      <c r="AA18">
        <f t="shared" si="8"/>
        <v>0</v>
      </c>
    </row>
    <row r="19" spans="1:27" x14ac:dyDescent="0.3">
      <c r="A19" s="43">
        <v>4</v>
      </c>
      <c r="B19" s="4"/>
      <c r="C19" s="6" t="s">
        <v>161</v>
      </c>
      <c r="D19" s="5"/>
      <c r="E19" s="5" t="s">
        <v>69</v>
      </c>
      <c r="F19" s="5" t="s">
        <v>52</v>
      </c>
      <c r="G19" s="5" t="s">
        <v>208</v>
      </c>
      <c r="H19" s="5" t="s">
        <v>58</v>
      </c>
      <c r="I19" s="5" t="s">
        <v>73</v>
      </c>
      <c r="J19" s="5" t="s">
        <v>65</v>
      </c>
      <c r="K19" s="5" t="s">
        <v>53</v>
      </c>
      <c r="L19" s="5" t="s">
        <v>56</v>
      </c>
      <c r="M19" s="5" t="s">
        <v>55</v>
      </c>
      <c r="N19" s="5" t="s">
        <v>51</v>
      </c>
      <c r="O19" s="5" t="s">
        <v>54</v>
      </c>
      <c r="P19" s="5" t="s">
        <v>47</v>
      </c>
      <c r="Q19" s="5" t="s">
        <v>207</v>
      </c>
      <c r="R19" s="5" t="s">
        <v>59</v>
      </c>
      <c r="S19" s="1">
        <v>10</v>
      </c>
      <c r="T19" s="1">
        <v>67</v>
      </c>
      <c r="U19" s="1">
        <v>52</v>
      </c>
      <c r="Z19">
        <f t="shared" si="15"/>
        <v>17</v>
      </c>
      <c r="AA19">
        <f t="shared" si="8"/>
        <v>0</v>
      </c>
    </row>
    <row r="20" spans="1:27" ht="28.8" x14ac:dyDescent="0.3">
      <c r="A20" s="43">
        <v>5</v>
      </c>
      <c r="B20" s="4"/>
      <c r="C20" s="6" t="s">
        <v>99</v>
      </c>
      <c r="D20" s="5"/>
      <c r="E20" s="5" t="s">
        <v>69</v>
      </c>
      <c r="F20" s="5" t="s">
        <v>52</v>
      </c>
      <c r="G20" s="5" t="s">
        <v>208</v>
      </c>
      <c r="H20" s="5" t="s">
        <v>58</v>
      </c>
      <c r="I20" s="5" t="s">
        <v>73</v>
      </c>
      <c r="J20" s="5" t="s">
        <v>61</v>
      </c>
      <c r="K20" s="5" t="s">
        <v>53</v>
      </c>
      <c r="L20" s="5" t="s">
        <v>62</v>
      </c>
      <c r="M20" s="5" t="s">
        <v>55</v>
      </c>
      <c r="N20" s="5" t="s">
        <v>60</v>
      </c>
      <c r="O20" s="5" t="s">
        <v>71</v>
      </c>
      <c r="P20" s="5" t="s">
        <v>209</v>
      </c>
      <c r="Q20" s="5" t="s">
        <v>207</v>
      </c>
      <c r="R20" s="5" t="s">
        <v>59</v>
      </c>
      <c r="S20" s="1">
        <v>10</v>
      </c>
      <c r="T20" s="1">
        <v>72</v>
      </c>
      <c r="U20" s="1">
        <v>48</v>
      </c>
      <c r="Z20">
        <f t="shared" si="15"/>
        <v>18</v>
      </c>
      <c r="AA20">
        <f t="shared" si="8"/>
        <v>2</v>
      </c>
    </row>
    <row r="21" spans="1:27" ht="28.8" x14ac:dyDescent="0.3">
      <c r="A21" s="43">
        <v>6</v>
      </c>
      <c r="B21" s="4"/>
      <c r="C21" s="6" t="s">
        <v>191</v>
      </c>
      <c r="D21" s="5"/>
      <c r="E21" s="5" t="s">
        <v>69</v>
      </c>
      <c r="F21" s="5" t="s">
        <v>52</v>
      </c>
      <c r="G21" s="5" t="s">
        <v>75</v>
      </c>
      <c r="H21" s="5" t="s">
        <v>68</v>
      </c>
      <c r="I21" s="5" t="s">
        <v>66</v>
      </c>
      <c r="J21" s="5" t="s">
        <v>65</v>
      </c>
      <c r="K21" s="5" t="s">
        <v>53</v>
      </c>
      <c r="L21" s="5" t="s">
        <v>56</v>
      </c>
      <c r="M21" s="5" t="s">
        <v>55</v>
      </c>
      <c r="N21" s="5" t="s">
        <v>51</v>
      </c>
      <c r="O21" s="5" t="s">
        <v>71</v>
      </c>
      <c r="P21" s="5" t="s">
        <v>47</v>
      </c>
      <c r="Q21" s="5" t="s">
        <v>207</v>
      </c>
      <c r="R21" s="5" t="s">
        <v>59</v>
      </c>
      <c r="S21" s="1">
        <v>10</v>
      </c>
      <c r="T21" s="1">
        <v>66</v>
      </c>
      <c r="U21" s="1">
        <v>47</v>
      </c>
      <c r="Z21">
        <f t="shared" si="15"/>
        <v>19</v>
      </c>
      <c r="AA21">
        <f t="shared" si="8"/>
        <v>0</v>
      </c>
    </row>
    <row r="22" spans="1:27" ht="28.8" x14ac:dyDescent="0.3">
      <c r="A22" s="43">
        <v>7</v>
      </c>
      <c r="B22" s="4"/>
      <c r="C22" s="6" t="s">
        <v>92</v>
      </c>
      <c r="D22" s="5"/>
      <c r="E22" s="5" t="s">
        <v>69</v>
      </c>
      <c r="F22" s="5" t="s">
        <v>52</v>
      </c>
      <c r="G22" s="5" t="s">
        <v>75</v>
      </c>
      <c r="H22" s="5" t="s">
        <v>58</v>
      </c>
      <c r="I22" s="5" t="s">
        <v>73</v>
      </c>
      <c r="J22" s="5" t="s">
        <v>61</v>
      </c>
      <c r="K22" s="5" t="s">
        <v>53</v>
      </c>
      <c r="L22" s="5" t="s">
        <v>56</v>
      </c>
      <c r="M22" s="5" t="s">
        <v>55</v>
      </c>
      <c r="N22" s="5" t="s">
        <v>51</v>
      </c>
      <c r="O22" s="5" t="s">
        <v>71</v>
      </c>
      <c r="P22" s="5" t="s">
        <v>209</v>
      </c>
      <c r="Q22" s="5" t="s">
        <v>207</v>
      </c>
      <c r="R22" s="5" t="s">
        <v>59</v>
      </c>
      <c r="S22" s="1">
        <v>10</v>
      </c>
      <c r="T22" s="1">
        <v>68</v>
      </c>
      <c r="U22" s="1">
        <v>47</v>
      </c>
      <c r="Z22">
        <f t="shared" si="15"/>
        <v>20</v>
      </c>
      <c r="AA22">
        <f t="shared" si="8"/>
        <v>0</v>
      </c>
    </row>
    <row r="23" spans="1:27" x14ac:dyDescent="0.3">
      <c r="A23" s="43">
        <v>8</v>
      </c>
      <c r="B23" s="4"/>
      <c r="C23" s="6" t="s">
        <v>156</v>
      </c>
      <c r="D23" s="5"/>
      <c r="E23" s="5" t="s">
        <v>69</v>
      </c>
      <c r="F23" s="5" t="s">
        <v>52</v>
      </c>
      <c r="G23" s="5" t="s">
        <v>208</v>
      </c>
      <c r="H23" s="5" t="s">
        <v>68</v>
      </c>
      <c r="I23" s="5" t="s">
        <v>73</v>
      </c>
      <c r="J23" s="5" t="s">
        <v>61</v>
      </c>
      <c r="K23" s="5" t="s">
        <v>53</v>
      </c>
      <c r="L23" s="5" t="s">
        <v>56</v>
      </c>
      <c r="M23" s="5" t="s">
        <v>50</v>
      </c>
      <c r="N23" s="5" t="s">
        <v>51</v>
      </c>
      <c r="O23" s="5" t="s">
        <v>71</v>
      </c>
      <c r="P23" s="5" t="s">
        <v>47</v>
      </c>
      <c r="Q23" s="5" t="s">
        <v>207</v>
      </c>
      <c r="R23" s="5" t="s">
        <v>59</v>
      </c>
      <c r="S23" s="1">
        <v>10</v>
      </c>
      <c r="T23" s="1">
        <v>69</v>
      </c>
      <c r="U23" s="1">
        <v>42</v>
      </c>
      <c r="Z23">
        <f t="shared" si="15"/>
        <v>21</v>
      </c>
      <c r="AA23">
        <f t="shared" si="8"/>
        <v>0</v>
      </c>
    </row>
    <row r="24" spans="1:27" x14ac:dyDescent="0.3">
      <c r="A24" s="43">
        <v>9</v>
      </c>
      <c r="B24" s="4"/>
      <c r="C24" s="6" t="s">
        <v>136</v>
      </c>
      <c r="D24" s="5"/>
      <c r="E24" s="5" t="s">
        <v>69</v>
      </c>
      <c r="F24" s="5" t="s">
        <v>52</v>
      </c>
      <c r="G24" s="5" t="s">
        <v>75</v>
      </c>
      <c r="H24" s="5" t="s">
        <v>58</v>
      </c>
      <c r="I24" s="5" t="s">
        <v>73</v>
      </c>
      <c r="J24" s="5" t="s">
        <v>65</v>
      </c>
      <c r="K24" s="5" t="s">
        <v>53</v>
      </c>
      <c r="L24" s="5" t="s">
        <v>56</v>
      </c>
      <c r="M24" s="5" t="s">
        <v>55</v>
      </c>
      <c r="N24" s="5" t="s">
        <v>60</v>
      </c>
      <c r="O24" s="5" t="s">
        <v>71</v>
      </c>
      <c r="P24" s="5" t="s">
        <v>209</v>
      </c>
      <c r="Q24" s="5" t="s">
        <v>207</v>
      </c>
      <c r="R24" s="5" t="s">
        <v>59</v>
      </c>
      <c r="S24" s="1">
        <v>10</v>
      </c>
      <c r="T24" s="1">
        <v>66</v>
      </c>
      <c r="U24" s="1">
        <v>41</v>
      </c>
      <c r="Z24">
        <f t="shared" si="15"/>
        <v>22</v>
      </c>
      <c r="AA24">
        <f t="shared" si="8"/>
        <v>0</v>
      </c>
    </row>
    <row r="25" spans="1:27" ht="43.2" x14ac:dyDescent="0.3">
      <c r="A25" s="43">
        <v>10</v>
      </c>
      <c r="B25" s="4"/>
      <c r="C25" s="6" t="s">
        <v>171</v>
      </c>
      <c r="D25" s="5"/>
      <c r="E25" s="5" t="s">
        <v>70</v>
      </c>
      <c r="F25" s="5" t="s">
        <v>52</v>
      </c>
      <c r="G25" s="5" t="s">
        <v>208</v>
      </c>
      <c r="H25" s="5" t="s">
        <v>68</v>
      </c>
      <c r="I25" s="5" t="s">
        <v>66</v>
      </c>
      <c r="J25" s="5" t="s">
        <v>65</v>
      </c>
      <c r="K25" s="5" t="s">
        <v>53</v>
      </c>
      <c r="L25" s="5" t="s">
        <v>62</v>
      </c>
      <c r="M25" s="5" t="s">
        <v>55</v>
      </c>
      <c r="N25" s="5" t="s">
        <v>51</v>
      </c>
      <c r="O25" s="5" t="s">
        <v>71</v>
      </c>
      <c r="P25" s="5" t="s">
        <v>209</v>
      </c>
      <c r="Q25" s="5" t="s">
        <v>63</v>
      </c>
      <c r="R25" s="5" t="s">
        <v>59</v>
      </c>
      <c r="S25" s="1">
        <v>10</v>
      </c>
      <c r="T25" s="1">
        <v>65</v>
      </c>
      <c r="U25" s="1">
        <v>41</v>
      </c>
      <c r="Z25">
        <f t="shared" si="15"/>
        <v>23</v>
      </c>
      <c r="AA25">
        <f t="shared" si="8"/>
        <v>1</v>
      </c>
    </row>
    <row r="26" spans="1:27" ht="28.8" x14ac:dyDescent="0.3">
      <c r="A26" s="43">
        <v>11</v>
      </c>
      <c r="B26" s="4"/>
      <c r="C26" s="6" t="s">
        <v>184</v>
      </c>
      <c r="D26" s="5"/>
      <c r="E26" s="5" t="s">
        <v>69</v>
      </c>
      <c r="F26" s="5" t="s">
        <v>52</v>
      </c>
      <c r="G26" s="5" t="s">
        <v>208</v>
      </c>
      <c r="H26" s="5" t="s">
        <v>58</v>
      </c>
      <c r="I26" s="5" t="s">
        <v>73</v>
      </c>
      <c r="J26" s="5" t="s">
        <v>61</v>
      </c>
      <c r="K26" s="5" t="s">
        <v>53</v>
      </c>
      <c r="L26" s="5" t="s">
        <v>62</v>
      </c>
      <c r="M26" s="5" t="s">
        <v>55</v>
      </c>
      <c r="N26" s="5" t="s">
        <v>51</v>
      </c>
      <c r="O26" s="5" t="s">
        <v>54</v>
      </c>
      <c r="P26" s="5" t="s">
        <v>209</v>
      </c>
      <c r="Q26" s="5" t="s">
        <v>207</v>
      </c>
      <c r="R26" s="5" t="s">
        <v>210</v>
      </c>
      <c r="S26" s="1">
        <v>9</v>
      </c>
      <c r="T26" s="1">
        <v>67</v>
      </c>
      <c r="U26" s="1">
        <v>53</v>
      </c>
      <c r="Z26">
        <f t="shared" si="15"/>
        <v>24</v>
      </c>
      <c r="AA26">
        <f t="shared" si="8"/>
        <v>0</v>
      </c>
    </row>
    <row r="27" spans="1:27" ht="28.8" x14ac:dyDescent="0.3">
      <c r="A27" s="43">
        <v>12</v>
      </c>
      <c r="B27" s="4"/>
      <c r="C27" s="6" t="s">
        <v>24</v>
      </c>
      <c r="D27" s="5"/>
      <c r="E27" s="5" t="s">
        <v>69</v>
      </c>
      <c r="F27" s="5" t="s">
        <v>52</v>
      </c>
      <c r="G27" s="5" t="s">
        <v>75</v>
      </c>
      <c r="H27" s="5" t="s">
        <v>68</v>
      </c>
      <c r="I27" s="5" t="s">
        <v>66</v>
      </c>
      <c r="J27" s="5" t="s">
        <v>61</v>
      </c>
      <c r="K27" s="5" t="s">
        <v>53</v>
      </c>
      <c r="L27" s="5" t="s">
        <v>62</v>
      </c>
      <c r="M27" s="5" t="s">
        <v>50</v>
      </c>
      <c r="N27" s="5" t="s">
        <v>51</v>
      </c>
      <c r="O27" s="5" t="s">
        <v>71</v>
      </c>
      <c r="P27" s="5" t="s">
        <v>209</v>
      </c>
      <c r="Q27" s="5" t="s">
        <v>207</v>
      </c>
      <c r="R27" s="5" t="s">
        <v>59</v>
      </c>
      <c r="S27" s="1">
        <v>9</v>
      </c>
      <c r="T27" s="1">
        <v>65</v>
      </c>
      <c r="U27" s="1">
        <v>52</v>
      </c>
      <c r="Z27">
        <f t="shared" si="15"/>
        <v>25</v>
      </c>
      <c r="AA27">
        <f t="shared" si="8"/>
        <v>0</v>
      </c>
    </row>
    <row r="28" spans="1:27" ht="28.8" x14ac:dyDescent="0.3">
      <c r="A28" s="43">
        <v>13</v>
      </c>
      <c r="B28" s="4"/>
      <c r="C28" s="6" t="s">
        <v>116</v>
      </c>
      <c r="D28" s="5"/>
      <c r="E28" s="5" t="s">
        <v>69</v>
      </c>
      <c r="F28" s="5" t="s">
        <v>64</v>
      </c>
      <c r="G28" s="5" t="s">
        <v>208</v>
      </c>
      <c r="H28" s="5" t="s">
        <v>58</v>
      </c>
      <c r="I28" s="5" t="s">
        <v>66</v>
      </c>
      <c r="J28" s="5" t="s">
        <v>65</v>
      </c>
      <c r="K28" s="5" t="s">
        <v>53</v>
      </c>
      <c r="L28" s="5" t="s">
        <v>56</v>
      </c>
      <c r="M28" s="5" t="s">
        <v>55</v>
      </c>
      <c r="N28" s="5" t="s">
        <v>51</v>
      </c>
      <c r="O28" s="5" t="s">
        <v>54</v>
      </c>
      <c r="P28" s="5" t="s">
        <v>209</v>
      </c>
      <c r="Q28" s="5" t="s">
        <v>207</v>
      </c>
      <c r="R28" s="5" t="s">
        <v>59</v>
      </c>
      <c r="S28" s="1">
        <v>9</v>
      </c>
      <c r="T28" s="1">
        <v>65</v>
      </c>
      <c r="U28" s="1">
        <v>52</v>
      </c>
      <c r="Z28">
        <f t="shared" si="15"/>
        <v>26</v>
      </c>
      <c r="AA28">
        <f t="shared" si="8"/>
        <v>0</v>
      </c>
    </row>
    <row r="29" spans="1:27" x14ac:dyDescent="0.3">
      <c r="A29" s="43">
        <v>14</v>
      </c>
      <c r="B29" s="4"/>
      <c r="C29" s="6" t="s">
        <v>85</v>
      </c>
      <c r="D29" s="5"/>
      <c r="E29" s="5" t="s">
        <v>69</v>
      </c>
      <c r="F29" s="5" t="s">
        <v>52</v>
      </c>
      <c r="G29" s="5" t="s">
        <v>208</v>
      </c>
      <c r="H29" s="5" t="s">
        <v>58</v>
      </c>
      <c r="I29" s="5" t="s">
        <v>73</v>
      </c>
      <c r="J29" s="5" t="s">
        <v>65</v>
      </c>
      <c r="K29" s="5" t="s">
        <v>53</v>
      </c>
      <c r="L29" s="5" t="s">
        <v>56</v>
      </c>
      <c r="M29" s="5" t="s">
        <v>55</v>
      </c>
      <c r="N29" s="5" t="s">
        <v>60</v>
      </c>
      <c r="O29" s="5" t="s">
        <v>71</v>
      </c>
      <c r="P29" s="5" t="s">
        <v>47</v>
      </c>
      <c r="Q29" s="5" t="s">
        <v>63</v>
      </c>
      <c r="R29" s="5" t="s">
        <v>59</v>
      </c>
      <c r="S29" s="1">
        <v>9</v>
      </c>
      <c r="T29" s="1">
        <v>72</v>
      </c>
      <c r="U29" s="1">
        <v>52</v>
      </c>
      <c r="Z29">
        <f t="shared" si="15"/>
        <v>27</v>
      </c>
      <c r="AA29">
        <f t="shared" si="8"/>
        <v>0</v>
      </c>
    </row>
    <row r="30" spans="1:27" x14ac:dyDescent="0.3">
      <c r="A30" s="43">
        <v>15</v>
      </c>
      <c r="B30" s="4"/>
      <c r="C30" s="6" t="s">
        <v>187</v>
      </c>
      <c r="D30" s="5"/>
      <c r="E30" s="5" t="s">
        <v>69</v>
      </c>
      <c r="F30" s="5" t="s">
        <v>64</v>
      </c>
      <c r="G30" s="5" t="s">
        <v>75</v>
      </c>
      <c r="H30" s="5" t="s">
        <v>58</v>
      </c>
      <c r="I30" s="5" t="s">
        <v>73</v>
      </c>
      <c r="J30" s="5" t="s">
        <v>61</v>
      </c>
      <c r="K30" s="5" t="s">
        <v>53</v>
      </c>
      <c r="L30" s="5" t="s">
        <v>56</v>
      </c>
      <c r="M30" s="5" t="s">
        <v>55</v>
      </c>
      <c r="N30" s="5" t="s">
        <v>51</v>
      </c>
      <c r="O30" s="5" t="s">
        <v>71</v>
      </c>
      <c r="P30" s="5" t="s">
        <v>209</v>
      </c>
      <c r="Q30" s="5" t="s">
        <v>207</v>
      </c>
      <c r="R30" s="5" t="s">
        <v>59</v>
      </c>
      <c r="S30" s="1">
        <v>9</v>
      </c>
      <c r="T30" s="1">
        <v>67</v>
      </c>
      <c r="U30" s="1">
        <v>56</v>
      </c>
      <c r="Z30">
        <f t="shared" si="15"/>
        <v>28</v>
      </c>
      <c r="AA30">
        <f t="shared" si="8"/>
        <v>0</v>
      </c>
    </row>
    <row r="31" spans="1:27" ht="28.8" x14ac:dyDescent="0.3">
      <c r="A31" s="43">
        <v>16</v>
      </c>
      <c r="B31" s="4"/>
      <c r="C31" s="6" t="s">
        <v>193</v>
      </c>
      <c r="D31" s="5"/>
      <c r="E31" s="5" t="s">
        <v>69</v>
      </c>
      <c r="F31" s="5" t="s">
        <v>52</v>
      </c>
      <c r="G31" s="5" t="s">
        <v>208</v>
      </c>
      <c r="H31" s="5" t="s">
        <v>58</v>
      </c>
      <c r="I31" s="5" t="s">
        <v>73</v>
      </c>
      <c r="J31" s="5" t="s">
        <v>61</v>
      </c>
      <c r="K31" s="5" t="s">
        <v>53</v>
      </c>
      <c r="L31" s="5" t="s">
        <v>56</v>
      </c>
      <c r="M31" s="5" t="s">
        <v>55</v>
      </c>
      <c r="N31" s="5" t="s">
        <v>60</v>
      </c>
      <c r="O31" s="5" t="s">
        <v>71</v>
      </c>
      <c r="P31" s="5" t="s">
        <v>209</v>
      </c>
      <c r="Q31" s="5" t="s">
        <v>207</v>
      </c>
      <c r="R31" s="5" t="s">
        <v>210</v>
      </c>
      <c r="S31" s="1">
        <v>9</v>
      </c>
      <c r="T31" s="1">
        <v>64</v>
      </c>
      <c r="U31" s="1">
        <v>56</v>
      </c>
      <c r="Z31">
        <f t="shared" si="15"/>
        <v>29</v>
      </c>
      <c r="AA31">
        <f t="shared" si="8"/>
        <v>0</v>
      </c>
    </row>
    <row r="32" spans="1:27" x14ac:dyDescent="0.3">
      <c r="A32" s="43">
        <v>17</v>
      </c>
      <c r="B32" s="4"/>
      <c r="C32" s="6" t="s">
        <v>138</v>
      </c>
      <c r="D32" s="5"/>
      <c r="E32" s="5" t="s">
        <v>69</v>
      </c>
      <c r="F32" s="5" t="s">
        <v>52</v>
      </c>
      <c r="G32" s="5" t="s">
        <v>75</v>
      </c>
      <c r="H32" s="5" t="s">
        <v>68</v>
      </c>
      <c r="I32" s="5" t="s">
        <v>73</v>
      </c>
      <c r="J32" s="5" t="s">
        <v>65</v>
      </c>
      <c r="K32" s="5" t="s">
        <v>72</v>
      </c>
      <c r="L32" s="5" t="s">
        <v>56</v>
      </c>
      <c r="M32" s="5" t="s">
        <v>55</v>
      </c>
      <c r="N32" s="5" t="s">
        <v>60</v>
      </c>
      <c r="O32" s="5" t="s">
        <v>71</v>
      </c>
      <c r="P32" s="5" t="s">
        <v>209</v>
      </c>
      <c r="Q32" s="5" t="s">
        <v>63</v>
      </c>
      <c r="R32" s="5" t="s">
        <v>59</v>
      </c>
      <c r="S32" s="1">
        <v>9</v>
      </c>
      <c r="T32" s="1">
        <v>70</v>
      </c>
      <c r="U32" s="1">
        <v>51</v>
      </c>
      <c r="Z32">
        <f t="shared" si="15"/>
        <v>30</v>
      </c>
      <c r="AA32">
        <f t="shared" si="8"/>
        <v>0</v>
      </c>
    </row>
    <row r="33" spans="1:27" x14ac:dyDescent="0.3">
      <c r="A33" s="43">
        <v>18</v>
      </c>
      <c r="B33" s="4"/>
      <c r="C33" s="6" t="s">
        <v>119</v>
      </c>
      <c r="D33" s="5"/>
      <c r="E33" s="5" t="s">
        <v>69</v>
      </c>
      <c r="F33" s="5" t="s">
        <v>52</v>
      </c>
      <c r="G33" s="5" t="s">
        <v>75</v>
      </c>
      <c r="H33" s="5" t="s">
        <v>68</v>
      </c>
      <c r="I33" s="5" t="s">
        <v>73</v>
      </c>
      <c r="J33" s="5" t="s">
        <v>61</v>
      </c>
      <c r="K33" s="5" t="s">
        <v>53</v>
      </c>
      <c r="L33" s="5" t="s">
        <v>56</v>
      </c>
      <c r="M33" s="5" t="s">
        <v>55</v>
      </c>
      <c r="N33" s="5" t="s">
        <v>60</v>
      </c>
      <c r="O33" s="5" t="s">
        <v>71</v>
      </c>
      <c r="P33" s="5" t="s">
        <v>209</v>
      </c>
      <c r="Q33" s="5" t="s">
        <v>207</v>
      </c>
      <c r="R33" s="5" t="s">
        <v>210</v>
      </c>
      <c r="S33" s="1">
        <v>9</v>
      </c>
      <c r="T33" s="1">
        <v>71</v>
      </c>
      <c r="U33" s="1">
        <v>51</v>
      </c>
      <c r="Z33">
        <f t="shared" si="15"/>
        <v>31</v>
      </c>
      <c r="AA33">
        <f t="shared" si="8"/>
        <v>1</v>
      </c>
    </row>
    <row r="34" spans="1:27" x14ac:dyDescent="0.3">
      <c r="A34" s="43">
        <v>19</v>
      </c>
      <c r="B34" s="4"/>
      <c r="C34" s="6" t="s">
        <v>142</v>
      </c>
      <c r="D34" s="5"/>
      <c r="E34" s="5" t="s">
        <v>69</v>
      </c>
      <c r="F34" s="5" t="s">
        <v>52</v>
      </c>
      <c r="G34" s="5" t="s">
        <v>208</v>
      </c>
      <c r="H34" s="5" t="s">
        <v>58</v>
      </c>
      <c r="I34" s="5" t="s">
        <v>73</v>
      </c>
      <c r="J34" s="5" t="s">
        <v>61</v>
      </c>
      <c r="K34" s="5" t="s">
        <v>53</v>
      </c>
      <c r="L34" s="5" t="s">
        <v>62</v>
      </c>
      <c r="M34" s="5" t="s">
        <v>55</v>
      </c>
      <c r="N34" s="5" t="s">
        <v>51</v>
      </c>
      <c r="O34" s="5" t="s">
        <v>54</v>
      </c>
      <c r="P34" s="5" t="s">
        <v>209</v>
      </c>
      <c r="Q34" s="5" t="s">
        <v>63</v>
      </c>
      <c r="R34" s="5" t="s">
        <v>59</v>
      </c>
      <c r="S34" s="1">
        <v>9</v>
      </c>
      <c r="T34" s="1">
        <v>69</v>
      </c>
      <c r="U34" s="1">
        <v>50</v>
      </c>
      <c r="Z34">
        <f t="shared" si="15"/>
        <v>32</v>
      </c>
      <c r="AA34">
        <f t="shared" si="8"/>
        <v>1</v>
      </c>
    </row>
    <row r="35" spans="1:27" ht="28.8" x14ac:dyDescent="0.3">
      <c r="A35" s="43">
        <v>20</v>
      </c>
      <c r="B35" s="4"/>
      <c r="C35" s="6" t="s">
        <v>124</v>
      </c>
      <c r="D35" s="5"/>
      <c r="E35" s="5" t="s">
        <v>69</v>
      </c>
      <c r="F35" s="5" t="s">
        <v>52</v>
      </c>
      <c r="G35" s="5" t="s">
        <v>208</v>
      </c>
      <c r="H35" s="5" t="s">
        <v>68</v>
      </c>
      <c r="I35" s="5" t="s">
        <v>66</v>
      </c>
      <c r="J35" s="5" t="s">
        <v>61</v>
      </c>
      <c r="K35" s="5" t="s">
        <v>72</v>
      </c>
      <c r="L35" s="5" t="s">
        <v>56</v>
      </c>
      <c r="M35" s="5" t="s">
        <v>55</v>
      </c>
      <c r="N35" s="5" t="s">
        <v>51</v>
      </c>
      <c r="O35" s="5" t="s">
        <v>54</v>
      </c>
      <c r="P35" s="5" t="s">
        <v>209</v>
      </c>
      <c r="Q35" s="5" t="s">
        <v>207</v>
      </c>
      <c r="R35" s="5" t="s">
        <v>59</v>
      </c>
      <c r="S35" s="1">
        <v>9</v>
      </c>
      <c r="T35" s="1">
        <v>51</v>
      </c>
      <c r="U35" s="1">
        <v>59</v>
      </c>
      <c r="Z35">
        <f t="shared" si="15"/>
        <v>33</v>
      </c>
      <c r="AA35">
        <f t="shared" si="8"/>
        <v>0</v>
      </c>
    </row>
    <row r="36" spans="1:27" ht="28.8" x14ac:dyDescent="0.3">
      <c r="A36" s="43">
        <v>21</v>
      </c>
      <c r="B36" s="4"/>
      <c r="C36" s="6" t="s">
        <v>80</v>
      </c>
      <c r="D36" s="5"/>
      <c r="E36" s="5" t="s">
        <v>70</v>
      </c>
      <c r="F36" s="5" t="s">
        <v>64</v>
      </c>
      <c r="G36" s="5" t="s">
        <v>208</v>
      </c>
      <c r="H36" s="5" t="s">
        <v>68</v>
      </c>
      <c r="I36" s="5" t="s">
        <v>73</v>
      </c>
      <c r="J36" s="5" t="s">
        <v>65</v>
      </c>
      <c r="K36" s="5" t="s">
        <v>53</v>
      </c>
      <c r="L36" s="5" t="s">
        <v>56</v>
      </c>
      <c r="M36" s="5" t="s">
        <v>50</v>
      </c>
      <c r="N36" s="5" t="s">
        <v>60</v>
      </c>
      <c r="O36" s="5" t="s">
        <v>71</v>
      </c>
      <c r="P36" s="5" t="s">
        <v>209</v>
      </c>
      <c r="Q36" s="5" t="s">
        <v>207</v>
      </c>
      <c r="R36" s="5" t="s">
        <v>59</v>
      </c>
      <c r="S36" s="1">
        <v>9</v>
      </c>
      <c r="T36" s="1">
        <v>65</v>
      </c>
      <c r="U36" s="1">
        <v>48</v>
      </c>
      <c r="Z36">
        <f t="shared" si="15"/>
        <v>34</v>
      </c>
      <c r="AA36">
        <f t="shared" si="8"/>
        <v>2</v>
      </c>
    </row>
    <row r="37" spans="1:27" ht="43.2" x14ac:dyDescent="0.3">
      <c r="A37" s="43">
        <v>22</v>
      </c>
      <c r="B37" s="4"/>
      <c r="C37" s="6" t="s">
        <v>188</v>
      </c>
      <c r="D37" s="5"/>
      <c r="E37" s="5" t="s">
        <v>69</v>
      </c>
      <c r="F37" s="5" t="s">
        <v>52</v>
      </c>
      <c r="G37" s="5" t="s">
        <v>75</v>
      </c>
      <c r="H37" s="5" t="s">
        <v>68</v>
      </c>
      <c r="I37" s="5" t="s">
        <v>73</v>
      </c>
      <c r="J37" s="5" t="s">
        <v>61</v>
      </c>
      <c r="K37" s="5" t="s">
        <v>53</v>
      </c>
      <c r="L37" s="5" t="s">
        <v>62</v>
      </c>
      <c r="M37" s="5" t="s">
        <v>50</v>
      </c>
      <c r="N37" s="5" t="s">
        <v>60</v>
      </c>
      <c r="O37" s="5" t="s">
        <v>71</v>
      </c>
      <c r="P37" s="5" t="s">
        <v>209</v>
      </c>
      <c r="Q37" s="5" t="s">
        <v>207</v>
      </c>
      <c r="R37" s="5" t="s">
        <v>59</v>
      </c>
      <c r="S37" s="1">
        <v>9</v>
      </c>
      <c r="T37" s="1">
        <v>61</v>
      </c>
      <c r="U37" s="1">
        <v>47</v>
      </c>
      <c r="Z37">
        <f t="shared" si="15"/>
        <v>35</v>
      </c>
      <c r="AA37">
        <f t="shared" si="8"/>
        <v>2</v>
      </c>
    </row>
    <row r="38" spans="1:27" x14ac:dyDescent="0.3">
      <c r="A38" s="43">
        <v>23</v>
      </c>
      <c r="B38" s="4"/>
      <c r="C38" s="6" t="s">
        <v>152</v>
      </c>
      <c r="D38" s="5"/>
      <c r="E38" s="5" t="s">
        <v>69</v>
      </c>
      <c r="F38" s="5" t="s">
        <v>52</v>
      </c>
      <c r="G38" s="5" t="s">
        <v>75</v>
      </c>
      <c r="H38" s="5" t="s">
        <v>58</v>
      </c>
      <c r="I38" s="5" t="s">
        <v>73</v>
      </c>
      <c r="J38" s="5" t="s">
        <v>65</v>
      </c>
      <c r="K38" s="5" t="s">
        <v>72</v>
      </c>
      <c r="L38" s="5" t="s">
        <v>62</v>
      </c>
      <c r="M38" s="5" t="s">
        <v>55</v>
      </c>
      <c r="N38" s="5" t="s">
        <v>51</v>
      </c>
      <c r="O38" s="5" t="s">
        <v>54</v>
      </c>
      <c r="P38" s="5" t="s">
        <v>209</v>
      </c>
      <c r="Q38" s="5" t="s">
        <v>207</v>
      </c>
      <c r="R38" s="5" t="s">
        <v>59</v>
      </c>
      <c r="S38" s="1">
        <v>9</v>
      </c>
      <c r="T38" s="1">
        <v>76</v>
      </c>
      <c r="U38" s="1">
        <v>45</v>
      </c>
      <c r="Z38">
        <f t="shared" si="15"/>
        <v>36</v>
      </c>
      <c r="AA38">
        <f t="shared" si="8"/>
        <v>0</v>
      </c>
    </row>
    <row r="39" spans="1:27" x14ac:dyDescent="0.3">
      <c r="A39" s="43">
        <v>24</v>
      </c>
      <c r="B39" s="4"/>
      <c r="C39" s="6" t="s">
        <v>94</v>
      </c>
      <c r="D39" s="5"/>
      <c r="E39" s="5" t="s">
        <v>70</v>
      </c>
      <c r="F39" s="5" t="s">
        <v>64</v>
      </c>
      <c r="G39" s="5" t="s">
        <v>75</v>
      </c>
      <c r="H39" s="5" t="s">
        <v>68</v>
      </c>
      <c r="I39" s="5" t="s">
        <v>73</v>
      </c>
      <c r="J39" s="5" t="s">
        <v>61</v>
      </c>
      <c r="K39" s="5" t="s">
        <v>53</v>
      </c>
      <c r="L39" s="5" t="s">
        <v>56</v>
      </c>
      <c r="M39" s="5" t="s">
        <v>55</v>
      </c>
      <c r="N39" s="5" t="s">
        <v>51</v>
      </c>
      <c r="O39" s="5" t="s">
        <v>71</v>
      </c>
      <c r="P39" s="5" t="s">
        <v>209</v>
      </c>
      <c r="Q39" s="5" t="s">
        <v>207</v>
      </c>
      <c r="R39" s="5" t="s">
        <v>59</v>
      </c>
      <c r="S39" s="1">
        <v>9</v>
      </c>
      <c r="T39" s="1">
        <v>76</v>
      </c>
      <c r="U39" s="1">
        <v>42</v>
      </c>
      <c r="Z39">
        <f t="shared" si="15"/>
        <v>37</v>
      </c>
      <c r="AA39">
        <f t="shared" si="8"/>
        <v>4</v>
      </c>
    </row>
    <row r="40" spans="1:27" ht="28.8" x14ac:dyDescent="0.3">
      <c r="A40" s="43">
        <v>25</v>
      </c>
      <c r="B40" s="4"/>
      <c r="C40" s="6" t="s">
        <v>158</v>
      </c>
      <c r="D40" s="5"/>
      <c r="E40" s="5" t="s">
        <v>70</v>
      </c>
      <c r="F40" s="5" t="s">
        <v>52</v>
      </c>
      <c r="G40" s="5" t="s">
        <v>208</v>
      </c>
      <c r="H40" s="5" t="s">
        <v>68</v>
      </c>
      <c r="I40" s="5" t="s">
        <v>73</v>
      </c>
      <c r="J40" s="5" t="s">
        <v>61</v>
      </c>
      <c r="K40" s="5" t="s">
        <v>53</v>
      </c>
      <c r="L40" s="5" t="s">
        <v>62</v>
      </c>
      <c r="M40" s="5" t="s">
        <v>50</v>
      </c>
      <c r="N40" s="5" t="s">
        <v>51</v>
      </c>
      <c r="O40" s="5" t="s">
        <v>71</v>
      </c>
      <c r="P40" s="5" t="s">
        <v>47</v>
      </c>
      <c r="Q40" s="5" t="s">
        <v>207</v>
      </c>
      <c r="R40" s="5" t="s">
        <v>59</v>
      </c>
      <c r="S40" s="1">
        <v>9</v>
      </c>
      <c r="T40" s="1">
        <v>64</v>
      </c>
      <c r="U40" s="1">
        <v>42</v>
      </c>
      <c r="Z40">
        <f t="shared" si="15"/>
        <v>38</v>
      </c>
      <c r="AA40">
        <f t="shared" si="8"/>
        <v>2</v>
      </c>
    </row>
    <row r="41" spans="1:27" x14ac:dyDescent="0.3">
      <c r="A41" s="43">
        <v>26</v>
      </c>
      <c r="B41" s="4"/>
      <c r="C41" s="6" t="s">
        <v>33</v>
      </c>
      <c r="D41" s="5"/>
      <c r="E41" s="5" t="s">
        <v>70</v>
      </c>
      <c r="F41" s="5" t="s">
        <v>64</v>
      </c>
      <c r="G41" s="5" t="s">
        <v>208</v>
      </c>
      <c r="H41" s="5" t="s">
        <v>58</v>
      </c>
      <c r="I41" s="5" t="s">
        <v>73</v>
      </c>
      <c r="J41" s="5" t="s">
        <v>65</v>
      </c>
      <c r="K41" s="5" t="s">
        <v>53</v>
      </c>
      <c r="L41" s="5" t="s">
        <v>62</v>
      </c>
      <c r="M41" s="5" t="s">
        <v>55</v>
      </c>
      <c r="N41" s="5" t="s">
        <v>60</v>
      </c>
      <c r="O41" s="5" t="s">
        <v>71</v>
      </c>
      <c r="P41" s="5" t="s">
        <v>209</v>
      </c>
      <c r="Q41" s="5" t="s">
        <v>207</v>
      </c>
      <c r="R41" s="5" t="s">
        <v>59</v>
      </c>
      <c r="S41" s="1">
        <v>9</v>
      </c>
      <c r="T41" s="1">
        <v>65</v>
      </c>
      <c r="U41" s="1">
        <v>42</v>
      </c>
      <c r="Z41">
        <f t="shared" si="15"/>
        <v>39</v>
      </c>
      <c r="AA41">
        <f t="shared" si="8"/>
        <v>2</v>
      </c>
    </row>
    <row r="42" spans="1:27" x14ac:dyDescent="0.3">
      <c r="A42" s="43">
        <v>27</v>
      </c>
      <c r="B42" s="4"/>
      <c r="C42" s="6" t="s">
        <v>18</v>
      </c>
      <c r="D42" s="5"/>
      <c r="E42" s="5" t="s">
        <v>69</v>
      </c>
      <c r="F42" s="5" t="s">
        <v>52</v>
      </c>
      <c r="G42" s="5" t="s">
        <v>75</v>
      </c>
      <c r="H42" s="5" t="s">
        <v>68</v>
      </c>
      <c r="I42" s="5" t="s">
        <v>73</v>
      </c>
      <c r="J42" s="5" t="s">
        <v>61</v>
      </c>
      <c r="K42" s="5" t="s">
        <v>53</v>
      </c>
      <c r="L42" s="5" t="s">
        <v>62</v>
      </c>
      <c r="M42" s="5" t="s">
        <v>50</v>
      </c>
      <c r="N42" s="5" t="s">
        <v>51</v>
      </c>
      <c r="O42" s="5" t="s">
        <v>71</v>
      </c>
      <c r="P42" s="5" t="s">
        <v>209</v>
      </c>
      <c r="Q42" s="5" t="s">
        <v>207</v>
      </c>
      <c r="R42" s="5" t="s">
        <v>210</v>
      </c>
      <c r="S42" s="1">
        <v>9</v>
      </c>
      <c r="T42" s="1">
        <v>57</v>
      </c>
      <c r="U42" s="1">
        <v>40</v>
      </c>
      <c r="Z42">
        <f t="shared" si="15"/>
        <v>40</v>
      </c>
      <c r="AA42">
        <f t="shared" si="8"/>
        <v>5</v>
      </c>
    </row>
    <row r="43" spans="1:27" x14ac:dyDescent="0.3">
      <c r="A43" s="43">
        <v>28</v>
      </c>
      <c r="B43" s="4"/>
      <c r="C43" s="6" t="s">
        <v>35</v>
      </c>
      <c r="D43" s="5"/>
      <c r="E43" s="5" t="s">
        <v>69</v>
      </c>
      <c r="F43" s="5" t="s">
        <v>52</v>
      </c>
      <c r="G43" s="5" t="s">
        <v>75</v>
      </c>
      <c r="H43" s="5" t="s">
        <v>58</v>
      </c>
      <c r="I43" s="5" t="s">
        <v>73</v>
      </c>
      <c r="J43" s="5" t="s">
        <v>65</v>
      </c>
      <c r="K43" s="5" t="s">
        <v>53</v>
      </c>
      <c r="L43" s="5" t="s">
        <v>62</v>
      </c>
      <c r="M43" s="5" t="s">
        <v>55</v>
      </c>
      <c r="N43" s="5" t="s">
        <v>51</v>
      </c>
      <c r="O43" s="5" t="s">
        <v>71</v>
      </c>
      <c r="P43" s="5" t="s">
        <v>47</v>
      </c>
      <c r="Q43" s="5" t="s">
        <v>207</v>
      </c>
      <c r="R43" s="5" t="s">
        <v>210</v>
      </c>
      <c r="S43" s="1">
        <v>9</v>
      </c>
      <c r="T43" s="1">
        <v>64</v>
      </c>
      <c r="U43" s="1">
        <v>34</v>
      </c>
      <c r="Z43">
        <f t="shared" si="15"/>
        <v>41</v>
      </c>
      <c r="AA43">
        <f t="shared" si="8"/>
        <v>6</v>
      </c>
    </row>
    <row r="44" spans="1:27" x14ac:dyDescent="0.3">
      <c r="A44" s="43">
        <v>29</v>
      </c>
      <c r="B44" s="4"/>
      <c r="C44" s="6" t="s">
        <v>189</v>
      </c>
      <c r="D44" s="5"/>
      <c r="E44" s="5" t="s">
        <v>70</v>
      </c>
      <c r="F44" s="5" t="s">
        <v>64</v>
      </c>
      <c r="G44" s="5" t="s">
        <v>208</v>
      </c>
      <c r="H44" s="5" t="s">
        <v>68</v>
      </c>
      <c r="I44" s="5" t="s">
        <v>66</v>
      </c>
      <c r="J44" s="5" t="s">
        <v>65</v>
      </c>
      <c r="K44" s="5" t="s">
        <v>72</v>
      </c>
      <c r="L44" s="5" t="s">
        <v>62</v>
      </c>
      <c r="M44" s="5" t="s">
        <v>55</v>
      </c>
      <c r="N44" s="5" t="s">
        <v>60</v>
      </c>
      <c r="O44" s="5" t="s">
        <v>71</v>
      </c>
      <c r="P44" s="5" t="s">
        <v>209</v>
      </c>
      <c r="Q44" s="5" t="s">
        <v>207</v>
      </c>
      <c r="R44" s="5" t="s">
        <v>59</v>
      </c>
      <c r="S44" s="1">
        <v>8</v>
      </c>
      <c r="T44" s="1">
        <v>69</v>
      </c>
      <c r="U44" s="1">
        <v>53</v>
      </c>
      <c r="Z44">
        <f t="shared" si="15"/>
        <v>42</v>
      </c>
      <c r="AA44">
        <f t="shared" si="8"/>
        <v>12</v>
      </c>
    </row>
    <row r="45" spans="1:27" x14ac:dyDescent="0.3">
      <c r="A45" s="43">
        <v>30</v>
      </c>
      <c r="B45" s="4"/>
      <c r="C45" s="6" t="s">
        <v>129</v>
      </c>
      <c r="D45" s="5"/>
      <c r="E45" s="5" t="s">
        <v>70</v>
      </c>
      <c r="F45" s="5" t="s">
        <v>52</v>
      </c>
      <c r="G45" s="5" t="s">
        <v>208</v>
      </c>
      <c r="H45" s="5" t="s">
        <v>58</v>
      </c>
      <c r="I45" s="5" t="s">
        <v>73</v>
      </c>
      <c r="J45" s="5" t="s">
        <v>65</v>
      </c>
      <c r="K45" s="5" t="s">
        <v>53</v>
      </c>
      <c r="L45" s="5" t="s">
        <v>56</v>
      </c>
      <c r="M45" s="5" t="s">
        <v>50</v>
      </c>
      <c r="N45" s="5" t="s">
        <v>60</v>
      </c>
      <c r="O45" s="5" t="s">
        <v>54</v>
      </c>
      <c r="P45" s="5" t="s">
        <v>209</v>
      </c>
      <c r="Q45" s="5" t="s">
        <v>207</v>
      </c>
      <c r="R45" s="5" t="s">
        <v>59</v>
      </c>
      <c r="S45" s="1">
        <v>8</v>
      </c>
      <c r="T45" s="1">
        <v>71</v>
      </c>
      <c r="U45" s="1">
        <v>52</v>
      </c>
      <c r="Z45">
        <f t="shared" si="15"/>
        <v>43</v>
      </c>
      <c r="AA45">
        <f t="shared" si="8"/>
        <v>4</v>
      </c>
    </row>
    <row r="46" spans="1:27" x14ac:dyDescent="0.3">
      <c r="A46" s="43">
        <v>31</v>
      </c>
      <c r="B46" s="4"/>
      <c r="C46" s="6" t="s">
        <v>95</v>
      </c>
      <c r="D46" s="5"/>
      <c r="E46" s="5" t="s">
        <v>69</v>
      </c>
      <c r="F46" s="5" t="s">
        <v>52</v>
      </c>
      <c r="G46" s="5" t="s">
        <v>75</v>
      </c>
      <c r="H46" s="5" t="s">
        <v>68</v>
      </c>
      <c r="I46" s="5" t="s">
        <v>73</v>
      </c>
      <c r="J46" s="5" t="s">
        <v>65</v>
      </c>
      <c r="K46" s="5" t="s">
        <v>53</v>
      </c>
      <c r="L46" s="5" t="s">
        <v>56</v>
      </c>
      <c r="M46" s="5" t="s">
        <v>50</v>
      </c>
      <c r="N46" s="5" t="s">
        <v>60</v>
      </c>
      <c r="O46" s="5" t="s">
        <v>54</v>
      </c>
      <c r="P46" s="5" t="s">
        <v>209</v>
      </c>
      <c r="Q46" s="5" t="s">
        <v>207</v>
      </c>
      <c r="R46" s="5" t="s">
        <v>210</v>
      </c>
      <c r="S46" s="1">
        <v>8</v>
      </c>
      <c r="T46" s="1">
        <v>72</v>
      </c>
      <c r="U46" s="1">
        <v>51</v>
      </c>
      <c r="Z46">
        <f t="shared" si="15"/>
        <v>44</v>
      </c>
      <c r="AA46">
        <f t="shared" si="8"/>
        <v>15</v>
      </c>
    </row>
    <row r="47" spans="1:27" ht="28.8" x14ac:dyDescent="0.3">
      <c r="A47" s="43">
        <v>32</v>
      </c>
      <c r="B47" s="4"/>
      <c r="C47" s="6" t="s">
        <v>176</v>
      </c>
      <c r="D47" s="5"/>
      <c r="E47" s="5" t="s">
        <v>69</v>
      </c>
      <c r="F47" s="5" t="s">
        <v>64</v>
      </c>
      <c r="G47" s="5" t="s">
        <v>75</v>
      </c>
      <c r="H47" s="5" t="s">
        <v>58</v>
      </c>
      <c r="I47" s="5" t="s">
        <v>73</v>
      </c>
      <c r="J47" s="5" t="s">
        <v>61</v>
      </c>
      <c r="K47" s="5" t="s">
        <v>53</v>
      </c>
      <c r="L47" s="5" t="s">
        <v>56</v>
      </c>
      <c r="M47" s="5" t="s">
        <v>50</v>
      </c>
      <c r="N47" s="5" t="s">
        <v>51</v>
      </c>
      <c r="O47" s="5" t="s">
        <v>71</v>
      </c>
      <c r="P47" s="5" t="s">
        <v>209</v>
      </c>
      <c r="Q47" s="5" t="s">
        <v>207</v>
      </c>
      <c r="R47" s="5" t="s">
        <v>59</v>
      </c>
      <c r="S47" s="1">
        <v>8</v>
      </c>
      <c r="T47" s="1">
        <v>67</v>
      </c>
      <c r="U47" s="1">
        <v>50</v>
      </c>
      <c r="Z47">
        <f t="shared" si="15"/>
        <v>45</v>
      </c>
      <c r="AA47">
        <f t="shared" si="8"/>
        <v>18</v>
      </c>
    </row>
    <row r="48" spans="1:27" ht="28.8" x14ac:dyDescent="0.3">
      <c r="A48" s="43">
        <v>33</v>
      </c>
      <c r="B48" s="4"/>
      <c r="C48" s="6" t="s">
        <v>114</v>
      </c>
      <c r="D48" s="5"/>
      <c r="E48" s="5" t="s">
        <v>70</v>
      </c>
      <c r="F48" s="5" t="s">
        <v>52</v>
      </c>
      <c r="G48" s="5" t="s">
        <v>208</v>
      </c>
      <c r="H48" s="5" t="s">
        <v>68</v>
      </c>
      <c r="I48" s="5" t="s">
        <v>66</v>
      </c>
      <c r="J48" s="5" t="s">
        <v>61</v>
      </c>
      <c r="K48" s="5" t="s">
        <v>53</v>
      </c>
      <c r="L48" s="5" t="s">
        <v>56</v>
      </c>
      <c r="M48" s="5" t="s">
        <v>50</v>
      </c>
      <c r="N48" s="5" t="s">
        <v>51</v>
      </c>
      <c r="O48" s="5" t="s">
        <v>71</v>
      </c>
      <c r="P48" s="5" t="s">
        <v>209</v>
      </c>
      <c r="Q48" s="5" t="s">
        <v>63</v>
      </c>
      <c r="R48" s="5" t="s">
        <v>59</v>
      </c>
      <c r="S48" s="1">
        <v>8</v>
      </c>
      <c r="T48" s="1">
        <v>68</v>
      </c>
      <c r="U48" s="1">
        <v>49</v>
      </c>
      <c r="Z48">
        <f t="shared" si="15"/>
        <v>46</v>
      </c>
      <c r="AA48">
        <f t="shared" si="8"/>
        <v>7</v>
      </c>
    </row>
    <row r="49" spans="1:27" ht="28.8" x14ac:dyDescent="0.3">
      <c r="A49" s="43">
        <v>34</v>
      </c>
      <c r="B49" s="4"/>
      <c r="C49" s="6" t="s">
        <v>20</v>
      </c>
      <c r="D49" s="5"/>
      <c r="E49" s="5" t="s">
        <v>69</v>
      </c>
      <c r="F49" s="5" t="s">
        <v>64</v>
      </c>
      <c r="G49" s="5" t="s">
        <v>75</v>
      </c>
      <c r="H49" s="5" t="s">
        <v>58</v>
      </c>
      <c r="I49" s="5" t="s">
        <v>73</v>
      </c>
      <c r="J49" s="5" t="s">
        <v>65</v>
      </c>
      <c r="K49" s="5" t="s">
        <v>53</v>
      </c>
      <c r="L49" s="5" t="s">
        <v>62</v>
      </c>
      <c r="M49" s="5" t="s">
        <v>50</v>
      </c>
      <c r="N49" s="5" t="s">
        <v>60</v>
      </c>
      <c r="O49" s="5" t="s">
        <v>71</v>
      </c>
      <c r="P49" s="5" t="s">
        <v>209</v>
      </c>
      <c r="Q49" s="5" t="s">
        <v>207</v>
      </c>
      <c r="R49" s="5" t="s">
        <v>59</v>
      </c>
      <c r="S49" s="1">
        <v>8</v>
      </c>
      <c r="T49" s="1">
        <v>66</v>
      </c>
      <c r="U49" s="1">
        <v>48</v>
      </c>
      <c r="Z49">
        <f t="shared" si="15"/>
        <v>47</v>
      </c>
      <c r="AA49">
        <f t="shared" si="8"/>
        <v>16</v>
      </c>
    </row>
    <row r="50" spans="1:27" x14ac:dyDescent="0.3">
      <c r="A50" s="43">
        <v>35</v>
      </c>
      <c r="B50" s="4"/>
      <c r="C50" s="6" t="s">
        <v>26</v>
      </c>
      <c r="D50" s="5"/>
      <c r="E50" s="5" t="s">
        <v>69</v>
      </c>
      <c r="F50" s="5" t="s">
        <v>64</v>
      </c>
      <c r="G50" s="5" t="s">
        <v>208</v>
      </c>
      <c r="H50" s="5" t="s">
        <v>68</v>
      </c>
      <c r="I50" s="5" t="s">
        <v>66</v>
      </c>
      <c r="J50" s="5" t="s">
        <v>65</v>
      </c>
      <c r="K50" s="5" t="s">
        <v>53</v>
      </c>
      <c r="L50" s="5" t="s">
        <v>62</v>
      </c>
      <c r="M50" s="5" t="s">
        <v>55</v>
      </c>
      <c r="N50" s="5" t="s">
        <v>60</v>
      </c>
      <c r="O50" s="5" t="s">
        <v>54</v>
      </c>
      <c r="P50" s="5" t="s">
        <v>47</v>
      </c>
      <c r="Q50" s="5" t="s">
        <v>207</v>
      </c>
      <c r="R50" s="5" t="s">
        <v>59</v>
      </c>
      <c r="S50" s="1">
        <v>8</v>
      </c>
      <c r="T50" s="1">
        <v>62</v>
      </c>
      <c r="U50" s="1">
        <v>47</v>
      </c>
      <c r="Z50">
        <f t="shared" si="15"/>
        <v>48</v>
      </c>
      <c r="AA50">
        <f t="shared" si="8"/>
        <v>15</v>
      </c>
    </row>
    <row r="51" spans="1:27" x14ac:dyDescent="0.3">
      <c r="A51" s="43">
        <v>36</v>
      </c>
      <c r="B51" s="4"/>
      <c r="C51" s="6" t="s">
        <v>190</v>
      </c>
      <c r="D51" s="5"/>
      <c r="E51" s="5" t="s">
        <v>69</v>
      </c>
      <c r="F51" s="5" t="s">
        <v>64</v>
      </c>
      <c r="G51" s="5" t="s">
        <v>75</v>
      </c>
      <c r="H51" s="5" t="s">
        <v>58</v>
      </c>
      <c r="I51" s="5" t="s">
        <v>73</v>
      </c>
      <c r="J51" s="5" t="s">
        <v>65</v>
      </c>
      <c r="K51" s="5" t="s">
        <v>53</v>
      </c>
      <c r="L51" s="5" t="s">
        <v>62</v>
      </c>
      <c r="M51" s="5" t="s">
        <v>55</v>
      </c>
      <c r="N51" s="5" t="s">
        <v>60</v>
      </c>
      <c r="O51" s="5" t="s">
        <v>71</v>
      </c>
      <c r="P51" s="5" t="s">
        <v>47</v>
      </c>
      <c r="Q51" s="5" t="s">
        <v>207</v>
      </c>
      <c r="R51" s="5" t="s">
        <v>59</v>
      </c>
      <c r="S51" s="1">
        <v>8</v>
      </c>
      <c r="T51" s="1">
        <v>70</v>
      </c>
      <c r="U51" s="1">
        <v>47</v>
      </c>
      <c r="Z51">
        <f t="shared" si="15"/>
        <v>49</v>
      </c>
      <c r="AA51">
        <f t="shared" si="8"/>
        <v>2</v>
      </c>
    </row>
    <row r="52" spans="1:27" x14ac:dyDescent="0.3">
      <c r="A52" s="43">
        <v>37</v>
      </c>
      <c r="B52" s="4"/>
      <c r="C52" s="6" t="s">
        <v>141</v>
      </c>
      <c r="D52" s="5"/>
      <c r="E52" s="5" t="s">
        <v>69</v>
      </c>
      <c r="F52" s="5" t="s">
        <v>64</v>
      </c>
      <c r="G52" s="5" t="s">
        <v>208</v>
      </c>
      <c r="H52" s="5" t="s">
        <v>68</v>
      </c>
      <c r="I52" s="5" t="s">
        <v>66</v>
      </c>
      <c r="J52" s="5" t="s">
        <v>65</v>
      </c>
      <c r="K52" s="5" t="s">
        <v>53</v>
      </c>
      <c r="L52" s="5" t="s">
        <v>56</v>
      </c>
      <c r="M52" s="5" t="s">
        <v>55</v>
      </c>
      <c r="N52" s="5" t="s">
        <v>60</v>
      </c>
      <c r="O52" s="5" t="s">
        <v>54</v>
      </c>
      <c r="P52" s="5" t="s">
        <v>209</v>
      </c>
      <c r="Q52" s="5" t="s">
        <v>63</v>
      </c>
      <c r="R52" s="5" t="s">
        <v>59</v>
      </c>
      <c r="S52" s="1">
        <v>8</v>
      </c>
      <c r="T52" s="1">
        <v>64</v>
      </c>
      <c r="U52" s="1">
        <v>47</v>
      </c>
      <c r="Z52">
        <f t="shared" si="15"/>
        <v>50</v>
      </c>
      <c r="AA52">
        <f t="shared" si="8"/>
        <v>10</v>
      </c>
    </row>
    <row r="53" spans="1:27" x14ac:dyDescent="0.3">
      <c r="A53" s="43">
        <v>38</v>
      </c>
      <c r="B53" s="4"/>
      <c r="C53" s="6" t="s">
        <v>21</v>
      </c>
      <c r="D53" s="5"/>
      <c r="E53" s="5" t="s">
        <v>69</v>
      </c>
      <c r="F53" s="5" t="s">
        <v>64</v>
      </c>
      <c r="G53" s="5" t="s">
        <v>75</v>
      </c>
      <c r="H53" s="5" t="s">
        <v>58</v>
      </c>
      <c r="I53" s="5" t="s">
        <v>66</v>
      </c>
      <c r="J53" s="5" t="s">
        <v>65</v>
      </c>
      <c r="K53" s="5" t="s">
        <v>53</v>
      </c>
      <c r="L53" s="5" t="s">
        <v>62</v>
      </c>
      <c r="M53" s="5" t="s">
        <v>55</v>
      </c>
      <c r="N53" s="5" t="s">
        <v>51</v>
      </c>
      <c r="O53" s="5" t="s">
        <v>71</v>
      </c>
      <c r="P53" s="5" t="s">
        <v>209</v>
      </c>
      <c r="Q53" s="5" t="s">
        <v>63</v>
      </c>
      <c r="R53" s="5" t="s">
        <v>59</v>
      </c>
      <c r="S53" s="1">
        <v>8</v>
      </c>
      <c r="T53" s="1">
        <v>64</v>
      </c>
      <c r="U53" s="1">
        <v>47</v>
      </c>
      <c r="Z53">
        <f t="shared" si="15"/>
        <v>51</v>
      </c>
      <c r="AA53">
        <f t="shared" si="8"/>
        <v>7</v>
      </c>
    </row>
    <row r="54" spans="1:27" ht="28.8" x14ac:dyDescent="0.3">
      <c r="A54" s="43">
        <v>39</v>
      </c>
      <c r="B54" s="4"/>
      <c r="C54" s="6" t="s">
        <v>139</v>
      </c>
      <c r="D54" s="5"/>
      <c r="E54" s="5" t="s">
        <v>70</v>
      </c>
      <c r="F54" s="5" t="s">
        <v>52</v>
      </c>
      <c r="G54" s="5" t="s">
        <v>75</v>
      </c>
      <c r="H54" s="5" t="s">
        <v>58</v>
      </c>
      <c r="I54" s="5" t="s">
        <v>73</v>
      </c>
      <c r="J54" s="5" t="s">
        <v>61</v>
      </c>
      <c r="K54" s="5" t="s">
        <v>53</v>
      </c>
      <c r="L54" s="5" t="s">
        <v>56</v>
      </c>
      <c r="M54" s="5" t="s">
        <v>50</v>
      </c>
      <c r="N54" s="5" t="s">
        <v>51</v>
      </c>
      <c r="O54" s="5" t="s">
        <v>71</v>
      </c>
      <c r="P54" s="5" t="s">
        <v>209</v>
      </c>
      <c r="Q54" s="5" t="s">
        <v>207</v>
      </c>
      <c r="R54" s="5" t="s">
        <v>59</v>
      </c>
      <c r="S54" s="1">
        <v>8</v>
      </c>
      <c r="T54" s="1">
        <v>73</v>
      </c>
      <c r="U54" s="1">
        <v>47</v>
      </c>
      <c r="Z54">
        <f t="shared" si="15"/>
        <v>52</v>
      </c>
      <c r="AA54">
        <f t="shared" si="8"/>
        <v>8</v>
      </c>
    </row>
    <row r="55" spans="1:27" ht="28.8" x14ac:dyDescent="0.3">
      <c r="A55" s="43">
        <v>40</v>
      </c>
      <c r="B55" s="4"/>
      <c r="C55" s="6" t="s">
        <v>185</v>
      </c>
      <c r="D55" s="5"/>
      <c r="E55" s="5" t="s">
        <v>70</v>
      </c>
      <c r="F55" s="5" t="s">
        <v>64</v>
      </c>
      <c r="G55" s="5" t="s">
        <v>75</v>
      </c>
      <c r="H55" s="5" t="s">
        <v>58</v>
      </c>
      <c r="I55" s="5" t="s">
        <v>73</v>
      </c>
      <c r="J55" s="5" t="s">
        <v>65</v>
      </c>
      <c r="K55" s="5" t="s">
        <v>53</v>
      </c>
      <c r="L55" s="5" t="s">
        <v>62</v>
      </c>
      <c r="M55" s="5" t="s">
        <v>55</v>
      </c>
      <c r="N55" s="5" t="s">
        <v>60</v>
      </c>
      <c r="O55" s="5" t="s">
        <v>71</v>
      </c>
      <c r="P55" s="5" t="s">
        <v>209</v>
      </c>
      <c r="Q55" s="5" t="s">
        <v>207</v>
      </c>
      <c r="R55" s="5" t="s">
        <v>59</v>
      </c>
      <c r="S55" s="1">
        <v>8</v>
      </c>
      <c r="T55" s="1">
        <v>64</v>
      </c>
      <c r="U55" s="1">
        <v>45</v>
      </c>
      <c r="Z55">
        <f t="shared" si="15"/>
        <v>53</v>
      </c>
      <c r="AA55">
        <f t="shared" si="8"/>
        <v>4</v>
      </c>
    </row>
    <row r="56" spans="1:27" ht="28.8" x14ac:dyDescent="0.3">
      <c r="A56" s="43">
        <v>41</v>
      </c>
      <c r="B56" s="4"/>
      <c r="C56" s="6" t="s">
        <v>9</v>
      </c>
      <c r="D56" s="5"/>
      <c r="E56" s="5" t="s">
        <v>69</v>
      </c>
      <c r="F56" s="5" t="s">
        <v>52</v>
      </c>
      <c r="G56" s="5" t="s">
        <v>75</v>
      </c>
      <c r="H56" s="5" t="s">
        <v>58</v>
      </c>
      <c r="I56" s="5" t="s">
        <v>73</v>
      </c>
      <c r="J56" s="5" t="s">
        <v>61</v>
      </c>
      <c r="K56" s="5" t="s">
        <v>53</v>
      </c>
      <c r="L56" s="5" t="s">
        <v>56</v>
      </c>
      <c r="M56" s="5" t="s">
        <v>50</v>
      </c>
      <c r="N56" s="5" t="s">
        <v>60</v>
      </c>
      <c r="O56" s="5" t="s">
        <v>71</v>
      </c>
      <c r="P56" s="5" t="s">
        <v>209</v>
      </c>
      <c r="Q56" s="5" t="s">
        <v>207</v>
      </c>
      <c r="R56" s="5" t="s">
        <v>59</v>
      </c>
      <c r="S56" s="1">
        <v>8</v>
      </c>
      <c r="T56" s="1">
        <v>73</v>
      </c>
      <c r="U56" s="1">
        <v>45</v>
      </c>
      <c r="Z56">
        <f t="shared" si="15"/>
        <v>54</v>
      </c>
      <c r="AA56">
        <f t="shared" si="8"/>
        <v>3</v>
      </c>
    </row>
    <row r="57" spans="1:27" ht="28.8" x14ac:dyDescent="0.3">
      <c r="A57" s="43">
        <v>42</v>
      </c>
      <c r="B57" s="4"/>
      <c r="C57" s="6" t="s">
        <v>200</v>
      </c>
      <c r="D57" s="5"/>
      <c r="E57" s="5" t="s">
        <v>70</v>
      </c>
      <c r="F57" s="5" t="s">
        <v>52</v>
      </c>
      <c r="G57" s="5" t="s">
        <v>75</v>
      </c>
      <c r="H57" s="5" t="s">
        <v>58</v>
      </c>
      <c r="I57" s="5" t="s">
        <v>73</v>
      </c>
      <c r="J57" s="5" t="s">
        <v>65</v>
      </c>
      <c r="K57" s="5" t="s">
        <v>53</v>
      </c>
      <c r="L57" s="5" t="s">
        <v>56</v>
      </c>
      <c r="M57" s="5" t="s">
        <v>55</v>
      </c>
      <c r="N57" s="5" t="s">
        <v>60</v>
      </c>
      <c r="O57" s="5" t="s">
        <v>71</v>
      </c>
      <c r="P57" s="5" t="s">
        <v>209</v>
      </c>
      <c r="Q57" s="5" t="s">
        <v>207</v>
      </c>
      <c r="R57" s="5" t="s">
        <v>210</v>
      </c>
      <c r="S57" s="1">
        <v>8</v>
      </c>
      <c r="T57" s="1">
        <v>51</v>
      </c>
      <c r="U57" s="1">
        <v>64</v>
      </c>
      <c r="Z57">
        <f t="shared" si="15"/>
        <v>55</v>
      </c>
      <c r="AA57">
        <f t="shared" si="8"/>
        <v>4</v>
      </c>
    </row>
    <row r="58" spans="1:27" ht="28.8" x14ac:dyDescent="0.3">
      <c r="A58" s="43">
        <v>43</v>
      </c>
      <c r="B58" s="4"/>
      <c r="C58" s="6" t="s">
        <v>146</v>
      </c>
      <c r="D58" s="5"/>
      <c r="E58" s="5" t="s">
        <v>69</v>
      </c>
      <c r="F58" s="5" t="s">
        <v>52</v>
      </c>
      <c r="G58" s="5" t="s">
        <v>208</v>
      </c>
      <c r="H58" s="5" t="s">
        <v>68</v>
      </c>
      <c r="I58" s="5" t="s">
        <v>66</v>
      </c>
      <c r="J58" s="5" t="s">
        <v>61</v>
      </c>
      <c r="K58" s="5" t="s">
        <v>53</v>
      </c>
      <c r="L58" s="5" t="s">
        <v>62</v>
      </c>
      <c r="M58" s="5" t="s">
        <v>50</v>
      </c>
      <c r="N58" s="5" t="s">
        <v>60</v>
      </c>
      <c r="O58" s="5" t="s">
        <v>71</v>
      </c>
      <c r="P58" s="5" t="s">
        <v>209</v>
      </c>
      <c r="Q58" s="5" t="s">
        <v>63</v>
      </c>
      <c r="R58" s="5" t="s">
        <v>59</v>
      </c>
      <c r="S58" s="1">
        <v>8</v>
      </c>
      <c r="T58" s="1">
        <v>62</v>
      </c>
      <c r="U58" s="1">
        <v>44</v>
      </c>
      <c r="Z58">
        <f t="shared" si="15"/>
        <v>56</v>
      </c>
      <c r="AA58">
        <f t="shared" si="8"/>
        <v>2</v>
      </c>
    </row>
    <row r="59" spans="1:27" ht="28.8" x14ac:dyDescent="0.3">
      <c r="A59" s="43">
        <v>44</v>
      </c>
      <c r="B59" s="4"/>
      <c r="C59" s="6" t="s">
        <v>117</v>
      </c>
      <c r="D59" s="5"/>
      <c r="E59" s="5" t="s">
        <v>69</v>
      </c>
      <c r="F59" s="5" t="s">
        <v>64</v>
      </c>
      <c r="G59" s="5" t="s">
        <v>208</v>
      </c>
      <c r="H59" s="5" t="s">
        <v>58</v>
      </c>
      <c r="I59" s="5" t="s">
        <v>73</v>
      </c>
      <c r="J59" s="5" t="s">
        <v>65</v>
      </c>
      <c r="K59" s="5" t="s">
        <v>53</v>
      </c>
      <c r="L59" s="5" t="s">
        <v>62</v>
      </c>
      <c r="M59" s="5" t="s">
        <v>55</v>
      </c>
      <c r="N59" s="5" t="s">
        <v>60</v>
      </c>
      <c r="O59" s="5" t="s">
        <v>54</v>
      </c>
      <c r="P59" s="5" t="s">
        <v>47</v>
      </c>
      <c r="Q59" s="5" t="s">
        <v>207</v>
      </c>
      <c r="R59" s="5" t="s">
        <v>59</v>
      </c>
      <c r="S59" s="1">
        <v>8</v>
      </c>
      <c r="T59" s="1">
        <v>75</v>
      </c>
      <c r="U59" s="1">
        <v>44</v>
      </c>
      <c r="Z59">
        <f t="shared" si="15"/>
        <v>57</v>
      </c>
      <c r="AA59">
        <f t="shared" si="8"/>
        <v>0</v>
      </c>
    </row>
    <row r="60" spans="1:27" ht="28.8" x14ac:dyDescent="0.3">
      <c r="A60" s="43">
        <v>45</v>
      </c>
      <c r="B60" s="4"/>
      <c r="C60" s="6" t="s">
        <v>154</v>
      </c>
      <c r="D60" s="5"/>
      <c r="E60" s="5" t="s">
        <v>69</v>
      </c>
      <c r="F60" s="5" t="s">
        <v>52</v>
      </c>
      <c r="G60" s="5" t="s">
        <v>208</v>
      </c>
      <c r="H60" s="5" t="s">
        <v>58</v>
      </c>
      <c r="I60" s="5" t="s">
        <v>66</v>
      </c>
      <c r="J60" s="5" t="s">
        <v>61</v>
      </c>
      <c r="K60" s="5" t="s">
        <v>53</v>
      </c>
      <c r="L60" s="5" t="s">
        <v>62</v>
      </c>
      <c r="M60" s="5" t="s">
        <v>50</v>
      </c>
      <c r="N60" s="5" t="s">
        <v>60</v>
      </c>
      <c r="O60" s="5" t="s">
        <v>71</v>
      </c>
      <c r="P60" s="5" t="s">
        <v>209</v>
      </c>
      <c r="Q60" s="5" t="s">
        <v>207</v>
      </c>
      <c r="R60" s="5" t="s">
        <v>59</v>
      </c>
      <c r="S60" s="1">
        <v>8</v>
      </c>
      <c r="T60" s="1">
        <v>72</v>
      </c>
      <c r="U60" s="1">
        <v>44</v>
      </c>
      <c r="Z60">
        <f t="shared" si="15"/>
        <v>58</v>
      </c>
      <c r="AA60">
        <f t="shared" si="8"/>
        <v>0</v>
      </c>
    </row>
    <row r="61" spans="1:27" x14ac:dyDescent="0.3">
      <c r="A61" s="43">
        <v>46</v>
      </c>
      <c r="B61" s="4"/>
      <c r="C61" s="6" t="s">
        <v>39</v>
      </c>
      <c r="D61" s="5"/>
      <c r="E61" s="5" t="s">
        <v>70</v>
      </c>
      <c r="F61" s="5" t="s">
        <v>64</v>
      </c>
      <c r="G61" s="5" t="s">
        <v>75</v>
      </c>
      <c r="H61" s="5" t="s">
        <v>58</v>
      </c>
      <c r="I61" s="5" t="s">
        <v>73</v>
      </c>
      <c r="J61" s="5" t="s">
        <v>65</v>
      </c>
      <c r="K61" s="5" t="s">
        <v>53</v>
      </c>
      <c r="L61" s="5" t="s">
        <v>56</v>
      </c>
      <c r="M61" s="5" t="s">
        <v>55</v>
      </c>
      <c r="N61" s="5" t="s">
        <v>51</v>
      </c>
      <c r="O61" s="5" t="s">
        <v>71</v>
      </c>
      <c r="P61" s="5" t="s">
        <v>209</v>
      </c>
      <c r="Q61" s="5" t="s">
        <v>63</v>
      </c>
      <c r="R61" s="5" t="s">
        <v>59</v>
      </c>
      <c r="S61" s="1">
        <v>8</v>
      </c>
      <c r="T61" s="1">
        <v>67</v>
      </c>
      <c r="U61" s="1">
        <v>43</v>
      </c>
      <c r="Z61">
        <f t="shared" si="15"/>
        <v>59</v>
      </c>
      <c r="AA61">
        <f t="shared" si="8"/>
        <v>1</v>
      </c>
    </row>
    <row r="62" spans="1:27" x14ac:dyDescent="0.3">
      <c r="A62" s="43">
        <v>47</v>
      </c>
      <c r="B62" s="4"/>
      <c r="C62" s="6" t="s">
        <v>23</v>
      </c>
      <c r="D62" s="5"/>
      <c r="E62" s="5" t="s">
        <v>69</v>
      </c>
      <c r="F62" s="5" t="s">
        <v>64</v>
      </c>
      <c r="G62" s="5" t="s">
        <v>75</v>
      </c>
      <c r="H62" s="5" t="s">
        <v>58</v>
      </c>
      <c r="I62" s="5" t="s">
        <v>73</v>
      </c>
      <c r="J62" s="5" t="s">
        <v>65</v>
      </c>
      <c r="K62" s="5" t="s">
        <v>53</v>
      </c>
      <c r="L62" s="5" t="s">
        <v>56</v>
      </c>
      <c r="M62" s="5" t="s">
        <v>50</v>
      </c>
      <c r="N62" s="5" t="s">
        <v>60</v>
      </c>
      <c r="O62" s="5" t="s">
        <v>71</v>
      </c>
      <c r="P62" s="5" t="s">
        <v>209</v>
      </c>
      <c r="Q62" s="5" t="s">
        <v>207</v>
      </c>
      <c r="R62" s="5" t="s">
        <v>59</v>
      </c>
      <c r="S62" s="1">
        <v>8</v>
      </c>
      <c r="T62" s="1">
        <v>68</v>
      </c>
      <c r="U62" s="1">
        <v>43</v>
      </c>
      <c r="Z62">
        <f t="shared" si="15"/>
        <v>60</v>
      </c>
      <c r="AA62">
        <f t="shared" si="8"/>
        <v>0</v>
      </c>
    </row>
    <row r="63" spans="1:27" ht="28.8" x14ac:dyDescent="0.3">
      <c r="A63" s="43">
        <v>48</v>
      </c>
      <c r="B63" s="4"/>
      <c r="C63" s="6" t="s">
        <v>81</v>
      </c>
      <c r="D63" s="5"/>
      <c r="E63" s="5" t="s">
        <v>69</v>
      </c>
      <c r="F63" s="5" t="s">
        <v>64</v>
      </c>
      <c r="G63" s="5" t="s">
        <v>75</v>
      </c>
      <c r="H63" s="5" t="s">
        <v>58</v>
      </c>
      <c r="I63" s="5" t="s">
        <v>73</v>
      </c>
      <c r="J63" s="5" t="s">
        <v>61</v>
      </c>
      <c r="K63" s="5" t="s">
        <v>53</v>
      </c>
      <c r="L63" s="5" t="s">
        <v>56</v>
      </c>
      <c r="M63" s="5" t="s">
        <v>55</v>
      </c>
      <c r="N63" s="5" t="s">
        <v>60</v>
      </c>
      <c r="O63" s="5" t="s">
        <v>71</v>
      </c>
      <c r="P63" s="5" t="s">
        <v>209</v>
      </c>
      <c r="Q63" s="5" t="s">
        <v>207</v>
      </c>
      <c r="R63" s="5" t="s">
        <v>59</v>
      </c>
      <c r="S63" s="1">
        <v>8</v>
      </c>
      <c r="T63" s="1">
        <v>74</v>
      </c>
      <c r="U63" s="1">
        <v>43</v>
      </c>
      <c r="Z63">
        <f t="shared" si="15"/>
        <v>61</v>
      </c>
      <c r="AA63">
        <f t="shared" si="8"/>
        <v>0</v>
      </c>
    </row>
    <row r="64" spans="1:27" x14ac:dyDescent="0.3">
      <c r="A64" s="43">
        <v>49</v>
      </c>
      <c r="B64" s="4"/>
      <c r="C64" s="6" t="s">
        <v>155</v>
      </c>
      <c r="D64" s="5"/>
      <c r="E64" s="5" t="s">
        <v>69</v>
      </c>
      <c r="F64" s="5" t="s">
        <v>64</v>
      </c>
      <c r="G64" s="5" t="s">
        <v>75</v>
      </c>
      <c r="H64" s="5" t="s">
        <v>68</v>
      </c>
      <c r="I64" s="5" t="s">
        <v>73</v>
      </c>
      <c r="J64" s="5" t="s">
        <v>65</v>
      </c>
      <c r="K64" s="5" t="s">
        <v>53</v>
      </c>
      <c r="L64" s="5" t="s">
        <v>56</v>
      </c>
      <c r="M64" s="5" t="s">
        <v>55</v>
      </c>
      <c r="N64" s="5" t="s">
        <v>60</v>
      </c>
      <c r="O64" s="5" t="s">
        <v>71</v>
      </c>
      <c r="P64" s="5" t="s">
        <v>47</v>
      </c>
      <c r="Q64" s="5" t="s">
        <v>207</v>
      </c>
      <c r="R64" s="5" t="s">
        <v>210</v>
      </c>
      <c r="S64" s="1">
        <v>8</v>
      </c>
      <c r="T64" s="1">
        <v>60</v>
      </c>
      <c r="U64" s="1">
        <v>42</v>
      </c>
      <c r="Z64">
        <f t="shared" si="15"/>
        <v>62</v>
      </c>
      <c r="AA64">
        <f t="shared" si="8"/>
        <v>0</v>
      </c>
    </row>
    <row r="65" spans="1:27" ht="28.8" x14ac:dyDescent="0.3">
      <c r="A65" s="43">
        <v>50</v>
      </c>
      <c r="B65" s="4"/>
      <c r="C65" s="6" t="s">
        <v>133</v>
      </c>
      <c r="D65" s="5"/>
      <c r="E65" s="5" t="s">
        <v>69</v>
      </c>
      <c r="F65" s="5" t="s">
        <v>52</v>
      </c>
      <c r="G65" s="5" t="s">
        <v>75</v>
      </c>
      <c r="H65" s="5" t="s">
        <v>58</v>
      </c>
      <c r="I65" s="5" t="s">
        <v>73</v>
      </c>
      <c r="J65" s="5" t="s">
        <v>61</v>
      </c>
      <c r="K65" s="5" t="s">
        <v>53</v>
      </c>
      <c r="L65" s="5" t="s">
        <v>62</v>
      </c>
      <c r="M65" s="5" t="s">
        <v>50</v>
      </c>
      <c r="N65" s="5" t="s">
        <v>60</v>
      </c>
      <c r="O65" s="5" t="s">
        <v>71</v>
      </c>
      <c r="P65" s="5" t="s">
        <v>209</v>
      </c>
      <c r="Q65" s="5" t="s">
        <v>207</v>
      </c>
      <c r="R65" s="5" t="s">
        <v>59</v>
      </c>
      <c r="S65" s="1">
        <v>8</v>
      </c>
      <c r="T65" s="1">
        <v>57</v>
      </c>
      <c r="U65" s="1">
        <v>42</v>
      </c>
      <c r="Z65">
        <f t="shared" si="15"/>
        <v>63</v>
      </c>
      <c r="AA65">
        <f t="shared" si="8"/>
        <v>0</v>
      </c>
    </row>
    <row r="66" spans="1:27" x14ac:dyDescent="0.3">
      <c r="A66" s="43">
        <v>51</v>
      </c>
      <c r="B66" s="4"/>
      <c r="C66" s="6" t="s">
        <v>157</v>
      </c>
      <c r="D66" s="5"/>
      <c r="E66" s="5" t="s">
        <v>70</v>
      </c>
      <c r="F66" s="5" t="s">
        <v>64</v>
      </c>
      <c r="G66" s="5" t="s">
        <v>208</v>
      </c>
      <c r="H66" s="5" t="s">
        <v>58</v>
      </c>
      <c r="I66" s="5" t="s">
        <v>73</v>
      </c>
      <c r="J66" s="5" t="s">
        <v>61</v>
      </c>
      <c r="K66" s="5" t="s">
        <v>53</v>
      </c>
      <c r="L66" s="5" t="s">
        <v>62</v>
      </c>
      <c r="M66" s="5" t="s">
        <v>55</v>
      </c>
      <c r="N66" s="5" t="s">
        <v>60</v>
      </c>
      <c r="O66" s="5" t="s">
        <v>71</v>
      </c>
      <c r="P66" s="5" t="s">
        <v>209</v>
      </c>
      <c r="Q66" s="5" t="s">
        <v>207</v>
      </c>
      <c r="R66" s="5" t="s">
        <v>59</v>
      </c>
      <c r="S66" s="1">
        <v>8</v>
      </c>
      <c r="T66" s="1">
        <v>59</v>
      </c>
      <c r="U66" s="1">
        <v>42</v>
      </c>
      <c r="Z66">
        <f t="shared" si="15"/>
        <v>64</v>
      </c>
      <c r="AA66">
        <f t="shared" si="8"/>
        <v>1</v>
      </c>
    </row>
    <row r="67" spans="1:27" x14ac:dyDescent="0.3">
      <c r="A67" s="43">
        <v>52</v>
      </c>
      <c r="B67" s="4"/>
      <c r="C67" s="6" t="s">
        <v>121</v>
      </c>
      <c r="D67" s="5"/>
      <c r="E67" s="5" t="s">
        <v>70</v>
      </c>
      <c r="F67" s="5" t="s">
        <v>52</v>
      </c>
      <c r="G67" s="5" t="s">
        <v>208</v>
      </c>
      <c r="H67" s="5" t="s">
        <v>58</v>
      </c>
      <c r="I67" s="5" t="s">
        <v>73</v>
      </c>
      <c r="J67" s="5" t="s">
        <v>65</v>
      </c>
      <c r="K67" s="5" t="s">
        <v>53</v>
      </c>
      <c r="L67" s="5" t="s">
        <v>62</v>
      </c>
      <c r="M67" s="5" t="s">
        <v>55</v>
      </c>
      <c r="N67" s="5" t="s">
        <v>60</v>
      </c>
      <c r="O67" s="5" t="s">
        <v>71</v>
      </c>
      <c r="P67" s="5" t="s">
        <v>47</v>
      </c>
      <c r="Q67" s="5" t="s">
        <v>207</v>
      </c>
      <c r="R67" s="5" t="s">
        <v>210</v>
      </c>
      <c r="S67" s="1">
        <v>8</v>
      </c>
      <c r="T67" s="1">
        <v>77</v>
      </c>
      <c r="U67" s="1">
        <v>41</v>
      </c>
      <c r="Z67">
        <f t="shared" si="15"/>
        <v>65</v>
      </c>
      <c r="AA67">
        <f t="shared" ref="AA67:AA120" si="16">COUNTIF(U$16:U$179,Z67)</f>
        <v>1</v>
      </c>
    </row>
    <row r="68" spans="1:27" x14ac:dyDescent="0.3">
      <c r="A68" s="43">
        <v>53</v>
      </c>
      <c r="B68" s="4"/>
      <c r="C68" s="6" t="s">
        <v>19</v>
      </c>
      <c r="D68" s="5"/>
      <c r="E68" s="5" t="s">
        <v>69</v>
      </c>
      <c r="F68" s="5" t="s">
        <v>52</v>
      </c>
      <c r="G68" s="5" t="s">
        <v>75</v>
      </c>
      <c r="H68" s="5" t="s">
        <v>58</v>
      </c>
      <c r="I68" s="5" t="s">
        <v>73</v>
      </c>
      <c r="J68" s="5" t="s">
        <v>65</v>
      </c>
      <c r="K68" s="5" t="s">
        <v>53</v>
      </c>
      <c r="L68" s="5" t="s">
        <v>62</v>
      </c>
      <c r="M68" s="5" t="s">
        <v>50</v>
      </c>
      <c r="N68" s="5" t="s">
        <v>60</v>
      </c>
      <c r="O68" s="5" t="s">
        <v>71</v>
      </c>
      <c r="P68" s="5" t="s">
        <v>47</v>
      </c>
      <c r="Q68" s="5" t="s">
        <v>207</v>
      </c>
      <c r="R68" s="5" t="s">
        <v>210</v>
      </c>
      <c r="S68" s="1">
        <v>7</v>
      </c>
      <c r="T68" s="1">
        <v>72</v>
      </c>
      <c r="U68" s="1">
        <v>54</v>
      </c>
      <c r="Z68">
        <f t="shared" si="15"/>
        <v>66</v>
      </c>
      <c r="AA68">
        <f t="shared" si="16"/>
        <v>0</v>
      </c>
    </row>
    <row r="69" spans="1:27" x14ac:dyDescent="0.3">
      <c r="A69" s="43">
        <v>54</v>
      </c>
      <c r="B69" s="4"/>
      <c r="C69" s="6" t="s">
        <v>149</v>
      </c>
      <c r="D69" s="5"/>
      <c r="E69" s="5" t="s">
        <v>69</v>
      </c>
      <c r="F69" s="5" t="s">
        <v>64</v>
      </c>
      <c r="G69" s="5" t="s">
        <v>208</v>
      </c>
      <c r="H69" s="5" t="s">
        <v>68</v>
      </c>
      <c r="I69" s="5" t="s">
        <v>66</v>
      </c>
      <c r="J69" s="5" t="s">
        <v>61</v>
      </c>
      <c r="K69" s="5" t="s">
        <v>53</v>
      </c>
      <c r="L69" s="5" t="s">
        <v>56</v>
      </c>
      <c r="M69" s="5" t="s">
        <v>50</v>
      </c>
      <c r="N69" s="5" t="s">
        <v>60</v>
      </c>
      <c r="O69" s="5" t="s">
        <v>71</v>
      </c>
      <c r="P69" s="5" t="s">
        <v>209</v>
      </c>
      <c r="Q69" s="5" t="s">
        <v>63</v>
      </c>
      <c r="R69" s="5" t="s">
        <v>59</v>
      </c>
      <c r="S69" s="1">
        <v>7</v>
      </c>
      <c r="T69" s="1">
        <v>63</v>
      </c>
      <c r="U69" s="1">
        <v>54</v>
      </c>
      <c r="Z69">
        <f t="shared" si="15"/>
        <v>67</v>
      </c>
      <c r="AA69">
        <f t="shared" si="16"/>
        <v>0</v>
      </c>
    </row>
    <row r="70" spans="1:27" ht="28.8" x14ac:dyDescent="0.3">
      <c r="A70" s="43">
        <v>55</v>
      </c>
      <c r="B70" s="4"/>
      <c r="C70" s="6" t="s">
        <v>162</v>
      </c>
      <c r="D70" s="5"/>
      <c r="E70" s="5" t="s">
        <v>70</v>
      </c>
      <c r="F70" s="5" t="s">
        <v>64</v>
      </c>
      <c r="G70" s="5" t="s">
        <v>75</v>
      </c>
      <c r="H70" s="5" t="s">
        <v>58</v>
      </c>
      <c r="I70" s="5" t="s">
        <v>66</v>
      </c>
      <c r="J70" s="5" t="s">
        <v>65</v>
      </c>
      <c r="K70" s="5" t="s">
        <v>53</v>
      </c>
      <c r="L70" s="5" t="s">
        <v>56</v>
      </c>
      <c r="M70" s="5" t="s">
        <v>55</v>
      </c>
      <c r="N70" s="5" t="s">
        <v>51</v>
      </c>
      <c r="O70" s="5" t="s">
        <v>71</v>
      </c>
      <c r="P70" s="5" t="s">
        <v>47</v>
      </c>
      <c r="Q70" s="5" t="s">
        <v>207</v>
      </c>
      <c r="R70" s="5" t="s">
        <v>59</v>
      </c>
      <c r="S70" s="1">
        <v>7</v>
      </c>
      <c r="T70" s="1">
        <v>68</v>
      </c>
      <c r="U70" s="1">
        <v>54</v>
      </c>
      <c r="Z70">
        <f t="shared" si="15"/>
        <v>68</v>
      </c>
      <c r="AA70">
        <f t="shared" si="16"/>
        <v>0</v>
      </c>
    </row>
    <row r="71" spans="1:27" ht="28.8" x14ac:dyDescent="0.3">
      <c r="A71" s="43">
        <v>56</v>
      </c>
      <c r="B71" s="4"/>
      <c r="C71" s="6" t="s">
        <v>108</v>
      </c>
      <c r="D71" s="5"/>
      <c r="E71" s="5" t="s">
        <v>70</v>
      </c>
      <c r="F71" s="5" t="s">
        <v>64</v>
      </c>
      <c r="G71" s="5" t="s">
        <v>75</v>
      </c>
      <c r="H71" s="5" t="s">
        <v>68</v>
      </c>
      <c r="I71" s="5" t="s">
        <v>66</v>
      </c>
      <c r="J71" s="5" t="s">
        <v>65</v>
      </c>
      <c r="K71" s="5" t="s">
        <v>53</v>
      </c>
      <c r="L71" s="5" t="s">
        <v>56</v>
      </c>
      <c r="M71" s="5" t="s">
        <v>55</v>
      </c>
      <c r="N71" s="5" t="s">
        <v>51</v>
      </c>
      <c r="O71" s="5" t="s">
        <v>71</v>
      </c>
      <c r="P71" s="5" t="s">
        <v>47</v>
      </c>
      <c r="Q71" s="5" t="s">
        <v>207</v>
      </c>
      <c r="R71" s="5" t="s">
        <v>210</v>
      </c>
      <c r="S71" s="1">
        <v>7</v>
      </c>
      <c r="T71" s="1">
        <v>70</v>
      </c>
      <c r="U71" s="1">
        <v>53</v>
      </c>
      <c r="Z71">
        <f t="shared" ref="Z71:Z120" si="17">Z70+1</f>
        <v>69</v>
      </c>
      <c r="AA71">
        <f t="shared" si="16"/>
        <v>0</v>
      </c>
    </row>
    <row r="72" spans="1:27" x14ac:dyDescent="0.3">
      <c r="A72" s="43">
        <v>57</v>
      </c>
      <c r="B72" s="4"/>
      <c r="C72" s="6" t="s">
        <v>42</v>
      </c>
      <c r="D72" s="5"/>
      <c r="E72" s="5" t="s">
        <v>69</v>
      </c>
      <c r="F72" s="5" t="s">
        <v>52</v>
      </c>
      <c r="G72" s="5" t="s">
        <v>75</v>
      </c>
      <c r="H72" s="5" t="s">
        <v>58</v>
      </c>
      <c r="I72" s="5" t="s">
        <v>73</v>
      </c>
      <c r="J72" s="5" t="s">
        <v>65</v>
      </c>
      <c r="K72" s="5" t="s">
        <v>53</v>
      </c>
      <c r="L72" s="5" t="s">
        <v>62</v>
      </c>
      <c r="M72" s="5" t="s">
        <v>50</v>
      </c>
      <c r="N72" s="5" t="s">
        <v>60</v>
      </c>
      <c r="O72" s="5" t="s">
        <v>71</v>
      </c>
      <c r="P72" s="5" t="s">
        <v>47</v>
      </c>
      <c r="Q72" s="5" t="s">
        <v>207</v>
      </c>
      <c r="R72" s="5" t="s">
        <v>210</v>
      </c>
      <c r="S72" s="1">
        <v>7</v>
      </c>
      <c r="T72" s="1">
        <v>67</v>
      </c>
      <c r="U72" s="1">
        <v>53</v>
      </c>
      <c r="Z72">
        <f t="shared" si="17"/>
        <v>70</v>
      </c>
      <c r="AA72">
        <f t="shared" si="16"/>
        <v>0</v>
      </c>
    </row>
    <row r="73" spans="1:27" x14ac:dyDescent="0.3">
      <c r="A73" s="43">
        <v>58</v>
      </c>
      <c r="B73" s="4"/>
      <c r="C73" s="6" t="s">
        <v>82</v>
      </c>
      <c r="D73" s="5"/>
      <c r="E73" s="5" t="s">
        <v>70</v>
      </c>
      <c r="F73" s="5" t="s">
        <v>52</v>
      </c>
      <c r="G73" s="5" t="s">
        <v>208</v>
      </c>
      <c r="H73" s="5" t="s">
        <v>58</v>
      </c>
      <c r="I73" s="5" t="s">
        <v>73</v>
      </c>
      <c r="J73" s="5" t="s">
        <v>65</v>
      </c>
      <c r="K73" s="5" t="s">
        <v>53</v>
      </c>
      <c r="L73" s="5" t="s">
        <v>62</v>
      </c>
      <c r="M73" s="5" t="s">
        <v>50</v>
      </c>
      <c r="N73" s="5" t="s">
        <v>60</v>
      </c>
      <c r="O73" s="5" t="s">
        <v>71</v>
      </c>
      <c r="P73" s="5" t="s">
        <v>47</v>
      </c>
      <c r="Q73" s="5" t="s">
        <v>207</v>
      </c>
      <c r="R73" s="5" t="s">
        <v>210</v>
      </c>
      <c r="S73" s="1">
        <v>7</v>
      </c>
      <c r="T73" s="1">
        <v>63</v>
      </c>
      <c r="U73" s="1">
        <v>55</v>
      </c>
      <c r="Z73">
        <f t="shared" si="17"/>
        <v>71</v>
      </c>
      <c r="AA73">
        <f t="shared" si="16"/>
        <v>0</v>
      </c>
    </row>
    <row r="74" spans="1:27" x14ac:dyDescent="0.3">
      <c r="A74" s="43">
        <v>59</v>
      </c>
      <c r="B74" s="4"/>
      <c r="C74" s="6" t="s">
        <v>120</v>
      </c>
      <c r="D74" s="5"/>
      <c r="E74" s="5" t="s">
        <v>70</v>
      </c>
      <c r="F74" s="5" t="s">
        <v>64</v>
      </c>
      <c r="G74" s="5" t="s">
        <v>75</v>
      </c>
      <c r="H74" s="5" t="s">
        <v>58</v>
      </c>
      <c r="I74" s="5" t="s">
        <v>73</v>
      </c>
      <c r="J74" s="5" t="s">
        <v>61</v>
      </c>
      <c r="K74" s="5" t="s">
        <v>53</v>
      </c>
      <c r="L74" s="5" t="s">
        <v>62</v>
      </c>
      <c r="M74" s="5" t="s">
        <v>55</v>
      </c>
      <c r="N74" s="5" t="s">
        <v>60</v>
      </c>
      <c r="O74" s="5" t="s">
        <v>71</v>
      </c>
      <c r="P74" s="5" t="s">
        <v>209</v>
      </c>
      <c r="Q74" s="5" t="s">
        <v>207</v>
      </c>
      <c r="R74" s="5" t="s">
        <v>59</v>
      </c>
      <c r="S74" s="1">
        <v>7</v>
      </c>
      <c r="T74" s="1">
        <v>63</v>
      </c>
      <c r="U74" s="1">
        <v>52</v>
      </c>
      <c r="Z74">
        <f t="shared" si="17"/>
        <v>72</v>
      </c>
      <c r="AA74">
        <f t="shared" si="16"/>
        <v>0</v>
      </c>
    </row>
    <row r="75" spans="1:27" ht="28.8" x14ac:dyDescent="0.3">
      <c r="A75" s="43">
        <v>60</v>
      </c>
      <c r="B75" s="4"/>
      <c r="C75" s="6" t="s">
        <v>30</v>
      </c>
      <c r="D75" s="5"/>
      <c r="E75" s="5" t="s">
        <v>70</v>
      </c>
      <c r="F75" s="5" t="s">
        <v>64</v>
      </c>
      <c r="G75" s="5" t="s">
        <v>75</v>
      </c>
      <c r="H75" s="5" t="s">
        <v>58</v>
      </c>
      <c r="I75" s="5" t="s">
        <v>66</v>
      </c>
      <c r="J75" s="5" t="s">
        <v>65</v>
      </c>
      <c r="K75" s="5" t="s">
        <v>53</v>
      </c>
      <c r="L75" s="5" t="s">
        <v>56</v>
      </c>
      <c r="M75" s="5" t="s">
        <v>55</v>
      </c>
      <c r="N75" s="5" t="s">
        <v>60</v>
      </c>
      <c r="O75" s="5" t="s">
        <v>71</v>
      </c>
      <c r="P75" s="5" t="s">
        <v>209</v>
      </c>
      <c r="Q75" s="5" t="s">
        <v>207</v>
      </c>
      <c r="R75" s="5" t="s">
        <v>59</v>
      </c>
      <c r="S75" s="1">
        <v>7</v>
      </c>
      <c r="T75" s="1">
        <v>68</v>
      </c>
      <c r="U75" s="1">
        <v>50</v>
      </c>
      <c r="Z75">
        <f t="shared" si="17"/>
        <v>73</v>
      </c>
      <c r="AA75">
        <f t="shared" si="16"/>
        <v>0</v>
      </c>
    </row>
    <row r="76" spans="1:27" x14ac:dyDescent="0.3">
      <c r="A76" s="43">
        <v>61</v>
      </c>
      <c r="B76" s="4"/>
      <c r="C76" s="6" t="s">
        <v>194</v>
      </c>
      <c r="D76" s="5"/>
      <c r="E76" s="5" t="s">
        <v>69</v>
      </c>
      <c r="F76" s="5" t="s">
        <v>52</v>
      </c>
      <c r="G76" s="5" t="s">
        <v>75</v>
      </c>
      <c r="H76" s="5" t="s">
        <v>58</v>
      </c>
      <c r="I76" s="5" t="s">
        <v>73</v>
      </c>
      <c r="J76" s="5" t="s">
        <v>61</v>
      </c>
      <c r="K76" s="5" t="s">
        <v>72</v>
      </c>
      <c r="L76" s="5" t="s">
        <v>62</v>
      </c>
      <c r="M76" s="5" t="s">
        <v>55</v>
      </c>
      <c r="N76" s="5" t="s">
        <v>60</v>
      </c>
      <c r="O76" s="5" t="s">
        <v>71</v>
      </c>
      <c r="P76" s="5" t="s">
        <v>209</v>
      </c>
      <c r="Q76" s="5" t="s">
        <v>207</v>
      </c>
      <c r="R76" s="5" t="s">
        <v>210</v>
      </c>
      <c r="S76" s="1">
        <v>7</v>
      </c>
      <c r="T76" s="1">
        <v>61</v>
      </c>
      <c r="U76" s="1">
        <v>50</v>
      </c>
      <c r="Z76">
        <f t="shared" si="17"/>
        <v>74</v>
      </c>
      <c r="AA76">
        <f t="shared" si="16"/>
        <v>1</v>
      </c>
    </row>
    <row r="77" spans="1:27" ht="28.8" x14ac:dyDescent="0.3">
      <c r="A77" s="43">
        <v>62</v>
      </c>
      <c r="B77" s="4"/>
      <c r="C77" s="6" t="s">
        <v>102</v>
      </c>
      <c r="D77" s="5"/>
      <c r="E77" s="5" t="s">
        <v>69</v>
      </c>
      <c r="F77" s="5" t="s">
        <v>64</v>
      </c>
      <c r="G77" s="5" t="s">
        <v>208</v>
      </c>
      <c r="H77" s="5" t="s">
        <v>68</v>
      </c>
      <c r="I77" s="5" t="s">
        <v>66</v>
      </c>
      <c r="J77" s="5" t="s">
        <v>61</v>
      </c>
      <c r="K77" s="5" t="s">
        <v>53</v>
      </c>
      <c r="L77" s="5" t="s">
        <v>56</v>
      </c>
      <c r="M77" s="5" t="s">
        <v>50</v>
      </c>
      <c r="N77" s="5" t="s">
        <v>51</v>
      </c>
      <c r="O77" s="5" t="s">
        <v>54</v>
      </c>
      <c r="P77" s="5" t="s">
        <v>47</v>
      </c>
      <c r="Q77" s="5" t="s">
        <v>207</v>
      </c>
      <c r="R77" s="5" t="s">
        <v>59</v>
      </c>
      <c r="S77" s="1">
        <v>7</v>
      </c>
      <c r="T77" s="1">
        <v>62</v>
      </c>
      <c r="U77" s="1">
        <v>50</v>
      </c>
      <c r="Z77">
        <f t="shared" si="17"/>
        <v>75</v>
      </c>
      <c r="AA77">
        <f t="shared" si="16"/>
        <v>0</v>
      </c>
    </row>
    <row r="78" spans="1:27" x14ac:dyDescent="0.3">
      <c r="A78" s="43">
        <v>63</v>
      </c>
      <c r="B78" s="4"/>
      <c r="C78" s="6" t="s">
        <v>96</v>
      </c>
      <c r="D78" s="5"/>
      <c r="E78" s="5" t="s">
        <v>69</v>
      </c>
      <c r="F78" s="5" t="s">
        <v>64</v>
      </c>
      <c r="G78" s="5" t="s">
        <v>75</v>
      </c>
      <c r="H78" s="5" t="s">
        <v>58</v>
      </c>
      <c r="I78" s="5" t="s">
        <v>66</v>
      </c>
      <c r="J78" s="5" t="s">
        <v>65</v>
      </c>
      <c r="K78" s="5" t="s">
        <v>53</v>
      </c>
      <c r="L78" s="5" t="s">
        <v>62</v>
      </c>
      <c r="M78" s="5" t="s">
        <v>55</v>
      </c>
      <c r="N78" s="5" t="s">
        <v>51</v>
      </c>
      <c r="O78" s="5" t="s">
        <v>54</v>
      </c>
      <c r="P78" s="5" t="s">
        <v>209</v>
      </c>
      <c r="Q78" s="5" t="s">
        <v>63</v>
      </c>
      <c r="R78" s="5" t="s">
        <v>59</v>
      </c>
      <c r="S78" s="1">
        <v>7</v>
      </c>
      <c r="T78" s="1">
        <v>62</v>
      </c>
      <c r="U78" s="1">
        <v>48</v>
      </c>
      <c r="Z78">
        <f t="shared" si="17"/>
        <v>76</v>
      </c>
      <c r="AA78">
        <f t="shared" si="16"/>
        <v>0</v>
      </c>
    </row>
    <row r="79" spans="1:27" x14ac:dyDescent="0.3">
      <c r="A79" s="43">
        <v>64</v>
      </c>
      <c r="B79" s="4"/>
      <c r="C79" s="6" t="s">
        <v>183</v>
      </c>
      <c r="D79" s="5"/>
      <c r="E79" s="5" t="s">
        <v>69</v>
      </c>
      <c r="F79" s="5" t="s">
        <v>64</v>
      </c>
      <c r="G79" s="5" t="s">
        <v>208</v>
      </c>
      <c r="H79" s="5" t="s">
        <v>58</v>
      </c>
      <c r="I79" s="5" t="s">
        <v>66</v>
      </c>
      <c r="J79" s="5" t="s">
        <v>61</v>
      </c>
      <c r="K79" s="5" t="s">
        <v>53</v>
      </c>
      <c r="L79" s="5" t="s">
        <v>56</v>
      </c>
      <c r="M79" s="5" t="s">
        <v>55</v>
      </c>
      <c r="N79" s="5" t="s">
        <v>60</v>
      </c>
      <c r="O79" s="5" t="s">
        <v>54</v>
      </c>
      <c r="P79" s="5" t="s">
        <v>209</v>
      </c>
      <c r="Q79" s="5" t="s">
        <v>207</v>
      </c>
      <c r="R79" s="5" t="s">
        <v>59</v>
      </c>
      <c r="S79" s="1">
        <v>7</v>
      </c>
      <c r="T79" s="1">
        <v>66</v>
      </c>
      <c r="U79" s="1">
        <v>48</v>
      </c>
      <c r="Z79">
        <f t="shared" si="17"/>
        <v>77</v>
      </c>
      <c r="AA79">
        <f t="shared" si="16"/>
        <v>0</v>
      </c>
    </row>
    <row r="80" spans="1:27" ht="28.8" x14ac:dyDescent="0.3">
      <c r="A80" s="43">
        <v>65</v>
      </c>
      <c r="B80" s="4"/>
      <c r="C80" s="6" t="s">
        <v>34</v>
      </c>
      <c r="D80" s="5"/>
      <c r="E80" s="5" t="s">
        <v>70</v>
      </c>
      <c r="F80" s="5" t="s">
        <v>52</v>
      </c>
      <c r="G80" s="5" t="s">
        <v>75</v>
      </c>
      <c r="H80" s="5" t="s">
        <v>58</v>
      </c>
      <c r="I80" s="5" t="s">
        <v>73</v>
      </c>
      <c r="J80" s="5" t="s">
        <v>61</v>
      </c>
      <c r="K80" s="5" t="s">
        <v>53</v>
      </c>
      <c r="L80" s="5" t="s">
        <v>56</v>
      </c>
      <c r="M80" s="5" t="s">
        <v>55</v>
      </c>
      <c r="N80" s="5" t="s">
        <v>60</v>
      </c>
      <c r="O80" s="5" t="s">
        <v>71</v>
      </c>
      <c r="P80" s="5" t="s">
        <v>47</v>
      </c>
      <c r="Q80" s="5" t="s">
        <v>207</v>
      </c>
      <c r="R80" s="5" t="s">
        <v>59</v>
      </c>
      <c r="S80" s="1">
        <v>7</v>
      </c>
      <c r="T80" s="1">
        <v>62</v>
      </c>
      <c r="U80" s="1">
        <v>48</v>
      </c>
      <c r="Z80">
        <f t="shared" si="17"/>
        <v>78</v>
      </c>
      <c r="AA80">
        <f t="shared" si="16"/>
        <v>0</v>
      </c>
    </row>
    <row r="81" spans="1:27" ht="28.8" x14ac:dyDescent="0.3">
      <c r="A81" s="43">
        <v>66</v>
      </c>
      <c r="B81" s="4"/>
      <c r="C81" s="6" t="s">
        <v>112</v>
      </c>
      <c r="D81" s="5"/>
      <c r="E81" s="5" t="s">
        <v>69</v>
      </c>
      <c r="F81" s="5" t="s">
        <v>52</v>
      </c>
      <c r="G81" s="5" t="s">
        <v>75</v>
      </c>
      <c r="H81" s="5" t="s">
        <v>68</v>
      </c>
      <c r="I81" s="5" t="s">
        <v>66</v>
      </c>
      <c r="J81" s="5" t="s">
        <v>61</v>
      </c>
      <c r="K81" s="5" t="s">
        <v>53</v>
      </c>
      <c r="L81" s="5" t="s">
        <v>62</v>
      </c>
      <c r="M81" s="5" t="s">
        <v>50</v>
      </c>
      <c r="N81" s="5" t="s">
        <v>60</v>
      </c>
      <c r="O81" s="5" t="s">
        <v>71</v>
      </c>
      <c r="P81" s="5" t="s">
        <v>209</v>
      </c>
      <c r="Q81" s="5" t="s">
        <v>207</v>
      </c>
      <c r="R81" s="5" t="s">
        <v>210</v>
      </c>
      <c r="S81" s="1">
        <v>7</v>
      </c>
      <c r="T81" s="1">
        <v>74</v>
      </c>
      <c r="U81" s="1">
        <v>48</v>
      </c>
      <c r="Z81">
        <f t="shared" si="17"/>
        <v>79</v>
      </c>
      <c r="AA81">
        <f t="shared" si="16"/>
        <v>0</v>
      </c>
    </row>
    <row r="82" spans="1:27" x14ac:dyDescent="0.3">
      <c r="A82" s="43">
        <v>67</v>
      </c>
      <c r="B82" s="4"/>
      <c r="C82" s="6" t="s">
        <v>109</v>
      </c>
      <c r="D82" s="5"/>
      <c r="E82" s="5" t="s">
        <v>69</v>
      </c>
      <c r="F82" s="5" t="s">
        <v>64</v>
      </c>
      <c r="G82" s="5" t="s">
        <v>75</v>
      </c>
      <c r="H82" s="5" t="s">
        <v>68</v>
      </c>
      <c r="I82" s="5" t="s">
        <v>73</v>
      </c>
      <c r="J82" s="5" t="s">
        <v>61</v>
      </c>
      <c r="K82" s="5" t="s">
        <v>72</v>
      </c>
      <c r="L82" s="5" t="s">
        <v>56</v>
      </c>
      <c r="M82" s="5" t="s">
        <v>55</v>
      </c>
      <c r="N82" s="5" t="s">
        <v>51</v>
      </c>
      <c r="O82" s="5" t="s">
        <v>54</v>
      </c>
      <c r="P82" s="5" t="s">
        <v>47</v>
      </c>
      <c r="Q82" s="5" t="s">
        <v>207</v>
      </c>
      <c r="R82" s="5" t="s">
        <v>59</v>
      </c>
      <c r="S82" s="1">
        <v>7</v>
      </c>
      <c r="T82" s="1">
        <v>68</v>
      </c>
      <c r="U82" s="1">
        <v>48</v>
      </c>
      <c r="Z82">
        <f t="shared" si="17"/>
        <v>80</v>
      </c>
      <c r="AA82">
        <f t="shared" si="16"/>
        <v>0</v>
      </c>
    </row>
    <row r="83" spans="1:27" x14ac:dyDescent="0.3">
      <c r="A83" s="43">
        <v>68</v>
      </c>
      <c r="B83" s="4"/>
      <c r="C83" s="6" t="s">
        <v>100</v>
      </c>
      <c r="D83" s="5"/>
      <c r="E83" s="5" t="s">
        <v>69</v>
      </c>
      <c r="F83" s="5" t="s">
        <v>64</v>
      </c>
      <c r="G83" s="5" t="s">
        <v>75</v>
      </c>
      <c r="H83" s="5" t="s">
        <v>58</v>
      </c>
      <c r="I83" s="5" t="s">
        <v>73</v>
      </c>
      <c r="J83" s="5" t="s">
        <v>65</v>
      </c>
      <c r="K83" s="5" t="s">
        <v>53</v>
      </c>
      <c r="L83" s="5" t="s">
        <v>56</v>
      </c>
      <c r="M83" s="5" t="s">
        <v>50</v>
      </c>
      <c r="N83" s="5" t="s">
        <v>60</v>
      </c>
      <c r="O83" s="5" t="s">
        <v>54</v>
      </c>
      <c r="P83" s="5" t="s">
        <v>209</v>
      </c>
      <c r="Q83" s="5" t="s">
        <v>207</v>
      </c>
      <c r="R83" s="5" t="s">
        <v>59</v>
      </c>
      <c r="S83" s="1">
        <v>7</v>
      </c>
      <c r="T83" s="1">
        <v>70</v>
      </c>
      <c r="U83" s="1">
        <v>48</v>
      </c>
      <c r="Z83">
        <f t="shared" si="17"/>
        <v>81</v>
      </c>
      <c r="AA83">
        <f t="shared" si="16"/>
        <v>0</v>
      </c>
    </row>
    <row r="84" spans="1:27" x14ac:dyDescent="0.3">
      <c r="A84" s="43">
        <v>69</v>
      </c>
      <c r="B84" s="4"/>
      <c r="C84" s="6" t="s">
        <v>97</v>
      </c>
      <c r="D84" s="5"/>
      <c r="E84" s="5" t="s">
        <v>70</v>
      </c>
      <c r="F84" s="5" t="s">
        <v>52</v>
      </c>
      <c r="G84" s="5" t="s">
        <v>75</v>
      </c>
      <c r="H84" s="5" t="s">
        <v>58</v>
      </c>
      <c r="I84" s="5" t="s">
        <v>73</v>
      </c>
      <c r="J84" s="5" t="s">
        <v>65</v>
      </c>
      <c r="K84" s="5" t="s">
        <v>53</v>
      </c>
      <c r="L84" s="5" t="s">
        <v>56</v>
      </c>
      <c r="M84" s="5" t="s">
        <v>50</v>
      </c>
      <c r="N84" s="5" t="s">
        <v>60</v>
      </c>
      <c r="O84" s="5" t="s">
        <v>71</v>
      </c>
      <c r="P84" s="5" t="s">
        <v>209</v>
      </c>
      <c r="Q84" s="5" t="s">
        <v>207</v>
      </c>
      <c r="R84" s="5" t="s">
        <v>210</v>
      </c>
      <c r="S84" s="1">
        <v>7</v>
      </c>
      <c r="T84" s="1">
        <v>61</v>
      </c>
      <c r="U84" s="1">
        <v>47</v>
      </c>
      <c r="Z84">
        <f t="shared" si="17"/>
        <v>82</v>
      </c>
      <c r="AA84">
        <f t="shared" si="16"/>
        <v>0</v>
      </c>
    </row>
    <row r="85" spans="1:27" ht="28.8" x14ac:dyDescent="0.3">
      <c r="A85" s="43">
        <v>70</v>
      </c>
      <c r="B85" s="4"/>
      <c r="C85" s="6" t="s">
        <v>32</v>
      </c>
      <c r="D85" s="5"/>
      <c r="E85" s="5" t="s">
        <v>69</v>
      </c>
      <c r="F85" s="5" t="s">
        <v>52</v>
      </c>
      <c r="G85" s="5" t="s">
        <v>75</v>
      </c>
      <c r="H85" s="5" t="s">
        <v>58</v>
      </c>
      <c r="I85" s="5" t="s">
        <v>73</v>
      </c>
      <c r="J85" s="5" t="s">
        <v>65</v>
      </c>
      <c r="K85" s="5" t="s">
        <v>72</v>
      </c>
      <c r="L85" s="5" t="s">
        <v>56</v>
      </c>
      <c r="M85" s="5" t="s">
        <v>50</v>
      </c>
      <c r="N85" s="5" t="s">
        <v>51</v>
      </c>
      <c r="O85" s="5" t="s">
        <v>54</v>
      </c>
      <c r="P85" s="5" t="s">
        <v>209</v>
      </c>
      <c r="Q85" s="5" t="s">
        <v>207</v>
      </c>
      <c r="R85" s="5" t="s">
        <v>210</v>
      </c>
      <c r="S85" s="1">
        <v>7</v>
      </c>
      <c r="T85" s="1">
        <v>61</v>
      </c>
      <c r="U85" s="1">
        <v>47</v>
      </c>
      <c r="Z85">
        <f t="shared" si="17"/>
        <v>83</v>
      </c>
      <c r="AA85">
        <f t="shared" si="16"/>
        <v>0</v>
      </c>
    </row>
    <row r="86" spans="1:27" x14ac:dyDescent="0.3">
      <c r="A86" s="43">
        <v>71</v>
      </c>
      <c r="B86" s="4"/>
      <c r="C86" s="6" t="s">
        <v>150</v>
      </c>
      <c r="D86" s="5"/>
      <c r="E86" s="5" t="s">
        <v>70</v>
      </c>
      <c r="F86" s="5" t="s">
        <v>52</v>
      </c>
      <c r="G86" s="5" t="s">
        <v>75</v>
      </c>
      <c r="H86" s="5" t="s">
        <v>58</v>
      </c>
      <c r="I86" s="5" t="s">
        <v>66</v>
      </c>
      <c r="J86" s="5" t="s">
        <v>61</v>
      </c>
      <c r="K86" s="5" t="s">
        <v>53</v>
      </c>
      <c r="L86" s="5" t="s">
        <v>56</v>
      </c>
      <c r="M86" s="5" t="s">
        <v>55</v>
      </c>
      <c r="N86" s="5" t="s">
        <v>51</v>
      </c>
      <c r="O86" s="5" t="s">
        <v>71</v>
      </c>
      <c r="P86" s="5" t="s">
        <v>209</v>
      </c>
      <c r="Q86" s="5" t="s">
        <v>63</v>
      </c>
      <c r="R86" s="5" t="s">
        <v>59</v>
      </c>
      <c r="S86" s="1">
        <v>7</v>
      </c>
      <c r="T86" s="1">
        <v>63</v>
      </c>
      <c r="U86" s="1">
        <v>46</v>
      </c>
      <c r="Z86">
        <f t="shared" si="17"/>
        <v>84</v>
      </c>
      <c r="AA86">
        <f t="shared" si="16"/>
        <v>0</v>
      </c>
    </row>
    <row r="87" spans="1:27" ht="28.8" x14ac:dyDescent="0.3">
      <c r="A87" s="43">
        <v>72</v>
      </c>
      <c r="B87" s="4"/>
      <c r="C87" s="6" t="s">
        <v>163</v>
      </c>
      <c r="D87" s="5"/>
      <c r="E87" s="5" t="s">
        <v>70</v>
      </c>
      <c r="F87" s="5" t="s">
        <v>64</v>
      </c>
      <c r="G87" s="5" t="s">
        <v>208</v>
      </c>
      <c r="H87" s="5" t="s">
        <v>58</v>
      </c>
      <c r="I87" s="5" t="s">
        <v>66</v>
      </c>
      <c r="J87" s="5" t="s">
        <v>61</v>
      </c>
      <c r="K87" s="5" t="s">
        <v>53</v>
      </c>
      <c r="L87" s="5" t="s">
        <v>56</v>
      </c>
      <c r="M87" s="5" t="s">
        <v>55</v>
      </c>
      <c r="N87" s="5" t="s">
        <v>51</v>
      </c>
      <c r="O87" s="5" t="s">
        <v>54</v>
      </c>
      <c r="P87" s="5" t="s">
        <v>209</v>
      </c>
      <c r="Q87" s="5" t="s">
        <v>207</v>
      </c>
      <c r="R87" s="5" t="s">
        <v>59</v>
      </c>
      <c r="S87" s="1">
        <v>7</v>
      </c>
      <c r="T87" s="1">
        <v>69</v>
      </c>
      <c r="U87" s="1">
        <v>46</v>
      </c>
      <c r="Z87">
        <f t="shared" si="17"/>
        <v>85</v>
      </c>
      <c r="AA87">
        <f t="shared" si="16"/>
        <v>0</v>
      </c>
    </row>
    <row r="88" spans="1:27" x14ac:dyDescent="0.3">
      <c r="A88" s="43">
        <v>73</v>
      </c>
      <c r="B88" s="4"/>
      <c r="C88" s="6" t="s">
        <v>180</v>
      </c>
      <c r="D88" s="5"/>
      <c r="E88" s="5" t="s">
        <v>70</v>
      </c>
      <c r="F88" s="5" t="s">
        <v>52</v>
      </c>
      <c r="G88" s="5" t="s">
        <v>75</v>
      </c>
      <c r="H88" s="5" t="s">
        <v>58</v>
      </c>
      <c r="I88" s="5" t="s">
        <v>73</v>
      </c>
      <c r="J88" s="5" t="s">
        <v>61</v>
      </c>
      <c r="K88" s="5" t="s">
        <v>53</v>
      </c>
      <c r="L88" s="5" t="s">
        <v>62</v>
      </c>
      <c r="M88" s="5" t="s">
        <v>55</v>
      </c>
      <c r="N88" s="5" t="s">
        <v>60</v>
      </c>
      <c r="O88" s="5" t="s">
        <v>71</v>
      </c>
      <c r="P88" s="5" t="s">
        <v>47</v>
      </c>
      <c r="Q88" s="5" t="s">
        <v>207</v>
      </c>
      <c r="R88" s="5" t="s">
        <v>59</v>
      </c>
      <c r="S88" s="1">
        <v>7</v>
      </c>
      <c r="T88" s="1">
        <v>69</v>
      </c>
      <c r="U88" s="1">
        <v>45</v>
      </c>
      <c r="Z88">
        <f t="shared" si="17"/>
        <v>86</v>
      </c>
      <c r="AA88">
        <f t="shared" si="16"/>
        <v>0</v>
      </c>
    </row>
    <row r="89" spans="1:27" x14ac:dyDescent="0.3">
      <c r="A89" s="43">
        <v>74</v>
      </c>
      <c r="B89" s="4"/>
      <c r="C89" s="6" t="s">
        <v>201</v>
      </c>
      <c r="D89" s="5"/>
      <c r="E89" s="5" t="s">
        <v>69</v>
      </c>
      <c r="F89" s="5" t="s">
        <v>64</v>
      </c>
      <c r="G89" s="5" t="s">
        <v>208</v>
      </c>
      <c r="H89" s="5" t="s">
        <v>58</v>
      </c>
      <c r="I89" s="5" t="s">
        <v>66</v>
      </c>
      <c r="J89" s="5" t="s">
        <v>65</v>
      </c>
      <c r="K89" s="5" t="s">
        <v>53</v>
      </c>
      <c r="L89" s="5" t="s">
        <v>56</v>
      </c>
      <c r="M89" s="5" t="s">
        <v>55</v>
      </c>
      <c r="N89" s="5" t="s">
        <v>51</v>
      </c>
      <c r="O89" s="5" t="s">
        <v>71</v>
      </c>
      <c r="P89" s="5" t="s">
        <v>47</v>
      </c>
      <c r="Q89" s="5" t="s">
        <v>63</v>
      </c>
      <c r="R89" s="5" t="s">
        <v>210</v>
      </c>
      <c r="S89" s="1">
        <v>7</v>
      </c>
      <c r="T89" s="1">
        <v>52</v>
      </c>
      <c r="U89" s="1">
        <v>45</v>
      </c>
      <c r="Z89">
        <f t="shared" si="17"/>
        <v>87</v>
      </c>
      <c r="AA89">
        <f t="shared" si="16"/>
        <v>0</v>
      </c>
    </row>
    <row r="90" spans="1:27" ht="28.8" x14ac:dyDescent="0.3">
      <c r="A90" s="43">
        <v>75</v>
      </c>
      <c r="B90" s="4"/>
      <c r="C90" s="6" t="s">
        <v>174</v>
      </c>
      <c r="D90" s="5"/>
      <c r="E90" s="5" t="s">
        <v>70</v>
      </c>
      <c r="F90" s="5" t="s">
        <v>52</v>
      </c>
      <c r="G90" s="5" t="s">
        <v>75</v>
      </c>
      <c r="H90" s="5" t="s">
        <v>68</v>
      </c>
      <c r="I90" s="5" t="s">
        <v>73</v>
      </c>
      <c r="J90" s="5" t="s">
        <v>61</v>
      </c>
      <c r="K90" s="5" t="s">
        <v>53</v>
      </c>
      <c r="L90" s="5" t="s">
        <v>62</v>
      </c>
      <c r="M90" s="5" t="s">
        <v>50</v>
      </c>
      <c r="N90" s="5" t="s">
        <v>60</v>
      </c>
      <c r="O90" s="5" t="s">
        <v>71</v>
      </c>
      <c r="P90" s="5" t="s">
        <v>47</v>
      </c>
      <c r="Q90" s="5" t="s">
        <v>207</v>
      </c>
      <c r="R90" s="5" t="s">
        <v>59</v>
      </c>
      <c r="S90" s="1">
        <v>7</v>
      </c>
      <c r="T90" s="1">
        <v>71</v>
      </c>
      <c r="U90" s="1">
        <v>45</v>
      </c>
      <c r="Z90">
        <f t="shared" si="17"/>
        <v>88</v>
      </c>
      <c r="AA90">
        <f t="shared" si="16"/>
        <v>0</v>
      </c>
    </row>
    <row r="91" spans="1:27" x14ac:dyDescent="0.3">
      <c r="A91" s="43">
        <v>76</v>
      </c>
      <c r="B91" s="4"/>
      <c r="C91" s="6" t="s">
        <v>86</v>
      </c>
      <c r="D91" s="5"/>
      <c r="E91" s="5" t="s">
        <v>70</v>
      </c>
      <c r="F91" s="5" t="s">
        <v>52</v>
      </c>
      <c r="G91" s="5" t="s">
        <v>208</v>
      </c>
      <c r="H91" s="5" t="s">
        <v>58</v>
      </c>
      <c r="I91" s="5" t="s">
        <v>66</v>
      </c>
      <c r="J91" s="5" t="s">
        <v>61</v>
      </c>
      <c r="K91" s="5" t="s">
        <v>53</v>
      </c>
      <c r="L91" s="5" t="s">
        <v>62</v>
      </c>
      <c r="M91" s="5" t="s">
        <v>55</v>
      </c>
      <c r="N91" s="5" t="s">
        <v>60</v>
      </c>
      <c r="O91" s="5" t="s">
        <v>71</v>
      </c>
      <c r="P91" s="5" t="s">
        <v>47</v>
      </c>
      <c r="Q91" s="5" t="s">
        <v>207</v>
      </c>
      <c r="R91" s="5" t="s">
        <v>59</v>
      </c>
      <c r="S91" s="1">
        <v>7</v>
      </c>
      <c r="T91" s="1">
        <v>64</v>
      </c>
      <c r="U91" s="1">
        <v>45</v>
      </c>
      <c r="Z91">
        <f t="shared" si="17"/>
        <v>89</v>
      </c>
      <c r="AA91">
        <f t="shared" si="16"/>
        <v>0</v>
      </c>
    </row>
    <row r="92" spans="1:27" ht="28.8" x14ac:dyDescent="0.3">
      <c r="A92" s="43">
        <v>77</v>
      </c>
      <c r="B92" s="4"/>
      <c r="C92" s="6" t="s">
        <v>179</v>
      </c>
      <c r="D92" s="5"/>
      <c r="E92" s="5" t="s">
        <v>70</v>
      </c>
      <c r="F92" s="5" t="s">
        <v>64</v>
      </c>
      <c r="G92" s="5" t="s">
        <v>208</v>
      </c>
      <c r="H92" s="5" t="s">
        <v>68</v>
      </c>
      <c r="I92" s="5" t="s">
        <v>66</v>
      </c>
      <c r="J92" s="5" t="s">
        <v>65</v>
      </c>
      <c r="K92" s="5" t="s">
        <v>53</v>
      </c>
      <c r="L92" s="5" t="s">
        <v>56</v>
      </c>
      <c r="M92" s="5" t="s">
        <v>50</v>
      </c>
      <c r="N92" s="5" t="s">
        <v>60</v>
      </c>
      <c r="O92" s="5" t="s">
        <v>71</v>
      </c>
      <c r="P92" s="5" t="s">
        <v>209</v>
      </c>
      <c r="Q92" s="5" t="s">
        <v>63</v>
      </c>
      <c r="R92" s="5" t="s">
        <v>59</v>
      </c>
      <c r="S92" s="1">
        <v>7</v>
      </c>
      <c r="T92" s="1">
        <v>66</v>
      </c>
      <c r="U92" s="1">
        <v>45</v>
      </c>
      <c r="Z92">
        <f t="shared" si="17"/>
        <v>90</v>
      </c>
      <c r="AA92">
        <f t="shared" si="16"/>
        <v>0</v>
      </c>
    </row>
    <row r="93" spans="1:27" ht="28.8" x14ac:dyDescent="0.3">
      <c r="A93" s="43">
        <v>78</v>
      </c>
      <c r="B93" s="4"/>
      <c r="C93" s="6" t="s">
        <v>177</v>
      </c>
      <c r="D93" s="5"/>
      <c r="E93" s="5" t="s">
        <v>70</v>
      </c>
      <c r="F93" s="5" t="s">
        <v>52</v>
      </c>
      <c r="G93" s="5" t="s">
        <v>75</v>
      </c>
      <c r="H93" s="5" t="s">
        <v>58</v>
      </c>
      <c r="I93" s="5" t="s">
        <v>73</v>
      </c>
      <c r="J93" s="5" t="s">
        <v>61</v>
      </c>
      <c r="K93" s="5" t="s">
        <v>53</v>
      </c>
      <c r="L93" s="5" t="s">
        <v>62</v>
      </c>
      <c r="M93" s="5" t="s">
        <v>55</v>
      </c>
      <c r="N93" s="5" t="s">
        <v>60</v>
      </c>
      <c r="O93" s="5" t="s">
        <v>71</v>
      </c>
      <c r="P93" s="5" t="s">
        <v>209</v>
      </c>
      <c r="Q93" s="5" t="s">
        <v>207</v>
      </c>
      <c r="R93" s="5" t="s">
        <v>210</v>
      </c>
      <c r="S93" s="1">
        <v>7</v>
      </c>
      <c r="T93" s="1">
        <v>73</v>
      </c>
      <c r="U93" s="1">
        <v>45</v>
      </c>
      <c r="Z93">
        <f t="shared" si="17"/>
        <v>91</v>
      </c>
      <c r="AA93">
        <f t="shared" si="16"/>
        <v>0</v>
      </c>
    </row>
    <row r="94" spans="1:27" x14ac:dyDescent="0.3">
      <c r="A94" s="43">
        <v>79</v>
      </c>
      <c r="B94" s="4"/>
      <c r="C94" s="6" t="s">
        <v>181</v>
      </c>
      <c r="D94" s="5"/>
      <c r="E94" s="5" t="s">
        <v>69</v>
      </c>
      <c r="F94" s="5" t="s">
        <v>52</v>
      </c>
      <c r="G94" s="5" t="s">
        <v>75</v>
      </c>
      <c r="H94" s="5" t="s">
        <v>58</v>
      </c>
      <c r="I94" s="5" t="s">
        <v>73</v>
      </c>
      <c r="J94" s="5" t="s">
        <v>61</v>
      </c>
      <c r="K94" s="5" t="s">
        <v>53</v>
      </c>
      <c r="L94" s="5" t="s">
        <v>62</v>
      </c>
      <c r="M94" s="5" t="s">
        <v>55</v>
      </c>
      <c r="N94" s="5" t="s">
        <v>60</v>
      </c>
      <c r="O94" s="5" t="s">
        <v>71</v>
      </c>
      <c r="P94" s="5" t="s">
        <v>47</v>
      </c>
      <c r="Q94" s="5" t="s">
        <v>207</v>
      </c>
      <c r="R94" s="5" t="s">
        <v>210</v>
      </c>
      <c r="S94" s="1">
        <v>7</v>
      </c>
      <c r="T94" s="1">
        <v>67</v>
      </c>
      <c r="U94" s="1">
        <v>45</v>
      </c>
      <c r="Z94">
        <f t="shared" si="17"/>
        <v>92</v>
      </c>
      <c r="AA94">
        <f t="shared" si="16"/>
        <v>0</v>
      </c>
    </row>
    <row r="95" spans="1:27" x14ac:dyDescent="0.3">
      <c r="A95" s="43">
        <v>80</v>
      </c>
      <c r="B95" s="4"/>
      <c r="C95" s="6" t="s">
        <v>38</v>
      </c>
      <c r="D95" s="5"/>
      <c r="E95" s="5" t="s">
        <v>69</v>
      </c>
      <c r="F95" s="5" t="s">
        <v>52</v>
      </c>
      <c r="G95" s="5" t="s">
        <v>75</v>
      </c>
      <c r="H95" s="5" t="s">
        <v>58</v>
      </c>
      <c r="I95" s="5" t="s">
        <v>73</v>
      </c>
      <c r="J95" s="5" t="s">
        <v>65</v>
      </c>
      <c r="K95" s="5" t="s">
        <v>53</v>
      </c>
      <c r="L95" s="5" t="s">
        <v>62</v>
      </c>
      <c r="M95" s="5" t="s">
        <v>50</v>
      </c>
      <c r="N95" s="5" t="s">
        <v>60</v>
      </c>
      <c r="O95" s="5" t="s">
        <v>71</v>
      </c>
      <c r="P95" s="5" t="s">
        <v>47</v>
      </c>
      <c r="Q95" s="5" t="s">
        <v>207</v>
      </c>
      <c r="R95" s="5" t="s">
        <v>210</v>
      </c>
      <c r="S95" s="1">
        <v>7</v>
      </c>
      <c r="T95" s="1">
        <v>73</v>
      </c>
      <c r="U95" s="1">
        <v>44</v>
      </c>
      <c r="Z95">
        <f t="shared" si="17"/>
        <v>93</v>
      </c>
      <c r="AA95">
        <f t="shared" si="16"/>
        <v>0</v>
      </c>
    </row>
    <row r="96" spans="1:27" x14ac:dyDescent="0.3">
      <c r="A96" s="43">
        <v>81</v>
      </c>
      <c r="B96" s="4"/>
      <c r="C96" s="6" t="s">
        <v>16</v>
      </c>
      <c r="D96" s="5"/>
      <c r="E96" s="5" t="s">
        <v>69</v>
      </c>
      <c r="F96" s="5" t="s">
        <v>52</v>
      </c>
      <c r="G96" s="5" t="s">
        <v>75</v>
      </c>
      <c r="H96" s="5" t="s">
        <v>58</v>
      </c>
      <c r="I96" s="5" t="s">
        <v>66</v>
      </c>
      <c r="J96" s="5" t="s">
        <v>65</v>
      </c>
      <c r="K96" s="5" t="s">
        <v>72</v>
      </c>
      <c r="L96" s="5" t="s">
        <v>62</v>
      </c>
      <c r="M96" s="5" t="s">
        <v>55</v>
      </c>
      <c r="N96" s="5" t="s">
        <v>51</v>
      </c>
      <c r="O96" s="5" t="s">
        <v>71</v>
      </c>
      <c r="P96" s="5" t="s">
        <v>47</v>
      </c>
      <c r="Q96" s="5" t="s">
        <v>63</v>
      </c>
      <c r="R96" s="5" t="s">
        <v>59</v>
      </c>
      <c r="S96" s="1">
        <v>7</v>
      </c>
      <c r="T96" s="1">
        <v>73</v>
      </c>
      <c r="U96" s="1">
        <v>44</v>
      </c>
      <c r="Z96">
        <f t="shared" si="17"/>
        <v>94</v>
      </c>
      <c r="AA96">
        <f t="shared" si="16"/>
        <v>0</v>
      </c>
    </row>
    <row r="97" spans="1:27" x14ac:dyDescent="0.3">
      <c r="A97" s="43">
        <v>82</v>
      </c>
      <c r="B97" s="4"/>
      <c r="C97" s="6" t="s">
        <v>166</v>
      </c>
      <c r="D97" s="5"/>
      <c r="E97" s="5" t="s">
        <v>69</v>
      </c>
      <c r="F97" s="5" t="s">
        <v>64</v>
      </c>
      <c r="G97" s="5" t="s">
        <v>75</v>
      </c>
      <c r="H97" s="5" t="s">
        <v>68</v>
      </c>
      <c r="I97" s="5" t="s">
        <v>73</v>
      </c>
      <c r="J97" s="5" t="s">
        <v>61</v>
      </c>
      <c r="K97" s="5" t="s">
        <v>72</v>
      </c>
      <c r="L97" s="5" t="s">
        <v>62</v>
      </c>
      <c r="M97" s="5" t="s">
        <v>50</v>
      </c>
      <c r="N97" s="5" t="s">
        <v>51</v>
      </c>
      <c r="O97" s="5" t="s">
        <v>71</v>
      </c>
      <c r="P97" s="5" t="s">
        <v>47</v>
      </c>
      <c r="Q97" s="5" t="s">
        <v>207</v>
      </c>
      <c r="R97" s="5" t="s">
        <v>59</v>
      </c>
      <c r="S97" s="1">
        <v>7</v>
      </c>
      <c r="T97" s="1">
        <v>56</v>
      </c>
      <c r="U97" s="1">
        <v>44</v>
      </c>
      <c r="Z97">
        <f t="shared" si="17"/>
        <v>95</v>
      </c>
      <c r="AA97">
        <f t="shared" si="16"/>
        <v>0</v>
      </c>
    </row>
    <row r="98" spans="1:27" x14ac:dyDescent="0.3">
      <c r="A98" s="43">
        <v>83</v>
      </c>
      <c r="B98" s="4"/>
      <c r="C98" s="6" t="s">
        <v>79</v>
      </c>
      <c r="D98" s="5"/>
      <c r="E98" s="5" t="s">
        <v>70</v>
      </c>
      <c r="F98" s="5" t="s">
        <v>64</v>
      </c>
      <c r="G98" s="5" t="s">
        <v>208</v>
      </c>
      <c r="H98" s="5" t="s">
        <v>58</v>
      </c>
      <c r="I98" s="5" t="s">
        <v>73</v>
      </c>
      <c r="J98" s="5" t="s">
        <v>61</v>
      </c>
      <c r="K98" s="5" t="s">
        <v>53</v>
      </c>
      <c r="L98" s="5" t="s">
        <v>62</v>
      </c>
      <c r="M98" s="5" t="s">
        <v>50</v>
      </c>
      <c r="N98" s="5" t="s">
        <v>60</v>
      </c>
      <c r="O98" s="5" t="s">
        <v>71</v>
      </c>
      <c r="P98" s="5" t="s">
        <v>209</v>
      </c>
      <c r="Q98" s="5" t="s">
        <v>207</v>
      </c>
      <c r="R98" s="5" t="s">
        <v>59</v>
      </c>
      <c r="S98" s="1">
        <v>7</v>
      </c>
      <c r="T98" s="1">
        <v>61</v>
      </c>
      <c r="U98" s="1">
        <v>44</v>
      </c>
      <c r="Z98">
        <f t="shared" si="17"/>
        <v>96</v>
      </c>
      <c r="AA98">
        <f t="shared" si="16"/>
        <v>0</v>
      </c>
    </row>
    <row r="99" spans="1:27" ht="28.8" x14ac:dyDescent="0.3">
      <c r="A99" s="43">
        <v>84</v>
      </c>
      <c r="B99" s="4"/>
      <c r="C99" s="6" t="s">
        <v>41</v>
      </c>
      <c r="D99" s="5"/>
      <c r="E99" s="5" t="s">
        <v>70</v>
      </c>
      <c r="F99" s="5" t="s">
        <v>52</v>
      </c>
      <c r="G99" s="5" t="s">
        <v>75</v>
      </c>
      <c r="H99" s="5" t="s">
        <v>58</v>
      </c>
      <c r="I99" s="5" t="s">
        <v>73</v>
      </c>
      <c r="J99" s="5" t="s">
        <v>65</v>
      </c>
      <c r="K99" s="5" t="s">
        <v>53</v>
      </c>
      <c r="L99" s="5" t="s">
        <v>56</v>
      </c>
      <c r="M99" s="5" t="s">
        <v>50</v>
      </c>
      <c r="N99" s="5" t="s">
        <v>51</v>
      </c>
      <c r="O99" s="5" t="s">
        <v>54</v>
      </c>
      <c r="P99" s="5" t="s">
        <v>47</v>
      </c>
      <c r="Q99" s="5" t="s">
        <v>207</v>
      </c>
      <c r="R99" s="5" t="s">
        <v>59</v>
      </c>
      <c r="S99" s="1">
        <v>7</v>
      </c>
      <c r="T99" s="1">
        <v>66</v>
      </c>
      <c r="U99" s="1">
        <v>44</v>
      </c>
      <c r="Z99">
        <f t="shared" si="17"/>
        <v>97</v>
      </c>
      <c r="AA99">
        <f t="shared" si="16"/>
        <v>0</v>
      </c>
    </row>
    <row r="100" spans="1:27" x14ac:dyDescent="0.3">
      <c r="A100" s="43">
        <v>85</v>
      </c>
      <c r="B100" s="4"/>
      <c r="C100" s="6" t="s">
        <v>199</v>
      </c>
      <c r="D100" s="5"/>
      <c r="E100" s="5" t="s">
        <v>69</v>
      </c>
      <c r="F100" s="5" t="s">
        <v>64</v>
      </c>
      <c r="G100" s="5" t="s">
        <v>208</v>
      </c>
      <c r="H100" s="5" t="s">
        <v>68</v>
      </c>
      <c r="I100" s="5" t="s">
        <v>66</v>
      </c>
      <c r="J100" s="5" t="s">
        <v>61</v>
      </c>
      <c r="K100" s="5" t="s">
        <v>72</v>
      </c>
      <c r="L100" s="5" t="s">
        <v>62</v>
      </c>
      <c r="M100" s="5" t="s">
        <v>50</v>
      </c>
      <c r="N100" s="5" t="s">
        <v>51</v>
      </c>
      <c r="O100" s="5" t="s">
        <v>71</v>
      </c>
      <c r="P100" s="5" t="s">
        <v>209</v>
      </c>
      <c r="Q100" s="5" t="s">
        <v>63</v>
      </c>
      <c r="R100" s="5" t="s">
        <v>59</v>
      </c>
      <c r="S100" s="1">
        <v>7</v>
      </c>
      <c r="T100" s="1">
        <v>61</v>
      </c>
      <c r="U100" s="1">
        <v>44</v>
      </c>
      <c r="Z100">
        <f t="shared" si="17"/>
        <v>98</v>
      </c>
      <c r="AA100">
        <f t="shared" si="16"/>
        <v>0</v>
      </c>
    </row>
    <row r="101" spans="1:27" x14ac:dyDescent="0.3">
      <c r="A101" s="43">
        <v>86</v>
      </c>
      <c r="B101" s="4"/>
      <c r="C101" s="6" t="s">
        <v>173</v>
      </c>
      <c r="D101" s="5"/>
      <c r="E101" s="5" t="s">
        <v>70</v>
      </c>
      <c r="F101" s="5" t="s">
        <v>64</v>
      </c>
      <c r="G101" s="5" t="s">
        <v>208</v>
      </c>
      <c r="H101" s="5" t="s">
        <v>68</v>
      </c>
      <c r="I101" s="5" t="s">
        <v>66</v>
      </c>
      <c r="J101" s="5" t="s">
        <v>65</v>
      </c>
      <c r="K101" s="5" t="s">
        <v>72</v>
      </c>
      <c r="L101" s="5" t="s">
        <v>62</v>
      </c>
      <c r="M101" s="5" t="s">
        <v>50</v>
      </c>
      <c r="N101" s="5" t="s">
        <v>51</v>
      </c>
      <c r="O101" s="5" t="s">
        <v>54</v>
      </c>
      <c r="P101" s="5" t="s">
        <v>209</v>
      </c>
      <c r="Q101" s="5" t="s">
        <v>207</v>
      </c>
      <c r="R101" s="5" t="s">
        <v>59</v>
      </c>
      <c r="S101" s="1">
        <v>7</v>
      </c>
      <c r="T101" s="1">
        <v>67</v>
      </c>
      <c r="U101" s="1">
        <v>44</v>
      </c>
      <c r="Z101">
        <f t="shared" si="17"/>
        <v>99</v>
      </c>
      <c r="AA101">
        <f t="shared" si="16"/>
        <v>0</v>
      </c>
    </row>
    <row r="102" spans="1:27" x14ac:dyDescent="0.3">
      <c r="A102" s="43">
        <v>87</v>
      </c>
      <c r="B102" s="4"/>
      <c r="C102" s="6" t="s">
        <v>13</v>
      </c>
      <c r="D102" s="5"/>
      <c r="E102" s="5" t="s">
        <v>70</v>
      </c>
      <c r="F102" s="5" t="s">
        <v>64</v>
      </c>
      <c r="G102" s="5" t="s">
        <v>75</v>
      </c>
      <c r="H102" s="5" t="s">
        <v>68</v>
      </c>
      <c r="I102" s="5" t="s">
        <v>66</v>
      </c>
      <c r="J102" s="5" t="s">
        <v>65</v>
      </c>
      <c r="K102" s="5" t="s">
        <v>53</v>
      </c>
      <c r="L102" s="5" t="s">
        <v>56</v>
      </c>
      <c r="M102" s="5" t="s">
        <v>55</v>
      </c>
      <c r="N102" s="5" t="s">
        <v>51</v>
      </c>
      <c r="O102" s="5" t="s">
        <v>54</v>
      </c>
      <c r="P102" s="5" t="s">
        <v>47</v>
      </c>
      <c r="Q102" s="5" t="s">
        <v>207</v>
      </c>
      <c r="R102" s="5" t="s">
        <v>59</v>
      </c>
      <c r="S102" s="1">
        <v>7</v>
      </c>
      <c r="T102" s="1">
        <v>71</v>
      </c>
      <c r="U102" s="1">
        <v>44</v>
      </c>
      <c r="Z102">
        <f t="shared" si="17"/>
        <v>100</v>
      </c>
      <c r="AA102">
        <f t="shared" si="16"/>
        <v>0</v>
      </c>
    </row>
    <row r="103" spans="1:27" ht="28.8" x14ac:dyDescent="0.3">
      <c r="A103" s="43">
        <v>88</v>
      </c>
      <c r="B103" s="4"/>
      <c r="C103" s="6" t="s">
        <v>28</v>
      </c>
      <c r="D103" s="5"/>
      <c r="E103" s="5" t="s">
        <v>70</v>
      </c>
      <c r="F103" s="5" t="s">
        <v>52</v>
      </c>
      <c r="G103" s="5" t="s">
        <v>75</v>
      </c>
      <c r="H103" s="5" t="s">
        <v>68</v>
      </c>
      <c r="I103" s="5" t="s">
        <v>73</v>
      </c>
      <c r="J103" s="5" t="s">
        <v>65</v>
      </c>
      <c r="K103" s="5" t="s">
        <v>53</v>
      </c>
      <c r="L103" s="5" t="s">
        <v>62</v>
      </c>
      <c r="M103" s="5" t="s">
        <v>55</v>
      </c>
      <c r="N103" s="5" t="s">
        <v>60</v>
      </c>
      <c r="O103" s="5" t="s">
        <v>54</v>
      </c>
      <c r="P103" s="5" t="s">
        <v>47</v>
      </c>
      <c r="Q103" s="5" t="s">
        <v>207</v>
      </c>
      <c r="R103" s="5" t="s">
        <v>210</v>
      </c>
      <c r="S103" s="1">
        <v>7</v>
      </c>
      <c r="T103" s="1">
        <v>59</v>
      </c>
      <c r="U103" s="1">
        <v>43</v>
      </c>
      <c r="Z103">
        <f t="shared" si="17"/>
        <v>101</v>
      </c>
      <c r="AA103">
        <f t="shared" si="16"/>
        <v>0</v>
      </c>
    </row>
    <row r="104" spans="1:27" x14ac:dyDescent="0.3">
      <c r="A104" s="43">
        <v>89</v>
      </c>
      <c r="B104" s="4"/>
      <c r="C104" s="6" t="s">
        <v>110</v>
      </c>
      <c r="D104" s="5"/>
      <c r="E104" s="5" t="s">
        <v>69</v>
      </c>
      <c r="F104" s="5" t="s">
        <v>64</v>
      </c>
      <c r="G104" s="5" t="s">
        <v>75</v>
      </c>
      <c r="H104" s="5" t="s">
        <v>58</v>
      </c>
      <c r="I104" s="5" t="s">
        <v>73</v>
      </c>
      <c r="J104" s="5" t="s">
        <v>61</v>
      </c>
      <c r="K104" s="5" t="s">
        <v>53</v>
      </c>
      <c r="L104" s="5" t="s">
        <v>56</v>
      </c>
      <c r="M104" s="5" t="s">
        <v>50</v>
      </c>
      <c r="N104" s="5" t="s">
        <v>60</v>
      </c>
      <c r="O104" s="5" t="s">
        <v>71</v>
      </c>
      <c r="P104" s="5" t="s">
        <v>209</v>
      </c>
      <c r="Q104" s="5" t="s">
        <v>207</v>
      </c>
      <c r="R104" s="5" t="s">
        <v>59</v>
      </c>
      <c r="S104" s="1">
        <v>7</v>
      </c>
      <c r="T104" s="1">
        <v>70</v>
      </c>
      <c r="U104" s="1">
        <v>42</v>
      </c>
      <c r="Z104">
        <f t="shared" si="17"/>
        <v>102</v>
      </c>
      <c r="AA104">
        <f t="shared" si="16"/>
        <v>0</v>
      </c>
    </row>
    <row r="105" spans="1:27" x14ac:dyDescent="0.3">
      <c r="A105" s="43">
        <v>90</v>
      </c>
      <c r="B105" s="4"/>
      <c r="C105" s="6" t="s">
        <v>145</v>
      </c>
      <c r="D105" s="5"/>
      <c r="E105" s="5" t="s">
        <v>69</v>
      </c>
      <c r="F105" s="5" t="s">
        <v>64</v>
      </c>
      <c r="G105" s="5" t="s">
        <v>208</v>
      </c>
      <c r="H105" s="5" t="s">
        <v>68</v>
      </c>
      <c r="I105" s="5" t="s">
        <v>66</v>
      </c>
      <c r="J105" s="5" t="s">
        <v>61</v>
      </c>
      <c r="K105" s="5" t="s">
        <v>53</v>
      </c>
      <c r="L105" s="5" t="s">
        <v>56</v>
      </c>
      <c r="M105" s="5" t="s">
        <v>55</v>
      </c>
      <c r="N105" s="5" t="s">
        <v>51</v>
      </c>
      <c r="O105" s="5" t="s">
        <v>54</v>
      </c>
      <c r="P105" s="5" t="s">
        <v>209</v>
      </c>
      <c r="Q105" s="5" t="s">
        <v>63</v>
      </c>
      <c r="R105" s="5" t="s">
        <v>210</v>
      </c>
      <c r="S105" s="1">
        <v>7</v>
      </c>
      <c r="T105" s="1">
        <v>65</v>
      </c>
      <c r="U105" s="1">
        <v>41</v>
      </c>
      <c r="Z105">
        <f t="shared" si="17"/>
        <v>103</v>
      </c>
      <c r="AA105">
        <f t="shared" si="16"/>
        <v>0</v>
      </c>
    </row>
    <row r="106" spans="1:27" ht="28.8" x14ac:dyDescent="0.3">
      <c r="A106" s="43">
        <v>91</v>
      </c>
      <c r="B106" s="4"/>
      <c r="C106" s="6" t="s">
        <v>125</v>
      </c>
      <c r="D106" s="5"/>
      <c r="E106" s="5" t="s">
        <v>70</v>
      </c>
      <c r="F106" s="5" t="s">
        <v>64</v>
      </c>
      <c r="G106" s="5" t="s">
        <v>75</v>
      </c>
      <c r="H106" s="5" t="s">
        <v>58</v>
      </c>
      <c r="I106" s="5" t="s">
        <v>66</v>
      </c>
      <c r="J106" s="5" t="s">
        <v>65</v>
      </c>
      <c r="K106" s="5" t="s">
        <v>53</v>
      </c>
      <c r="L106" s="5" t="s">
        <v>62</v>
      </c>
      <c r="M106" s="5" t="s">
        <v>55</v>
      </c>
      <c r="N106" s="5" t="s">
        <v>60</v>
      </c>
      <c r="O106" s="5" t="s">
        <v>71</v>
      </c>
      <c r="P106" s="5" t="s">
        <v>209</v>
      </c>
      <c r="Q106" s="5" t="s">
        <v>207</v>
      </c>
      <c r="R106" s="5" t="s">
        <v>59</v>
      </c>
      <c r="S106" s="1">
        <v>7</v>
      </c>
      <c r="T106" s="1">
        <v>71</v>
      </c>
      <c r="U106" s="1">
        <v>41</v>
      </c>
      <c r="Z106">
        <f t="shared" si="17"/>
        <v>104</v>
      </c>
      <c r="AA106">
        <f t="shared" si="16"/>
        <v>0</v>
      </c>
    </row>
    <row r="107" spans="1:27" x14ac:dyDescent="0.3">
      <c r="A107" s="43">
        <v>92</v>
      </c>
      <c r="B107" s="4"/>
      <c r="C107" s="6" t="s">
        <v>88</v>
      </c>
      <c r="D107" s="5"/>
      <c r="E107" s="5" t="s">
        <v>70</v>
      </c>
      <c r="F107" s="5" t="s">
        <v>64</v>
      </c>
      <c r="G107" s="5" t="s">
        <v>208</v>
      </c>
      <c r="H107" s="5" t="s">
        <v>58</v>
      </c>
      <c r="I107" s="5" t="s">
        <v>73</v>
      </c>
      <c r="J107" s="5" t="s">
        <v>65</v>
      </c>
      <c r="K107" s="5" t="s">
        <v>53</v>
      </c>
      <c r="L107" s="5" t="s">
        <v>56</v>
      </c>
      <c r="M107" s="5" t="s">
        <v>50</v>
      </c>
      <c r="N107" s="5" t="s">
        <v>60</v>
      </c>
      <c r="O107" s="5" t="s">
        <v>71</v>
      </c>
      <c r="P107" s="5" t="s">
        <v>47</v>
      </c>
      <c r="Q107" s="5" t="s">
        <v>207</v>
      </c>
      <c r="R107" s="5" t="s">
        <v>59</v>
      </c>
      <c r="S107" s="1">
        <v>7</v>
      </c>
      <c r="T107" s="1">
        <v>68</v>
      </c>
      <c r="U107" s="1">
        <v>40</v>
      </c>
      <c r="Z107">
        <f t="shared" si="17"/>
        <v>105</v>
      </c>
      <c r="AA107">
        <f t="shared" si="16"/>
        <v>0</v>
      </c>
    </row>
    <row r="108" spans="1:27" x14ac:dyDescent="0.3">
      <c r="A108" s="43">
        <v>93</v>
      </c>
      <c r="B108" s="4"/>
      <c r="C108" s="6" t="s">
        <v>195</v>
      </c>
      <c r="D108" s="5"/>
      <c r="E108" s="5" t="s">
        <v>69</v>
      </c>
      <c r="F108" s="5" t="s">
        <v>52</v>
      </c>
      <c r="G108" s="5" t="s">
        <v>75</v>
      </c>
      <c r="H108" s="5" t="s">
        <v>68</v>
      </c>
      <c r="I108" s="5" t="s">
        <v>73</v>
      </c>
      <c r="J108" s="5" t="s">
        <v>61</v>
      </c>
      <c r="K108" s="5" t="s">
        <v>53</v>
      </c>
      <c r="L108" s="5" t="s">
        <v>56</v>
      </c>
      <c r="M108" s="5" t="s">
        <v>55</v>
      </c>
      <c r="N108" s="5" t="s">
        <v>60</v>
      </c>
      <c r="O108" s="5" t="s">
        <v>54</v>
      </c>
      <c r="P108" s="5" t="s">
        <v>47</v>
      </c>
      <c r="Q108" s="5" t="s">
        <v>63</v>
      </c>
      <c r="R108" s="5" t="s">
        <v>59</v>
      </c>
      <c r="S108" s="1">
        <v>7</v>
      </c>
      <c r="T108" s="1">
        <v>52</v>
      </c>
      <c r="U108" s="1">
        <v>37</v>
      </c>
      <c r="Z108">
        <f t="shared" si="17"/>
        <v>106</v>
      </c>
      <c r="AA108">
        <f t="shared" si="16"/>
        <v>0</v>
      </c>
    </row>
    <row r="109" spans="1:27" ht="28.8" x14ac:dyDescent="0.3">
      <c r="A109" s="43">
        <v>94</v>
      </c>
      <c r="B109" s="4"/>
      <c r="C109" s="6" t="s">
        <v>6</v>
      </c>
      <c r="D109" s="5"/>
      <c r="E109" s="5" t="s">
        <v>69</v>
      </c>
      <c r="F109" s="5" t="s">
        <v>64</v>
      </c>
      <c r="G109" s="5" t="s">
        <v>75</v>
      </c>
      <c r="H109" s="5" t="s">
        <v>58</v>
      </c>
      <c r="I109" s="5" t="s">
        <v>73</v>
      </c>
      <c r="J109" s="5" t="s">
        <v>65</v>
      </c>
      <c r="K109" s="5" t="s">
        <v>53</v>
      </c>
      <c r="L109" s="5" t="s">
        <v>62</v>
      </c>
      <c r="M109" s="5" t="s">
        <v>55</v>
      </c>
      <c r="N109" s="5" t="s">
        <v>60</v>
      </c>
      <c r="O109" s="5" t="s">
        <v>71</v>
      </c>
      <c r="P109" s="5" t="s">
        <v>47</v>
      </c>
      <c r="Q109" s="5" t="s">
        <v>207</v>
      </c>
      <c r="R109" s="5" t="s">
        <v>210</v>
      </c>
      <c r="S109" s="1">
        <v>7</v>
      </c>
      <c r="T109" s="1">
        <v>62</v>
      </c>
      <c r="U109" s="1">
        <v>31</v>
      </c>
      <c r="Z109">
        <f t="shared" si="17"/>
        <v>107</v>
      </c>
      <c r="AA109">
        <f t="shared" si="16"/>
        <v>0</v>
      </c>
    </row>
    <row r="110" spans="1:27" ht="28.8" x14ac:dyDescent="0.3">
      <c r="A110" s="43">
        <v>95</v>
      </c>
      <c r="B110" s="4"/>
      <c r="C110" s="6" t="s">
        <v>192</v>
      </c>
      <c r="D110" s="5"/>
      <c r="E110" s="5" t="s">
        <v>69</v>
      </c>
      <c r="F110" s="5" t="s">
        <v>52</v>
      </c>
      <c r="G110" s="5" t="s">
        <v>75</v>
      </c>
      <c r="H110" s="5" t="s">
        <v>58</v>
      </c>
      <c r="I110" s="5" t="s">
        <v>66</v>
      </c>
      <c r="J110" s="5" t="s">
        <v>65</v>
      </c>
      <c r="K110" s="5" t="s">
        <v>72</v>
      </c>
      <c r="L110" s="5" t="s">
        <v>56</v>
      </c>
      <c r="M110" s="5" t="s">
        <v>55</v>
      </c>
      <c r="N110" s="5" t="s">
        <v>60</v>
      </c>
      <c r="O110" s="5" t="s">
        <v>71</v>
      </c>
      <c r="P110" s="5" t="s">
        <v>47</v>
      </c>
      <c r="Q110" s="5" t="s">
        <v>207</v>
      </c>
      <c r="R110" s="5" t="s">
        <v>59</v>
      </c>
      <c r="S110" s="1">
        <v>7</v>
      </c>
      <c r="T110" s="1">
        <v>69</v>
      </c>
      <c r="U110" s="1">
        <v>18</v>
      </c>
      <c r="Z110">
        <f t="shared" si="17"/>
        <v>108</v>
      </c>
      <c r="AA110">
        <f t="shared" si="16"/>
        <v>0</v>
      </c>
    </row>
    <row r="111" spans="1:27" x14ac:dyDescent="0.3">
      <c r="A111" s="43">
        <v>96</v>
      </c>
      <c r="B111" s="4"/>
      <c r="C111" s="6" t="s">
        <v>127</v>
      </c>
      <c r="D111" s="5"/>
      <c r="E111" s="5" t="s">
        <v>69</v>
      </c>
      <c r="F111" s="5" t="s">
        <v>64</v>
      </c>
      <c r="G111" s="5" t="s">
        <v>75</v>
      </c>
      <c r="H111" s="5" t="s">
        <v>68</v>
      </c>
      <c r="I111" s="5" t="s">
        <v>66</v>
      </c>
      <c r="J111" s="5" t="s">
        <v>61</v>
      </c>
      <c r="K111" s="5" t="s">
        <v>53</v>
      </c>
      <c r="L111" s="5" t="s">
        <v>62</v>
      </c>
      <c r="M111" s="5" t="s">
        <v>50</v>
      </c>
      <c r="N111" s="5" t="s">
        <v>60</v>
      </c>
      <c r="O111" s="5" t="s">
        <v>71</v>
      </c>
      <c r="P111" s="5" t="s">
        <v>209</v>
      </c>
      <c r="Q111" s="5" t="s">
        <v>63</v>
      </c>
      <c r="R111" s="5" t="s">
        <v>59</v>
      </c>
      <c r="S111" s="1">
        <v>6</v>
      </c>
      <c r="T111" s="1">
        <v>62</v>
      </c>
      <c r="U111" s="1">
        <v>55</v>
      </c>
      <c r="Z111">
        <f t="shared" si="17"/>
        <v>109</v>
      </c>
      <c r="AA111">
        <f t="shared" si="16"/>
        <v>0</v>
      </c>
    </row>
    <row r="112" spans="1:27" ht="28.8" x14ac:dyDescent="0.3">
      <c r="A112" s="43">
        <v>97</v>
      </c>
      <c r="B112" s="4"/>
      <c r="C112" s="6" t="s">
        <v>123</v>
      </c>
      <c r="D112" s="5"/>
      <c r="E112" s="5" t="s">
        <v>69</v>
      </c>
      <c r="F112" s="5" t="s">
        <v>52</v>
      </c>
      <c r="G112" s="5" t="s">
        <v>75</v>
      </c>
      <c r="H112" s="5" t="s">
        <v>58</v>
      </c>
      <c r="I112" s="5" t="s">
        <v>66</v>
      </c>
      <c r="J112" s="5" t="s">
        <v>61</v>
      </c>
      <c r="K112" s="5" t="s">
        <v>72</v>
      </c>
      <c r="L112" s="5" t="s">
        <v>62</v>
      </c>
      <c r="M112" s="5" t="s">
        <v>55</v>
      </c>
      <c r="N112" s="5" t="s">
        <v>60</v>
      </c>
      <c r="O112" s="5" t="s">
        <v>71</v>
      </c>
      <c r="P112" s="5" t="s">
        <v>209</v>
      </c>
      <c r="Q112" s="5" t="s">
        <v>207</v>
      </c>
      <c r="R112" s="5" t="s">
        <v>210</v>
      </c>
      <c r="S112" s="1">
        <v>6</v>
      </c>
      <c r="T112" s="1">
        <v>70</v>
      </c>
      <c r="U112" s="1">
        <v>55</v>
      </c>
      <c r="Z112">
        <f t="shared" si="17"/>
        <v>110</v>
      </c>
      <c r="AA112">
        <f t="shared" si="16"/>
        <v>0</v>
      </c>
    </row>
    <row r="113" spans="1:27" ht="28.8" x14ac:dyDescent="0.3">
      <c r="A113" s="43">
        <v>98</v>
      </c>
      <c r="B113" s="4"/>
      <c r="C113" s="6" t="s">
        <v>122</v>
      </c>
      <c r="D113" s="5"/>
      <c r="E113" s="5" t="s">
        <v>69</v>
      </c>
      <c r="F113" s="5" t="s">
        <v>52</v>
      </c>
      <c r="G113" s="5" t="s">
        <v>75</v>
      </c>
      <c r="H113" s="5" t="s">
        <v>58</v>
      </c>
      <c r="I113" s="5" t="s">
        <v>66</v>
      </c>
      <c r="J113" s="5" t="s">
        <v>61</v>
      </c>
      <c r="K113" s="5" t="s">
        <v>53</v>
      </c>
      <c r="L113" s="5" t="s">
        <v>62</v>
      </c>
      <c r="M113" s="5" t="s">
        <v>55</v>
      </c>
      <c r="N113" s="5" t="s">
        <v>60</v>
      </c>
      <c r="O113" s="5" t="s">
        <v>54</v>
      </c>
      <c r="P113" s="5" t="s">
        <v>47</v>
      </c>
      <c r="Q113" s="5" t="s">
        <v>207</v>
      </c>
      <c r="R113" s="5" t="s">
        <v>59</v>
      </c>
      <c r="S113" s="1">
        <v>6</v>
      </c>
      <c r="T113" s="1">
        <v>59</v>
      </c>
      <c r="U113" s="1">
        <v>51</v>
      </c>
      <c r="Z113">
        <f t="shared" si="17"/>
        <v>111</v>
      </c>
      <c r="AA113">
        <f t="shared" si="16"/>
        <v>0</v>
      </c>
    </row>
    <row r="114" spans="1:27" ht="28.8" x14ac:dyDescent="0.3">
      <c r="A114" s="43">
        <v>99</v>
      </c>
      <c r="B114" s="4"/>
      <c r="C114" s="6" t="s">
        <v>113</v>
      </c>
      <c r="D114" s="5"/>
      <c r="E114" s="5" t="s">
        <v>69</v>
      </c>
      <c r="F114" s="5" t="s">
        <v>64</v>
      </c>
      <c r="G114" s="5" t="s">
        <v>75</v>
      </c>
      <c r="H114" s="5" t="s">
        <v>58</v>
      </c>
      <c r="I114" s="5" t="s">
        <v>73</v>
      </c>
      <c r="J114" s="5" t="s">
        <v>61</v>
      </c>
      <c r="K114" s="5" t="s">
        <v>53</v>
      </c>
      <c r="L114" s="5" t="s">
        <v>62</v>
      </c>
      <c r="M114" s="5" t="s">
        <v>50</v>
      </c>
      <c r="N114" s="5" t="s">
        <v>60</v>
      </c>
      <c r="O114" s="5" t="s">
        <v>71</v>
      </c>
      <c r="P114" s="5" t="s">
        <v>47</v>
      </c>
      <c r="Q114" s="5" t="s">
        <v>207</v>
      </c>
      <c r="R114" s="5" t="s">
        <v>59</v>
      </c>
      <c r="S114" s="1">
        <v>6</v>
      </c>
      <c r="T114" s="1">
        <v>72</v>
      </c>
      <c r="U114" s="1">
        <v>51</v>
      </c>
      <c r="Z114">
        <f t="shared" si="17"/>
        <v>112</v>
      </c>
      <c r="AA114">
        <f t="shared" si="16"/>
        <v>0</v>
      </c>
    </row>
    <row r="115" spans="1:27" ht="28.8" x14ac:dyDescent="0.3">
      <c r="A115" s="43">
        <v>100</v>
      </c>
      <c r="B115" s="4"/>
      <c r="C115" s="6" t="s">
        <v>172</v>
      </c>
      <c r="D115" s="5"/>
      <c r="E115" s="5" t="s">
        <v>70</v>
      </c>
      <c r="F115" s="5" t="s">
        <v>64</v>
      </c>
      <c r="G115" s="5" t="s">
        <v>75</v>
      </c>
      <c r="H115" s="5" t="s">
        <v>68</v>
      </c>
      <c r="I115" s="5" t="s">
        <v>66</v>
      </c>
      <c r="J115" s="5" t="s">
        <v>61</v>
      </c>
      <c r="K115" s="5" t="s">
        <v>53</v>
      </c>
      <c r="L115" s="5" t="s">
        <v>62</v>
      </c>
      <c r="M115" s="5" t="s">
        <v>50</v>
      </c>
      <c r="N115" s="5" t="s">
        <v>60</v>
      </c>
      <c r="O115" s="5" t="s">
        <v>71</v>
      </c>
      <c r="P115" s="5" t="s">
        <v>209</v>
      </c>
      <c r="Q115" s="5" t="s">
        <v>207</v>
      </c>
      <c r="R115" s="5" t="s">
        <v>59</v>
      </c>
      <c r="S115" s="1">
        <v>6</v>
      </c>
      <c r="T115" s="1">
        <v>65</v>
      </c>
      <c r="U115" s="1">
        <v>51</v>
      </c>
      <c r="Z115">
        <f t="shared" si="17"/>
        <v>113</v>
      </c>
      <c r="AA115">
        <f t="shared" si="16"/>
        <v>0</v>
      </c>
    </row>
    <row r="116" spans="1:27" ht="28.8" x14ac:dyDescent="0.3">
      <c r="A116" s="43">
        <v>101</v>
      </c>
      <c r="B116" s="4"/>
      <c r="C116" s="6" t="s">
        <v>10</v>
      </c>
      <c r="D116" s="5"/>
      <c r="E116" s="5" t="s">
        <v>69</v>
      </c>
      <c r="F116" s="5" t="s">
        <v>64</v>
      </c>
      <c r="G116" s="5" t="s">
        <v>75</v>
      </c>
      <c r="H116" s="5" t="s">
        <v>68</v>
      </c>
      <c r="I116" s="5" t="s">
        <v>66</v>
      </c>
      <c r="J116" s="5" t="s">
        <v>61</v>
      </c>
      <c r="K116" s="5" t="s">
        <v>53</v>
      </c>
      <c r="L116" s="5" t="s">
        <v>56</v>
      </c>
      <c r="M116" s="5" t="s">
        <v>55</v>
      </c>
      <c r="N116" s="5" t="s">
        <v>51</v>
      </c>
      <c r="O116" s="5" t="s">
        <v>54</v>
      </c>
      <c r="P116" s="5" t="s">
        <v>47</v>
      </c>
      <c r="Q116" s="5" t="s">
        <v>63</v>
      </c>
      <c r="R116" s="5" t="s">
        <v>59</v>
      </c>
      <c r="S116" s="1">
        <v>6</v>
      </c>
      <c r="T116" s="1">
        <v>65</v>
      </c>
      <c r="U116" s="1">
        <v>50</v>
      </c>
      <c r="Z116">
        <f t="shared" si="17"/>
        <v>114</v>
      </c>
      <c r="AA116">
        <f t="shared" si="16"/>
        <v>0</v>
      </c>
    </row>
    <row r="117" spans="1:27" x14ac:dyDescent="0.3">
      <c r="A117" s="43">
        <v>102</v>
      </c>
      <c r="B117" s="4"/>
      <c r="C117" s="6" t="s">
        <v>83</v>
      </c>
      <c r="D117" s="5"/>
      <c r="E117" s="5" t="s">
        <v>70</v>
      </c>
      <c r="F117" s="5" t="s">
        <v>64</v>
      </c>
      <c r="G117" s="5" t="s">
        <v>75</v>
      </c>
      <c r="H117" s="5" t="s">
        <v>58</v>
      </c>
      <c r="I117" s="5" t="s">
        <v>66</v>
      </c>
      <c r="J117" s="5" t="s">
        <v>65</v>
      </c>
      <c r="K117" s="5" t="s">
        <v>53</v>
      </c>
      <c r="L117" s="5" t="s">
        <v>56</v>
      </c>
      <c r="M117" s="5" t="s">
        <v>50</v>
      </c>
      <c r="N117" s="5" t="s">
        <v>60</v>
      </c>
      <c r="O117" s="5" t="s">
        <v>71</v>
      </c>
      <c r="P117" s="5" t="s">
        <v>209</v>
      </c>
      <c r="Q117" s="5" t="s">
        <v>207</v>
      </c>
      <c r="R117" s="5" t="s">
        <v>59</v>
      </c>
      <c r="S117" s="1">
        <v>6</v>
      </c>
      <c r="T117" s="1">
        <v>71</v>
      </c>
      <c r="U117" s="1">
        <v>50</v>
      </c>
      <c r="Z117">
        <f t="shared" si="17"/>
        <v>115</v>
      </c>
      <c r="AA117">
        <f t="shared" si="16"/>
        <v>0</v>
      </c>
    </row>
    <row r="118" spans="1:27" ht="43.2" x14ac:dyDescent="0.3">
      <c r="A118" s="43">
        <v>103</v>
      </c>
      <c r="B118" s="4"/>
      <c r="C118" s="6" t="s">
        <v>132</v>
      </c>
      <c r="D118" s="5"/>
      <c r="E118" s="5" t="s">
        <v>69</v>
      </c>
      <c r="F118" s="5" t="s">
        <v>52</v>
      </c>
      <c r="G118" s="5" t="s">
        <v>75</v>
      </c>
      <c r="H118" s="5" t="s">
        <v>68</v>
      </c>
      <c r="I118" s="5" t="s">
        <v>73</v>
      </c>
      <c r="J118" s="5" t="s">
        <v>61</v>
      </c>
      <c r="K118" s="5" t="s">
        <v>72</v>
      </c>
      <c r="L118" s="5" t="s">
        <v>62</v>
      </c>
      <c r="M118" s="5" t="s">
        <v>55</v>
      </c>
      <c r="N118" s="5" t="s">
        <v>60</v>
      </c>
      <c r="O118" s="5" t="s">
        <v>54</v>
      </c>
      <c r="P118" s="5" t="s">
        <v>47</v>
      </c>
      <c r="Q118" s="5" t="s">
        <v>207</v>
      </c>
      <c r="R118" s="5" t="s">
        <v>210</v>
      </c>
      <c r="S118" s="1">
        <v>6</v>
      </c>
      <c r="T118" s="1">
        <v>65</v>
      </c>
      <c r="U118" s="1">
        <v>49</v>
      </c>
      <c r="Z118">
        <f t="shared" si="17"/>
        <v>116</v>
      </c>
      <c r="AA118">
        <f t="shared" si="16"/>
        <v>0</v>
      </c>
    </row>
    <row r="119" spans="1:27" x14ac:dyDescent="0.3">
      <c r="A119" s="43">
        <v>104</v>
      </c>
      <c r="B119" s="4"/>
      <c r="C119" s="6" t="s">
        <v>168</v>
      </c>
      <c r="D119" s="5"/>
      <c r="E119" s="5" t="s">
        <v>69</v>
      </c>
      <c r="F119" s="5" t="s">
        <v>64</v>
      </c>
      <c r="G119" s="5" t="s">
        <v>208</v>
      </c>
      <c r="H119" s="5" t="s">
        <v>58</v>
      </c>
      <c r="I119" s="5" t="s">
        <v>66</v>
      </c>
      <c r="J119" s="5" t="s">
        <v>65</v>
      </c>
      <c r="K119" s="5" t="s">
        <v>53</v>
      </c>
      <c r="L119" s="5" t="s">
        <v>56</v>
      </c>
      <c r="M119" s="5" t="s">
        <v>50</v>
      </c>
      <c r="N119" s="5" t="s">
        <v>51</v>
      </c>
      <c r="O119" s="5" t="s">
        <v>54</v>
      </c>
      <c r="P119" s="5" t="s">
        <v>47</v>
      </c>
      <c r="Q119" s="5" t="s">
        <v>63</v>
      </c>
      <c r="R119" s="5" t="s">
        <v>59</v>
      </c>
      <c r="S119" s="1">
        <v>6</v>
      </c>
      <c r="T119" s="1">
        <v>68</v>
      </c>
      <c r="U119" s="1">
        <v>48</v>
      </c>
      <c r="Z119">
        <f t="shared" si="17"/>
        <v>117</v>
      </c>
      <c r="AA119">
        <f t="shared" si="16"/>
        <v>0</v>
      </c>
    </row>
    <row r="120" spans="1:27" x14ac:dyDescent="0.3">
      <c r="A120" s="43">
        <v>105</v>
      </c>
      <c r="B120" s="4"/>
      <c r="C120" s="6" t="s">
        <v>84</v>
      </c>
      <c r="D120" s="5"/>
      <c r="E120" s="5" t="s">
        <v>69</v>
      </c>
      <c r="F120" s="5" t="s">
        <v>52</v>
      </c>
      <c r="G120" s="5" t="s">
        <v>75</v>
      </c>
      <c r="H120" s="5" t="s">
        <v>68</v>
      </c>
      <c r="I120" s="5" t="s">
        <v>73</v>
      </c>
      <c r="J120" s="5" t="s">
        <v>61</v>
      </c>
      <c r="K120" s="5" t="s">
        <v>53</v>
      </c>
      <c r="L120" s="5" t="s">
        <v>56</v>
      </c>
      <c r="M120" s="5" t="s">
        <v>55</v>
      </c>
      <c r="N120" s="5" t="s">
        <v>60</v>
      </c>
      <c r="O120" s="5" t="s">
        <v>54</v>
      </c>
      <c r="P120" s="5" t="s">
        <v>47</v>
      </c>
      <c r="Q120" s="5" t="s">
        <v>63</v>
      </c>
      <c r="R120" s="5" t="s">
        <v>210</v>
      </c>
      <c r="S120" s="1">
        <v>6</v>
      </c>
      <c r="T120" s="1">
        <v>65</v>
      </c>
      <c r="U120" s="1">
        <v>48</v>
      </c>
      <c r="Z120">
        <f t="shared" si="17"/>
        <v>118</v>
      </c>
      <c r="AA120">
        <f t="shared" si="16"/>
        <v>0</v>
      </c>
    </row>
    <row r="121" spans="1:27" ht="28.8" x14ac:dyDescent="0.3">
      <c r="A121" s="43">
        <v>106</v>
      </c>
      <c r="B121" s="4"/>
      <c r="C121" s="6" t="s">
        <v>107</v>
      </c>
      <c r="D121" s="5"/>
      <c r="E121" s="5" t="s">
        <v>69</v>
      </c>
      <c r="F121" s="5" t="s">
        <v>64</v>
      </c>
      <c r="G121" s="5" t="s">
        <v>75</v>
      </c>
      <c r="H121" s="5" t="s">
        <v>58</v>
      </c>
      <c r="I121" s="5" t="s">
        <v>66</v>
      </c>
      <c r="J121" s="5" t="s">
        <v>65</v>
      </c>
      <c r="K121" s="5" t="s">
        <v>53</v>
      </c>
      <c r="L121" s="5" t="s">
        <v>56</v>
      </c>
      <c r="M121" s="5" t="s">
        <v>50</v>
      </c>
      <c r="N121" s="5" t="s">
        <v>60</v>
      </c>
      <c r="O121" s="5" t="s">
        <v>71</v>
      </c>
      <c r="P121" s="5" t="s">
        <v>209</v>
      </c>
      <c r="Q121" s="5" t="s">
        <v>207</v>
      </c>
      <c r="R121" s="5" t="s">
        <v>210</v>
      </c>
      <c r="S121" s="1">
        <v>6</v>
      </c>
      <c r="T121" s="1">
        <v>65</v>
      </c>
      <c r="U121" s="1">
        <v>48</v>
      </c>
    </row>
    <row r="122" spans="1:27" x14ac:dyDescent="0.3">
      <c r="A122" s="43">
        <v>107</v>
      </c>
      <c r="B122" s="4"/>
      <c r="C122" s="6" t="s">
        <v>130</v>
      </c>
      <c r="D122" s="5"/>
      <c r="E122" s="5" t="s">
        <v>69</v>
      </c>
      <c r="F122" s="5" t="s">
        <v>52</v>
      </c>
      <c r="G122" s="5" t="s">
        <v>75</v>
      </c>
      <c r="H122" s="5" t="s">
        <v>58</v>
      </c>
      <c r="I122" s="5" t="s">
        <v>66</v>
      </c>
      <c r="J122" s="5" t="s">
        <v>61</v>
      </c>
      <c r="K122" s="5" t="s">
        <v>53</v>
      </c>
      <c r="L122" s="5" t="s">
        <v>56</v>
      </c>
      <c r="M122" s="5" t="s">
        <v>55</v>
      </c>
      <c r="N122" s="5" t="s">
        <v>51</v>
      </c>
      <c r="O122" s="5" t="s">
        <v>54</v>
      </c>
      <c r="P122" s="5" t="s">
        <v>209</v>
      </c>
      <c r="Q122" s="5" t="s">
        <v>63</v>
      </c>
      <c r="R122" s="5" t="s">
        <v>210</v>
      </c>
      <c r="S122" s="1">
        <v>6</v>
      </c>
      <c r="T122" s="1">
        <v>67</v>
      </c>
      <c r="U122" s="1">
        <v>47</v>
      </c>
    </row>
    <row r="123" spans="1:27" x14ac:dyDescent="0.3">
      <c r="A123" s="43">
        <v>108</v>
      </c>
      <c r="B123" s="4"/>
      <c r="C123" s="6" t="s">
        <v>40</v>
      </c>
      <c r="D123" s="5"/>
      <c r="E123" s="5" t="s">
        <v>70</v>
      </c>
      <c r="F123" s="5" t="s">
        <v>64</v>
      </c>
      <c r="G123" s="5" t="s">
        <v>75</v>
      </c>
      <c r="H123" s="5" t="s">
        <v>58</v>
      </c>
      <c r="I123" s="5" t="s">
        <v>73</v>
      </c>
      <c r="J123" s="5" t="s">
        <v>61</v>
      </c>
      <c r="K123" s="5" t="s">
        <v>53</v>
      </c>
      <c r="L123" s="5" t="s">
        <v>56</v>
      </c>
      <c r="M123" s="5" t="s">
        <v>50</v>
      </c>
      <c r="N123" s="5" t="s">
        <v>60</v>
      </c>
      <c r="O123" s="5" t="s">
        <v>71</v>
      </c>
      <c r="P123" s="5" t="s">
        <v>209</v>
      </c>
      <c r="Q123" s="5" t="s">
        <v>207</v>
      </c>
      <c r="R123" s="5" t="s">
        <v>59</v>
      </c>
      <c r="S123" s="1">
        <v>6</v>
      </c>
      <c r="T123" s="1">
        <v>68</v>
      </c>
      <c r="U123" s="1">
        <v>47</v>
      </c>
    </row>
    <row r="124" spans="1:27" x14ac:dyDescent="0.3">
      <c r="A124" s="43">
        <v>109</v>
      </c>
      <c r="B124" s="4"/>
      <c r="C124" s="6" t="s">
        <v>178</v>
      </c>
      <c r="D124" s="5"/>
      <c r="E124" s="5" t="s">
        <v>70</v>
      </c>
      <c r="F124" s="5" t="s">
        <v>52</v>
      </c>
      <c r="G124" s="5" t="s">
        <v>75</v>
      </c>
      <c r="H124" s="5" t="s">
        <v>58</v>
      </c>
      <c r="I124" s="5" t="s">
        <v>73</v>
      </c>
      <c r="J124" s="5" t="s">
        <v>61</v>
      </c>
      <c r="K124" s="5" t="s">
        <v>53</v>
      </c>
      <c r="L124" s="5" t="s">
        <v>62</v>
      </c>
      <c r="M124" s="5" t="s">
        <v>50</v>
      </c>
      <c r="N124" s="5" t="s">
        <v>60</v>
      </c>
      <c r="O124" s="5" t="s">
        <v>71</v>
      </c>
      <c r="P124" s="5" t="s">
        <v>47</v>
      </c>
      <c r="Q124" s="5" t="s">
        <v>207</v>
      </c>
      <c r="R124" s="5" t="s">
        <v>59</v>
      </c>
      <c r="S124" s="1">
        <v>6</v>
      </c>
      <c r="T124" s="1">
        <v>65</v>
      </c>
      <c r="U124" s="1">
        <v>47</v>
      </c>
    </row>
    <row r="125" spans="1:27" x14ac:dyDescent="0.3">
      <c r="A125" s="43">
        <v>110</v>
      </c>
      <c r="B125" s="4"/>
      <c r="C125" s="6" t="s">
        <v>93</v>
      </c>
      <c r="D125" s="5"/>
      <c r="E125" s="5" t="s">
        <v>69</v>
      </c>
      <c r="F125" s="5" t="s">
        <v>52</v>
      </c>
      <c r="G125" s="5" t="s">
        <v>75</v>
      </c>
      <c r="H125" s="5" t="s">
        <v>58</v>
      </c>
      <c r="I125" s="5" t="s">
        <v>73</v>
      </c>
      <c r="J125" s="5" t="s">
        <v>61</v>
      </c>
      <c r="K125" s="5" t="s">
        <v>53</v>
      </c>
      <c r="L125" s="5" t="s">
        <v>62</v>
      </c>
      <c r="M125" s="5" t="s">
        <v>50</v>
      </c>
      <c r="N125" s="5" t="s">
        <v>60</v>
      </c>
      <c r="O125" s="5" t="s">
        <v>54</v>
      </c>
      <c r="P125" s="5" t="s">
        <v>209</v>
      </c>
      <c r="Q125" s="5" t="s">
        <v>207</v>
      </c>
      <c r="R125" s="5" t="s">
        <v>210</v>
      </c>
      <c r="S125" s="1">
        <v>6</v>
      </c>
      <c r="T125" s="1">
        <v>69</v>
      </c>
      <c r="U125" s="1">
        <v>47</v>
      </c>
    </row>
    <row r="126" spans="1:27" x14ac:dyDescent="0.3">
      <c r="A126" s="43">
        <v>111</v>
      </c>
      <c r="B126" s="4"/>
      <c r="C126" s="6" t="s">
        <v>43</v>
      </c>
      <c r="D126" s="5"/>
      <c r="E126" s="5" t="s">
        <v>69</v>
      </c>
      <c r="F126" s="5" t="s">
        <v>52</v>
      </c>
      <c r="G126" s="5" t="s">
        <v>75</v>
      </c>
      <c r="H126" s="5" t="s">
        <v>58</v>
      </c>
      <c r="I126" s="5" t="s">
        <v>73</v>
      </c>
      <c r="J126" s="5" t="s">
        <v>61</v>
      </c>
      <c r="K126" s="5" t="s">
        <v>53</v>
      </c>
      <c r="L126" s="5" t="s">
        <v>56</v>
      </c>
      <c r="M126" s="5" t="s">
        <v>50</v>
      </c>
      <c r="N126" s="5" t="s">
        <v>60</v>
      </c>
      <c r="O126" s="5" t="s">
        <v>54</v>
      </c>
      <c r="P126" s="5" t="s">
        <v>209</v>
      </c>
      <c r="Q126" s="5" t="s">
        <v>63</v>
      </c>
      <c r="R126" s="5" t="s">
        <v>59</v>
      </c>
      <c r="S126" s="1">
        <v>6</v>
      </c>
      <c r="T126" s="1">
        <v>63</v>
      </c>
      <c r="U126" s="1">
        <v>47</v>
      </c>
    </row>
    <row r="127" spans="1:27" ht="28.8" x14ac:dyDescent="0.3">
      <c r="A127" s="43">
        <v>112</v>
      </c>
      <c r="B127" s="4"/>
      <c r="C127" s="6" t="s">
        <v>87</v>
      </c>
      <c r="D127" s="5"/>
      <c r="E127" s="5" t="s">
        <v>70</v>
      </c>
      <c r="F127" s="5" t="s">
        <v>52</v>
      </c>
      <c r="G127" s="5" t="s">
        <v>75</v>
      </c>
      <c r="H127" s="5" t="s">
        <v>58</v>
      </c>
      <c r="I127" s="5" t="s">
        <v>66</v>
      </c>
      <c r="J127" s="5" t="s">
        <v>61</v>
      </c>
      <c r="K127" s="5" t="s">
        <v>72</v>
      </c>
      <c r="L127" s="5" t="s">
        <v>56</v>
      </c>
      <c r="M127" s="5" t="s">
        <v>50</v>
      </c>
      <c r="N127" s="5" t="s">
        <v>51</v>
      </c>
      <c r="O127" s="5" t="s">
        <v>71</v>
      </c>
      <c r="P127" s="5" t="s">
        <v>209</v>
      </c>
      <c r="Q127" s="5" t="s">
        <v>207</v>
      </c>
      <c r="R127" s="5" t="s">
        <v>59</v>
      </c>
      <c r="S127" s="1">
        <v>6</v>
      </c>
      <c r="T127" s="1">
        <v>56</v>
      </c>
      <c r="U127" s="1">
        <v>46</v>
      </c>
    </row>
    <row r="128" spans="1:27" x14ac:dyDescent="0.3">
      <c r="A128" s="43">
        <v>113</v>
      </c>
      <c r="B128" s="4"/>
      <c r="C128" s="6" t="s">
        <v>7</v>
      </c>
      <c r="D128" s="5"/>
      <c r="E128" s="5" t="s">
        <v>69</v>
      </c>
      <c r="F128" s="5" t="s">
        <v>64</v>
      </c>
      <c r="G128" s="5" t="s">
        <v>75</v>
      </c>
      <c r="H128" s="5" t="s">
        <v>58</v>
      </c>
      <c r="I128" s="5" t="s">
        <v>73</v>
      </c>
      <c r="J128" s="5" t="s">
        <v>65</v>
      </c>
      <c r="K128" s="5" t="s">
        <v>53</v>
      </c>
      <c r="L128" s="5" t="s">
        <v>56</v>
      </c>
      <c r="M128" s="5" t="s">
        <v>50</v>
      </c>
      <c r="N128" s="5" t="s">
        <v>60</v>
      </c>
      <c r="O128" s="5" t="s">
        <v>71</v>
      </c>
      <c r="P128" s="5" t="s">
        <v>47</v>
      </c>
      <c r="Q128" s="5" t="s">
        <v>207</v>
      </c>
      <c r="R128" s="5" t="s">
        <v>210</v>
      </c>
      <c r="S128" s="1">
        <v>6</v>
      </c>
      <c r="T128" s="1">
        <v>56</v>
      </c>
      <c r="U128" s="1">
        <v>45</v>
      </c>
    </row>
    <row r="129" spans="1:21" ht="28.8" x14ac:dyDescent="0.3">
      <c r="A129" s="43">
        <v>114</v>
      </c>
      <c r="B129" s="4"/>
      <c r="C129" s="6" t="s">
        <v>159</v>
      </c>
      <c r="D129" s="5"/>
      <c r="E129" s="5" t="s">
        <v>70</v>
      </c>
      <c r="F129" s="5" t="s">
        <v>52</v>
      </c>
      <c r="G129" s="5" t="s">
        <v>208</v>
      </c>
      <c r="H129" s="5" t="s">
        <v>58</v>
      </c>
      <c r="I129" s="5" t="s">
        <v>73</v>
      </c>
      <c r="J129" s="5" t="s">
        <v>61</v>
      </c>
      <c r="K129" s="5" t="s">
        <v>53</v>
      </c>
      <c r="L129" s="5" t="s">
        <v>56</v>
      </c>
      <c r="M129" s="5" t="s">
        <v>55</v>
      </c>
      <c r="N129" s="5" t="s">
        <v>60</v>
      </c>
      <c r="O129" s="5" t="s">
        <v>54</v>
      </c>
      <c r="P129" s="5" t="s">
        <v>47</v>
      </c>
      <c r="Q129" s="5" t="s">
        <v>207</v>
      </c>
      <c r="R129" s="5" t="s">
        <v>210</v>
      </c>
      <c r="S129" s="1">
        <v>6</v>
      </c>
      <c r="T129" s="1">
        <v>57</v>
      </c>
      <c r="U129" s="1">
        <v>45</v>
      </c>
    </row>
    <row r="130" spans="1:21" ht="28.8" x14ac:dyDescent="0.3">
      <c r="A130" s="43">
        <v>115</v>
      </c>
      <c r="B130" s="4"/>
      <c r="C130" s="6" t="s">
        <v>148</v>
      </c>
      <c r="D130" s="5"/>
      <c r="E130" s="5" t="s">
        <v>70</v>
      </c>
      <c r="F130" s="5" t="s">
        <v>64</v>
      </c>
      <c r="G130" s="5" t="s">
        <v>75</v>
      </c>
      <c r="H130" s="5" t="s">
        <v>68</v>
      </c>
      <c r="I130" s="5" t="s">
        <v>73</v>
      </c>
      <c r="J130" s="5" t="s">
        <v>61</v>
      </c>
      <c r="K130" s="5" t="s">
        <v>53</v>
      </c>
      <c r="L130" s="5" t="s">
        <v>62</v>
      </c>
      <c r="M130" s="5" t="s">
        <v>55</v>
      </c>
      <c r="N130" s="5" t="s">
        <v>60</v>
      </c>
      <c r="O130" s="5" t="s">
        <v>71</v>
      </c>
      <c r="P130" s="5" t="s">
        <v>47</v>
      </c>
      <c r="Q130" s="5" t="s">
        <v>207</v>
      </c>
      <c r="R130" s="5" t="s">
        <v>210</v>
      </c>
      <c r="S130" s="1">
        <v>6</v>
      </c>
      <c r="T130" s="1">
        <v>67</v>
      </c>
      <c r="U130" s="1">
        <v>45</v>
      </c>
    </row>
    <row r="131" spans="1:21" x14ac:dyDescent="0.3">
      <c r="A131" s="43">
        <v>116</v>
      </c>
      <c r="B131" s="4"/>
      <c r="C131" s="6" t="s">
        <v>91</v>
      </c>
      <c r="D131" s="5"/>
      <c r="E131" s="5" t="s">
        <v>69</v>
      </c>
      <c r="F131" s="5" t="s">
        <v>64</v>
      </c>
      <c r="G131" s="5" t="s">
        <v>208</v>
      </c>
      <c r="H131" s="5" t="s">
        <v>58</v>
      </c>
      <c r="I131" s="5" t="s">
        <v>66</v>
      </c>
      <c r="J131" s="5" t="s">
        <v>61</v>
      </c>
      <c r="K131" s="5" t="s">
        <v>72</v>
      </c>
      <c r="L131" s="5" t="s">
        <v>62</v>
      </c>
      <c r="M131" s="5" t="s">
        <v>55</v>
      </c>
      <c r="N131" s="5" t="s">
        <v>51</v>
      </c>
      <c r="O131" s="5" t="s">
        <v>54</v>
      </c>
      <c r="P131" s="5" t="s">
        <v>47</v>
      </c>
      <c r="Q131" s="5" t="s">
        <v>207</v>
      </c>
      <c r="R131" s="5" t="s">
        <v>59</v>
      </c>
      <c r="S131" s="1">
        <v>6</v>
      </c>
      <c r="T131" s="1">
        <v>65</v>
      </c>
      <c r="U131" s="1">
        <v>45</v>
      </c>
    </row>
    <row r="132" spans="1:21" ht="28.8" x14ac:dyDescent="0.3">
      <c r="A132" s="43">
        <v>117</v>
      </c>
      <c r="B132" s="4"/>
      <c r="C132" s="6" t="s">
        <v>89</v>
      </c>
      <c r="D132" s="5"/>
      <c r="E132" s="5" t="s">
        <v>69</v>
      </c>
      <c r="F132" s="5" t="s">
        <v>52</v>
      </c>
      <c r="G132" s="5" t="s">
        <v>75</v>
      </c>
      <c r="H132" s="5" t="s">
        <v>58</v>
      </c>
      <c r="I132" s="5" t="s">
        <v>73</v>
      </c>
      <c r="J132" s="5" t="s">
        <v>61</v>
      </c>
      <c r="K132" s="5" t="s">
        <v>72</v>
      </c>
      <c r="L132" s="5" t="s">
        <v>56</v>
      </c>
      <c r="M132" s="5" t="s">
        <v>55</v>
      </c>
      <c r="N132" s="5" t="s">
        <v>60</v>
      </c>
      <c r="O132" s="5" t="s">
        <v>71</v>
      </c>
      <c r="P132" s="5" t="s">
        <v>47</v>
      </c>
      <c r="Q132" s="5" t="s">
        <v>63</v>
      </c>
      <c r="R132" s="5" t="s">
        <v>59</v>
      </c>
      <c r="S132" s="1">
        <v>6</v>
      </c>
      <c r="T132" s="1">
        <v>69</v>
      </c>
      <c r="U132" s="1">
        <v>45</v>
      </c>
    </row>
    <row r="133" spans="1:21" x14ac:dyDescent="0.3">
      <c r="A133" s="43">
        <v>118</v>
      </c>
      <c r="B133" s="4"/>
      <c r="C133" s="6" t="s">
        <v>31</v>
      </c>
      <c r="D133" s="5"/>
      <c r="E133" s="5" t="s">
        <v>69</v>
      </c>
      <c r="F133" s="5" t="s">
        <v>52</v>
      </c>
      <c r="G133" s="5" t="s">
        <v>75</v>
      </c>
      <c r="H133" s="5" t="s">
        <v>58</v>
      </c>
      <c r="I133" s="5" t="s">
        <v>73</v>
      </c>
      <c r="J133" s="5" t="s">
        <v>61</v>
      </c>
      <c r="K133" s="5" t="s">
        <v>53</v>
      </c>
      <c r="L133" s="5" t="s">
        <v>62</v>
      </c>
      <c r="M133" s="5" t="s">
        <v>55</v>
      </c>
      <c r="N133" s="5" t="s">
        <v>60</v>
      </c>
      <c r="O133" s="5" t="s">
        <v>71</v>
      </c>
      <c r="P133" s="5" t="s">
        <v>47</v>
      </c>
      <c r="Q133" s="5" t="s">
        <v>63</v>
      </c>
      <c r="R133" s="5" t="s">
        <v>210</v>
      </c>
      <c r="S133" s="1">
        <v>6</v>
      </c>
      <c r="T133" s="1">
        <v>62</v>
      </c>
      <c r="U133" s="1">
        <v>44</v>
      </c>
    </row>
    <row r="134" spans="1:21" x14ac:dyDescent="0.3">
      <c r="A134" s="43">
        <v>119</v>
      </c>
      <c r="B134" s="4"/>
      <c r="C134" s="6" t="s">
        <v>37</v>
      </c>
      <c r="D134" s="5"/>
      <c r="E134" s="5" t="s">
        <v>69</v>
      </c>
      <c r="F134" s="5" t="s">
        <v>64</v>
      </c>
      <c r="G134" s="5" t="s">
        <v>75</v>
      </c>
      <c r="H134" s="5" t="s">
        <v>58</v>
      </c>
      <c r="I134" s="5" t="s">
        <v>73</v>
      </c>
      <c r="J134" s="5" t="s">
        <v>65</v>
      </c>
      <c r="K134" s="5" t="s">
        <v>53</v>
      </c>
      <c r="L134" s="5" t="s">
        <v>56</v>
      </c>
      <c r="M134" s="5" t="s">
        <v>50</v>
      </c>
      <c r="N134" s="5" t="s">
        <v>60</v>
      </c>
      <c r="O134" s="5" t="s">
        <v>54</v>
      </c>
      <c r="P134" s="5" t="s">
        <v>47</v>
      </c>
      <c r="Q134" s="5" t="s">
        <v>207</v>
      </c>
      <c r="R134" s="5" t="s">
        <v>59</v>
      </c>
      <c r="S134" s="1">
        <v>6</v>
      </c>
      <c r="T134" s="1">
        <v>65</v>
      </c>
      <c r="U134" s="1">
        <v>44</v>
      </c>
    </row>
    <row r="135" spans="1:21" ht="28.8" x14ac:dyDescent="0.3">
      <c r="A135" s="43">
        <v>120</v>
      </c>
      <c r="B135" s="4"/>
      <c r="C135" s="6" t="s">
        <v>164</v>
      </c>
      <c r="D135" s="5"/>
      <c r="E135" s="5" t="s">
        <v>70</v>
      </c>
      <c r="F135" s="5" t="s">
        <v>64</v>
      </c>
      <c r="G135" s="5" t="s">
        <v>208</v>
      </c>
      <c r="H135" s="5" t="s">
        <v>58</v>
      </c>
      <c r="I135" s="5" t="s">
        <v>66</v>
      </c>
      <c r="J135" s="5" t="s">
        <v>65</v>
      </c>
      <c r="K135" s="5" t="s">
        <v>72</v>
      </c>
      <c r="L135" s="5" t="s">
        <v>56</v>
      </c>
      <c r="M135" s="5" t="s">
        <v>55</v>
      </c>
      <c r="N135" s="5" t="s">
        <v>60</v>
      </c>
      <c r="O135" s="5" t="s">
        <v>71</v>
      </c>
      <c r="P135" s="5" t="s">
        <v>209</v>
      </c>
      <c r="Q135" s="5" t="s">
        <v>63</v>
      </c>
      <c r="R135" s="5" t="s">
        <v>59</v>
      </c>
      <c r="S135" s="1">
        <v>6</v>
      </c>
      <c r="T135" s="1">
        <v>65</v>
      </c>
      <c r="U135" s="1">
        <v>44</v>
      </c>
    </row>
    <row r="136" spans="1:21" x14ac:dyDescent="0.3">
      <c r="A136" s="43">
        <v>121</v>
      </c>
      <c r="B136" s="4"/>
      <c r="C136" s="6" t="s">
        <v>186</v>
      </c>
      <c r="D136" s="5"/>
      <c r="E136" s="5" t="s">
        <v>69</v>
      </c>
      <c r="F136" s="5" t="s">
        <v>64</v>
      </c>
      <c r="G136" s="5" t="s">
        <v>75</v>
      </c>
      <c r="H136" s="5" t="s">
        <v>58</v>
      </c>
      <c r="I136" s="5" t="s">
        <v>66</v>
      </c>
      <c r="J136" s="5" t="s">
        <v>61</v>
      </c>
      <c r="K136" s="5" t="s">
        <v>53</v>
      </c>
      <c r="L136" s="5" t="s">
        <v>56</v>
      </c>
      <c r="M136" s="5" t="s">
        <v>55</v>
      </c>
      <c r="N136" s="5" t="s">
        <v>60</v>
      </c>
      <c r="O136" s="5" t="s">
        <v>54</v>
      </c>
      <c r="P136" s="5" t="s">
        <v>209</v>
      </c>
      <c r="Q136" s="5" t="s">
        <v>207</v>
      </c>
      <c r="R136" s="5" t="s">
        <v>59</v>
      </c>
      <c r="S136" s="1">
        <v>6</v>
      </c>
      <c r="T136" s="1">
        <v>59</v>
      </c>
      <c r="U136" s="1">
        <v>65</v>
      </c>
    </row>
    <row r="137" spans="1:21" ht="28.8" x14ac:dyDescent="0.3">
      <c r="A137" s="43">
        <v>122</v>
      </c>
      <c r="B137" s="4"/>
      <c r="C137" s="6" t="s">
        <v>137</v>
      </c>
      <c r="D137" s="5"/>
      <c r="E137" s="5" t="s">
        <v>70</v>
      </c>
      <c r="F137" s="5" t="s">
        <v>64</v>
      </c>
      <c r="G137" s="5" t="s">
        <v>75</v>
      </c>
      <c r="H137" s="5" t="s">
        <v>68</v>
      </c>
      <c r="I137" s="5" t="s">
        <v>66</v>
      </c>
      <c r="J137" s="5" t="s">
        <v>65</v>
      </c>
      <c r="K137" s="5" t="s">
        <v>53</v>
      </c>
      <c r="L137" s="5" t="s">
        <v>62</v>
      </c>
      <c r="M137" s="5" t="s">
        <v>50</v>
      </c>
      <c r="N137" s="5" t="s">
        <v>60</v>
      </c>
      <c r="O137" s="5" t="s">
        <v>71</v>
      </c>
      <c r="P137" s="5" t="s">
        <v>209</v>
      </c>
      <c r="Q137" s="5" t="s">
        <v>207</v>
      </c>
      <c r="R137" s="5" t="s">
        <v>210</v>
      </c>
      <c r="S137" s="1">
        <v>6</v>
      </c>
      <c r="T137" s="1">
        <v>62</v>
      </c>
      <c r="U137" s="1">
        <v>42</v>
      </c>
    </row>
    <row r="138" spans="1:21" ht="28.8" x14ac:dyDescent="0.3">
      <c r="A138" s="43">
        <v>123</v>
      </c>
      <c r="B138" s="4"/>
      <c r="C138" s="6" t="s">
        <v>36</v>
      </c>
      <c r="D138" s="5"/>
      <c r="E138" s="5" t="s">
        <v>70</v>
      </c>
      <c r="F138" s="5" t="s">
        <v>64</v>
      </c>
      <c r="G138" s="5" t="s">
        <v>75</v>
      </c>
      <c r="H138" s="5" t="s">
        <v>68</v>
      </c>
      <c r="I138" s="5" t="s">
        <v>66</v>
      </c>
      <c r="J138" s="5" t="s">
        <v>65</v>
      </c>
      <c r="K138" s="5" t="s">
        <v>53</v>
      </c>
      <c r="L138" s="5" t="s">
        <v>56</v>
      </c>
      <c r="M138" s="5" t="s">
        <v>50</v>
      </c>
      <c r="N138" s="5" t="s">
        <v>60</v>
      </c>
      <c r="O138" s="5" t="s">
        <v>71</v>
      </c>
      <c r="P138" s="5" t="s">
        <v>209</v>
      </c>
      <c r="Q138" s="5" t="s">
        <v>207</v>
      </c>
      <c r="R138" s="5" t="s">
        <v>210</v>
      </c>
      <c r="S138" s="1">
        <v>6</v>
      </c>
      <c r="T138" s="1">
        <v>65</v>
      </c>
      <c r="U138" s="1">
        <v>42</v>
      </c>
    </row>
    <row r="139" spans="1:21" ht="28.8" x14ac:dyDescent="0.3">
      <c r="A139" s="43">
        <v>124</v>
      </c>
      <c r="B139" s="4"/>
      <c r="C139" s="6" t="s">
        <v>153</v>
      </c>
      <c r="D139" s="5"/>
      <c r="E139" s="5" t="s">
        <v>70</v>
      </c>
      <c r="F139" s="5" t="s">
        <v>52</v>
      </c>
      <c r="G139" s="5" t="s">
        <v>75</v>
      </c>
      <c r="H139" s="5" t="s">
        <v>58</v>
      </c>
      <c r="I139" s="5" t="s">
        <v>73</v>
      </c>
      <c r="J139" s="5" t="s">
        <v>61</v>
      </c>
      <c r="K139" s="5" t="s">
        <v>53</v>
      </c>
      <c r="L139" s="5" t="s">
        <v>62</v>
      </c>
      <c r="M139" s="5" t="s">
        <v>55</v>
      </c>
      <c r="N139" s="5" t="s">
        <v>51</v>
      </c>
      <c r="O139" s="5" t="s">
        <v>54</v>
      </c>
      <c r="P139" s="5" t="s">
        <v>47</v>
      </c>
      <c r="Q139" s="5" t="s">
        <v>63</v>
      </c>
      <c r="R139" s="5" t="s">
        <v>59</v>
      </c>
      <c r="S139" s="1">
        <v>6</v>
      </c>
      <c r="T139" s="1">
        <v>62</v>
      </c>
      <c r="U139" s="1">
        <v>41</v>
      </c>
    </row>
    <row r="140" spans="1:21" x14ac:dyDescent="0.3">
      <c r="A140" s="43">
        <v>125</v>
      </c>
      <c r="B140" s="4"/>
      <c r="C140" s="6" t="s">
        <v>12</v>
      </c>
      <c r="D140" s="5"/>
      <c r="E140" s="5" t="s">
        <v>69</v>
      </c>
      <c r="F140" s="5" t="s">
        <v>64</v>
      </c>
      <c r="G140" s="5" t="s">
        <v>208</v>
      </c>
      <c r="H140" s="5" t="s">
        <v>58</v>
      </c>
      <c r="I140" s="5" t="s">
        <v>66</v>
      </c>
      <c r="J140" s="5" t="s">
        <v>61</v>
      </c>
      <c r="K140" s="5" t="s">
        <v>53</v>
      </c>
      <c r="L140" s="5" t="s">
        <v>56</v>
      </c>
      <c r="M140" s="5" t="s">
        <v>55</v>
      </c>
      <c r="N140" s="5" t="s">
        <v>51</v>
      </c>
      <c r="O140" s="5" t="s">
        <v>54</v>
      </c>
      <c r="P140" s="5" t="s">
        <v>47</v>
      </c>
      <c r="Q140" s="5" t="s">
        <v>63</v>
      </c>
      <c r="R140" s="5" t="s">
        <v>59</v>
      </c>
      <c r="S140" s="1">
        <v>6</v>
      </c>
      <c r="T140" s="1">
        <v>63</v>
      </c>
      <c r="U140" s="1">
        <v>40</v>
      </c>
    </row>
    <row r="141" spans="1:21" x14ac:dyDescent="0.3">
      <c r="A141" s="43">
        <v>126</v>
      </c>
      <c r="B141" s="4"/>
      <c r="C141" s="6" t="s">
        <v>14</v>
      </c>
      <c r="D141" s="5"/>
      <c r="E141" s="5" t="s">
        <v>70</v>
      </c>
      <c r="F141" s="5" t="s">
        <v>64</v>
      </c>
      <c r="G141" s="5" t="s">
        <v>75</v>
      </c>
      <c r="H141" s="5" t="s">
        <v>58</v>
      </c>
      <c r="I141" s="5" t="s">
        <v>73</v>
      </c>
      <c r="J141" s="5" t="s">
        <v>61</v>
      </c>
      <c r="K141" s="5" t="s">
        <v>53</v>
      </c>
      <c r="L141" s="5" t="s">
        <v>56</v>
      </c>
      <c r="M141" s="5" t="s">
        <v>50</v>
      </c>
      <c r="N141" s="5" t="s">
        <v>51</v>
      </c>
      <c r="O141" s="5" t="s">
        <v>54</v>
      </c>
      <c r="P141" s="5" t="s">
        <v>209</v>
      </c>
      <c r="Q141" s="5" t="s">
        <v>207</v>
      </c>
      <c r="R141" s="5" t="s">
        <v>59</v>
      </c>
      <c r="S141" s="1">
        <v>6</v>
      </c>
      <c r="T141" s="1">
        <v>68</v>
      </c>
      <c r="U141" s="1">
        <v>39</v>
      </c>
    </row>
    <row r="142" spans="1:21" ht="28.8" x14ac:dyDescent="0.3">
      <c r="A142" s="43">
        <v>127</v>
      </c>
      <c r="B142" s="4"/>
      <c r="C142" s="6" t="s">
        <v>135</v>
      </c>
      <c r="D142" s="5"/>
      <c r="E142" s="5" t="s">
        <v>69</v>
      </c>
      <c r="F142" s="5" t="s">
        <v>64</v>
      </c>
      <c r="G142" s="5" t="s">
        <v>208</v>
      </c>
      <c r="H142" s="5" t="s">
        <v>58</v>
      </c>
      <c r="I142" s="5" t="s">
        <v>66</v>
      </c>
      <c r="J142" s="5" t="s">
        <v>61</v>
      </c>
      <c r="K142" s="5" t="s">
        <v>53</v>
      </c>
      <c r="L142" s="5" t="s">
        <v>62</v>
      </c>
      <c r="M142" s="5" t="s">
        <v>50</v>
      </c>
      <c r="N142" s="5" t="s">
        <v>60</v>
      </c>
      <c r="O142" s="5" t="s">
        <v>71</v>
      </c>
      <c r="P142" s="5" t="s">
        <v>209</v>
      </c>
      <c r="Q142" s="5" t="s">
        <v>207</v>
      </c>
      <c r="R142" s="5" t="s">
        <v>210</v>
      </c>
      <c r="S142" s="1">
        <v>6</v>
      </c>
      <c r="T142" s="1">
        <v>66</v>
      </c>
      <c r="U142" s="1">
        <v>37</v>
      </c>
    </row>
    <row r="143" spans="1:21" ht="28.8" x14ac:dyDescent="0.3">
      <c r="A143" s="43">
        <v>128</v>
      </c>
      <c r="B143" s="4"/>
      <c r="C143" s="6" t="s">
        <v>103</v>
      </c>
      <c r="D143" s="5"/>
      <c r="E143" s="5" t="s">
        <v>69</v>
      </c>
      <c r="F143" s="5" t="s">
        <v>64</v>
      </c>
      <c r="G143" s="5" t="s">
        <v>75</v>
      </c>
      <c r="H143" s="5" t="s">
        <v>68</v>
      </c>
      <c r="I143" s="5" t="s">
        <v>73</v>
      </c>
      <c r="J143" s="5" t="s">
        <v>61</v>
      </c>
      <c r="K143" s="5" t="s">
        <v>53</v>
      </c>
      <c r="L143" s="5" t="s">
        <v>56</v>
      </c>
      <c r="M143" s="5" t="s">
        <v>50</v>
      </c>
      <c r="N143" s="5" t="s">
        <v>60</v>
      </c>
      <c r="O143" s="5" t="s">
        <v>71</v>
      </c>
      <c r="P143" s="5" t="s">
        <v>47</v>
      </c>
      <c r="Q143" s="5" t="s">
        <v>207</v>
      </c>
      <c r="R143" s="5" t="s">
        <v>210</v>
      </c>
      <c r="S143" s="1">
        <v>6</v>
      </c>
      <c r="T143" s="1">
        <v>65</v>
      </c>
      <c r="U143" s="1">
        <v>37</v>
      </c>
    </row>
    <row r="144" spans="1:21" ht="28.8" x14ac:dyDescent="0.3">
      <c r="A144" s="43">
        <v>129</v>
      </c>
      <c r="B144" s="4"/>
      <c r="C144" s="6" t="s">
        <v>8</v>
      </c>
      <c r="D144" s="5"/>
      <c r="E144" s="5" t="s">
        <v>70</v>
      </c>
      <c r="F144" s="5" t="s">
        <v>64</v>
      </c>
      <c r="G144" s="5" t="s">
        <v>75</v>
      </c>
      <c r="H144" s="5" t="s">
        <v>68</v>
      </c>
      <c r="I144" s="5" t="s">
        <v>66</v>
      </c>
      <c r="J144" s="5" t="s">
        <v>61</v>
      </c>
      <c r="K144" s="5" t="s">
        <v>53</v>
      </c>
      <c r="L144" s="5" t="s">
        <v>62</v>
      </c>
      <c r="M144" s="5" t="s">
        <v>55</v>
      </c>
      <c r="N144" s="5" t="s">
        <v>60</v>
      </c>
      <c r="O144" s="5" t="s">
        <v>71</v>
      </c>
      <c r="P144" s="5" t="s">
        <v>47</v>
      </c>
      <c r="Q144" s="5" t="s">
        <v>207</v>
      </c>
      <c r="R144" s="5" t="s">
        <v>59</v>
      </c>
      <c r="S144" s="1">
        <v>6</v>
      </c>
      <c r="T144" s="1">
        <v>69</v>
      </c>
      <c r="U144" s="1">
        <v>34</v>
      </c>
    </row>
    <row r="145" spans="1:21" x14ac:dyDescent="0.3">
      <c r="A145" s="43">
        <v>130</v>
      </c>
      <c r="B145" s="4"/>
      <c r="C145" s="6" t="s">
        <v>126</v>
      </c>
      <c r="D145" s="5"/>
      <c r="E145" s="5" t="s">
        <v>69</v>
      </c>
      <c r="F145" s="5" t="s">
        <v>64</v>
      </c>
      <c r="G145" s="5" t="s">
        <v>75</v>
      </c>
      <c r="H145" s="5" t="s">
        <v>58</v>
      </c>
      <c r="I145" s="5" t="s">
        <v>73</v>
      </c>
      <c r="J145" s="5" t="s">
        <v>61</v>
      </c>
      <c r="K145" s="5" t="s">
        <v>72</v>
      </c>
      <c r="L145" s="5" t="s">
        <v>56</v>
      </c>
      <c r="M145" s="5" t="s">
        <v>55</v>
      </c>
      <c r="N145" s="5" t="s">
        <v>51</v>
      </c>
      <c r="O145" s="5" t="s">
        <v>71</v>
      </c>
      <c r="P145" s="5" t="s">
        <v>47</v>
      </c>
      <c r="Q145" s="5" t="s">
        <v>63</v>
      </c>
      <c r="R145" s="5" t="s">
        <v>59</v>
      </c>
      <c r="S145" s="1">
        <v>6</v>
      </c>
      <c r="T145" s="1">
        <v>67</v>
      </c>
      <c r="U145" s="1">
        <v>74</v>
      </c>
    </row>
    <row r="146" spans="1:21" ht="28.8" x14ac:dyDescent="0.3">
      <c r="A146" s="43">
        <v>131</v>
      </c>
      <c r="B146" s="4"/>
      <c r="C146" s="6" t="s">
        <v>167</v>
      </c>
      <c r="D146" s="5"/>
      <c r="E146" s="5" t="s">
        <v>69</v>
      </c>
      <c r="F146" s="5" t="s">
        <v>52</v>
      </c>
      <c r="G146" s="5" t="s">
        <v>75</v>
      </c>
      <c r="H146" s="5" t="s">
        <v>68</v>
      </c>
      <c r="I146" s="5" t="s">
        <v>73</v>
      </c>
      <c r="J146" s="5" t="s">
        <v>61</v>
      </c>
      <c r="K146" s="5" t="s">
        <v>72</v>
      </c>
      <c r="L146" s="5" t="s">
        <v>62</v>
      </c>
      <c r="M146" s="5" t="s">
        <v>55</v>
      </c>
      <c r="N146" s="5" t="s">
        <v>60</v>
      </c>
      <c r="O146" s="5" t="s">
        <v>54</v>
      </c>
      <c r="P146" s="5" t="s">
        <v>47</v>
      </c>
      <c r="Q146" s="5" t="s">
        <v>207</v>
      </c>
      <c r="R146" s="5" t="s">
        <v>210</v>
      </c>
      <c r="S146" s="1">
        <v>6</v>
      </c>
      <c r="T146" s="1">
        <v>59</v>
      </c>
      <c r="U146" s="1">
        <v>32</v>
      </c>
    </row>
    <row r="147" spans="1:21" ht="28.8" x14ac:dyDescent="0.3">
      <c r="A147" s="43">
        <v>132</v>
      </c>
      <c r="B147" s="4"/>
      <c r="C147" s="6" t="s">
        <v>165</v>
      </c>
      <c r="D147" s="5"/>
      <c r="E147" s="5" t="s">
        <v>69</v>
      </c>
      <c r="F147" s="5" t="s">
        <v>52</v>
      </c>
      <c r="G147" s="5" t="s">
        <v>75</v>
      </c>
      <c r="H147" s="5" t="s">
        <v>68</v>
      </c>
      <c r="I147" s="5" t="s">
        <v>73</v>
      </c>
      <c r="J147" s="5" t="s">
        <v>61</v>
      </c>
      <c r="K147" s="5" t="s">
        <v>72</v>
      </c>
      <c r="L147" s="5" t="s">
        <v>62</v>
      </c>
      <c r="M147" s="5" t="s">
        <v>55</v>
      </c>
      <c r="N147" s="5" t="s">
        <v>60</v>
      </c>
      <c r="O147" s="5" t="s">
        <v>54</v>
      </c>
      <c r="P147" s="5" t="s">
        <v>47</v>
      </c>
      <c r="Q147" s="5" t="s">
        <v>207</v>
      </c>
      <c r="R147" s="5" t="s">
        <v>210</v>
      </c>
      <c r="S147" s="1">
        <v>6</v>
      </c>
      <c r="T147" s="1">
        <v>60</v>
      </c>
      <c r="U147" s="1">
        <v>23</v>
      </c>
    </row>
    <row r="148" spans="1:21" x14ac:dyDescent="0.3">
      <c r="A148" s="43">
        <v>133</v>
      </c>
      <c r="B148" s="4"/>
      <c r="C148" s="6" t="s">
        <v>111</v>
      </c>
      <c r="D148" s="5"/>
      <c r="E148" s="5" t="s">
        <v>70</v>
      </c>
      <c r="F148" s="5" t="s">
        <v>52</v>
      </c>
      <c r="G148" s="5" t="s">
        <v>75</v>
      </c>
      <c r="H148" s="5" t="s">
        <v>58</v>
      </c>
      <c r="I148" s="5" t="s">
        <v>66</v>
      </c>
      <c r="J148" s="5" t="s">
        <v>65</v>
      </c>
      <c r="K148" s="5" t="s">
        <v>53</v>
      </c>
      <c r="L148" s="5" t="s">
        <v>56</v>
      </c>
      <c r="M148" s="5" t="s">
        <v>55</v>
      </c>
      <c r="N148" s="5" t="s">
        <v>51</v>
      </c>
      <c r="O148" s="5" t="s">
        <v>54</v>
      </c>
      <c r="P148" s="5" t="s">
        <v>47</v>
      </c>
      <c r="Q148" s="5" t="s">
        <v>63</v>
      </c>
      <c r="R148" s="5" t="s">
        <v>59</v>
      </c>
      <c r="S148" s="1">
        <v>6</v>
      </c>
      <c r="T148" s="1">
        <v>62</v>
      </c>
      <c r="U148" s="1">
        <v>18</v>
      </c>
    </row>
    <row r="149" spans="1:21" x14ac:dyDescent="0.3">
      <c r="A149" s="43">
        <v>134</v>
      </c>
      <c r="B149" s="4"/>
      <c r="C149" s="6" t="s">
        <v>98</v>
      </c>
      <c r="D149" s="5"/>
      <c r="E149" s="5" t="s">
        <v>69</v>
      </c>
      <c r="F149" s="5" t="s">
        <v>52</v>
      </c>
      <c r="G149" s="5" t="s">
        <v>75</v>
      </c>
      <c r="H149" s="5" t="s">
        <v>68</v>
      </c>
      <c r="I149" s="5" t="s">
        <v>73</v>
      </c>
      <c r="J149" s="5" t="s">
        <v>61</v>
      </c>
      <c r="K149" s="5" t="s">
        <v>72</v>
      </c>
      <c r="L149" s="5" t="s">
        <v>62</v>
      </c>
      <c r="M149" s="5" t="s">
        <v>55</v>
      </c>
      <c r="N149" s="5" t="s">
        <v>60</v>
      </c>
      <c r="O149" s="5" t="s">
        <v>54</v>
      </c>
      <c r="P149" s="5" t="s">
        <v>47</v>
      </c>
      <c r="Q149" s="5" t="s">
        <v>207</v>
      </c>
      <c r="R149" s="5" t="s">
        <v>210</v>
      </c>
      <c r="S149" s="1">
        <v>6</v>
      </c>
      <c r="T149" s="1">
        <v>68</v>
      </c>
      <c r="U149" s="1">
        <v>13</v>
      </c>
    </row>
    <row r="150" spans="1:21" ht="28.8" x14ac:dyDescent="0.3">
      <c r="A150" s="43">
        <v>135</v>
      </c>
      <c r="B150" s="4"/>
      <c r="C150" s="6" t="s">
        <v>115</v>
      </c>
      <c r="D150" s="5"/>
      <c r="E150" s="5" t="s">
        <v>69</v>
      </c>
      <c r="F150" s="5" t="s">
        <v>64</v>
      </c>
      <c r="G150" s="5" t="s">
        <v>75</v>
      </c>
      <c r="H150" s="5" t="s">
        <v>58</v>
      </c>
      <c r="I150" s="5" t="s">
        <v>73</v>
      </c>
      <c r="J150" s="5" t="s">
        <v>61</v>
      </c>
      <c r="K150" s="5" t="s">
        <v>53</v>
      </c>
      <c r="L150" s="5" t="s">
        <v>62</v>
      </c>
      <c r="M150" s="5" t="s">
        <v>50</v>
      </c>
      <c r="N150" s="5" t="s">
        <v>60</v>
      </c>
      <c r="O150" s="5" t="s">
        <v>71</v>
      </c>
      <c r="P150" s="5" t="s">
        <v>47</v>
      </c>
      <c r="Q150" s="5" t="s">
        <v>63</v>
      </c>
      <c r="R150" s="5" t="s">
        <v>59</v>
      </c>
      <c r="S150" s="1">
        <v>5</v>
      </c>
      <c r="T150" s="1">
        <v>62</v>
      </c>
      <c r="U150" s="1">
        <v>55</v>
      </c>
    </row>
    <row r="151" spans="1:21" x14ac:dyDescent="0.3">
      <c r="A151" s="43">
        <v>136</v>
      </c>
      <c r="B151" s="4"/>
      <c r="C151" s="6" t="s">
        <v>144</v>
      </c>
      <c r="D151" s="5"/>
      <c r="E151" s="5" t="s">
        <v>70</v>
      </c>
      <c r="F151" s="5" t="s">
        <v>64</v>
      </c>
      <c r="G151" s="5" t="s">
        <v>75</v>
      </c>
      <c r="H151" s="5" t="s">
        <v>68</v>
      </c>
      <c r="I151" s="5" t="s">
        <v>66</v>
      </c>
      <c r="J151" s="5" t="s">
        <v>61</v>
      </c>
      <c r="K151" s="5" t="s">
        <v>53</v>
      </c>
      <c r="L151" s="5" t="s">
        <v>56</v>
      </c>
      <c r="M151" s="5" t="s">
        <v>55</v>
      </c>
      <c r="N151" s="5" t="s">
        <v>60</v>
      </c>
      <c r="O151" s="5" t="s">
        <v>54</v>
      </c>
      <c r="P151" s="5" t="s">
        <v>47</v>
      </c>
      <c r="Q151" s="5" t="s">
        <v>207</v>
      </c>
      <c r="R151" s="5" t="s">
        <v>59</v>
      </c>
      <c r="S151" s="1">
        <v>5</v>
      </c>
      <c r="T151" s="1">
        <v>69</v>
      </c>
      <c r="U151" s="1">
        <v>51</v>
      </c>
    </row>
    <row r="152" spans="1:21" ht="28.8" x14ac:dyDescent="0.3">
      <c r="A152" s="43">
        <v>137</v>
      </c>
      <c r="B152" s="4"/>
      <c r="C152" s="6" t="s">
        <v>17</v>
      </c>
      <c r="D152" s="5"/>
      <c r="E152" s="5" t="s">
        <v>69</v>
      </c>
      <c r="F152" s="5" t="s">
        <v>64</v>
      </c>
      <c r="G152" s="5" t="s">
        <v>75</v>
      </c>
      <c r="H152" s="5" t="s">
        <v>58</v>
      </c>
      <c r="I152" s="5" t="s">
        <v>66</v>
      </c>
      <c r="J152" s="5" t="s">
        <v>61</v>
      </c>
      <c r="K152" s="5" t="s">
        <v>53</v>
      </c>
      <c r="L152" s="5" t="s">
        <v>56</v>
      </c>
      <c r="M152" s="5" t="s">
        <v>50</v>
      </c>
      <c r="N152" s="5" t="s">
        <v>60</v>
      </c>
      <c r="O152" s="5" t="s">
        <v>71</v>
      </c>
      <c r="P152" s="5" t="s">
        <v>47</v>
      </c>
      <c r="Q152" s="5" t="s">
        <v>207</v>
      </c>
      <c r="R152" s="5" t="s">
        <v>59</v>
      </c>
      <c r="S152" s="1">
        <v>5</v>
      </c>
      <c r="T152" s="1">
        <v>69</v>
      </c>
      <c r="U152" s="1">
        <v>50</v>
      </c>
    </row>
    <row r="153" spans="1:21" ht="28.8" x14ac:dyDescent="0.3">
      <c r="A153" s="43">
        <v>138</v>
      </c>
      <c r="B153" s="4"/>
      <c r="C153" s="6" t="s">
        <v>143</v>
      </c>
      <c r="D153" s="5"/>
      <c r="E153" s="5" t="s">
        <v>69</v>
      </c>
      <c r="F153" s="5" t="s">
        <v>64</v>
      </c>
      <c r="G153" s="5" t="s">
        <v>75</v>
      </c>
      <c r="H153" s="5" t="s">
        <v>58</v>
      </c>
      <c r="I153" s="5" t="s">
        <v>66</v>
      </c>
      <c r="J153" s="5" t="s">
        <v>61</v>
      </c>
      <c r="K153" s="5" t="s">
        <v>53</v>
      </c>
      <c r="L153" s="5" t="s">
        <v>62</v>
      </c>
      <c r="M153" s="5" t="s">
        <v>50</v>
      </c>
      <c r="N153" s="5" t="s">
        <v>60</v>
      </c>
      <c r="O153" s="5" t="s">
        <v>71</v>
      </c>
      <c r="P153" s="5" t="s">
        <v>47</v>
      </c>
      <c r="Q153" s="5" t="s">
        <v>207</v>
      </c>
      <c r="R153" s="5" t="s">
        <v>59</v>
      </c>
      <c r="S153" s="1">
        <v>5</v>
      </c>
      <c r="T153" s="1">
        <v>59</v>
      </c>
      <c r="U153" s="1">
        <v>50</v>
      </c>
    </row>
    <row r="154" spans="1:21" ht="28.8" x14ac:dyDescent="0.3">
      <c r="A154" s="43">
        <v>139</v>
      </c>
      <c r="B154" s="4"/>
      <c r="C154" s="6" t="s">
        <v>29</v>
      </c>
      <c r="D154" s="5"/>
      <c r="E154" s="5" t="s">
        <v>70</v>
      </c>
      <c r="F154" s="5" t="s">
        <v>64</v>
      </c>
      <c r="G154" s="5" t="s">
        <v>75</v>
      </c>
      <c r="H154" s="5" t="s">
        <v>58</v>
      </c>
      <c r="I154" s="5" t="s">
        <v>73</v>
      </c>
      <c r="J154" s="5" t="s">
        <v>61</v>
      </c>
      <c r="K154" s="5" t="s">
        <v>53</v>
      </c>
      <c r="L154" s="5" t="s">
        <v>56</v>
      </c>
      <c r="M154" s="5" t="s">
        <v>50</v>
      </c>
      <c r="N154" s="5" t="s">
        <v>60</v>
      </c>
      <c r="O154" s="5" t="s">
        <v>71</v>
      </c>
      <c r="P154" s="5" t="s">
        <v>209</v>
      </c>
      <c r="Q154" s="5" t="s">
        <v>63</v>
      </c>
      <c r="R154" s="5" t="s">
        <v>59</v>
      </c>
      <c r="S154" s="1">
        <v>5</v>
      </c>
      <c r="T154" s="1">
        <v>60</v>
      </c>
      <c r="U154" s="1">
        <v>50</v>
      </c>
    </row>
    <row r="155" spans="1:21" x14ac:dyDescent="0.3">
      <c r="A155" s="43">
        <v>140</v>
      </c>
      <c r="B155" s="4"/>
      <c r="C155" s="6" t="s">
        <v>106</v>
      </c>
      <c r="D155" s="5"/>
      <c r="E155" s="5" t="s">
        <v>70</v>
      </c>
      <c r="F155" s="5" t="s">
        <v>64</v>
      </c>
      <c r="G155" s="5" t="s">
        <v>75</v>
      </c>
      <c r="H155" s="5" t="s">
        <v>68</v>
      </c>
      <c r="I155" s="5" t="s">
        <v>66</v>
      </c>
      <c r="J155" s="5" t="s">
        <v>65</v>
      </c>
      <c r="K155" s="5" t="s">
        <v>53</v>
      </c>
      <c r="L155" s="5" t="s">
        <v>56</v>
      </c>
      <c r="M155" s="5" t="s">
        <v>50</v>
      </c>
      <c r="N155" s="5" t="s">
        <v>60</v>
      </c>
      <c r="O155" s="5" t="s">
        <v>71</v>
      </c>
      <c r="P155" s="5" t="s">
        <v>47</v>
      </c>
      <c r="Q155" s="5" t="s">
        <v>207</v>
      </c>
      <c r="R155" s="5" t="s">
        <v>210</v>
      </c>
      <c r="S155" s="1">
        <v>5</v>
      </c>
      <c r="T155" s="1">
        <v>67</v>
      </c>
      <c r="U155" s="1">
        <v>48</v>
      </c>
    </row>
    <row r="156" spans="1:21" x14ac:dyDescent="0.3">
      <c r="A156" s="43">
        <v>141</v>
      </c>
      <c r="B156" s="4"/>
      <c r="C156" s="6" t="s">
        <v>44</v>
      </c>
      <c r="D156" s="5"/>
      <c r="E156" s="5" t="s">
        <v>69</v>
      </c>
      <c r="F156" s="5" t="s">
        <v>52</v>
      </c>
      <c r="G156" s="5" t="s">
        <v>75</v>
      </c>
      <c r="H156" s="5" t="s">
        <v>58</v>
      </c>
      <c r="I156" s="5" t="s">
        <v>66</v>
      </c>
      <c r="J156" s="5" t="s">
        <v>61</v>
      </c>
      <c r="K156" s="5" t="s">
        <v>53</v>
      </c>
      <c r="L156" s="5" t="s">
        <v>56</v>
      </c>
      <c r="M156" s="5" t="s">
        <v>50</v>
      </c>
      <c r="N156" s="5" t="s">
        <v>60</v>
      </c>
      <c r="O156" s="5" t="s">
        <v>71</v>
      </c>
      <c r="P156" s="5" t="s">
        <v>47</v>
      </c>
      <c r="Q156" s="5" t="s">
        <v>207</v>
      </c>
      <c r="R156" s="5" t="s">
        <v>210</v>
      </c>
      <c r="S156" s="1">
        <v>5</v>
      </c>
      <c r="T156" s="1">
        <v>77</v>
      </c>
      <c r="U156" s="1">
        <v>48</v>
      </c>
    </row>
    <row r="157" spans="1:21" x14ac:dyDescent="0.3">
      <c r="A157" s="43">
        <v>142</v>
      </c>
      <c r="B157" s="4"/>
      <c r="C157" s="6" t="s">
        <v>105</v>
      </c>
      <c r="D157" s="5"/>
      <c r="E157" s="5" t="s">
        <v>69</v>
      </c>
      <c r="F157" s="5" t="s">
        <v>64</v>
      </c>
      <c r="G157" s="5" t="s">
        <v>75</v>
      </c>
      <c r="H157" s="5" t="s">
        <v>58</v>
      </c>
      <c r="I157" s="5" t="s">
        <v>66</v>
      </c>
      <c r="J157" s="5" t="s">
        <v>65</v>
      </c>
      <c r="K157" s="5" t="s">
        <v>53</v>
      </c>
      <c r="L157" s="5" t="s">
        <v>62</v>
      </c>
      <c r="M157" s="5" t="s">
        <v>55</v>
      </c>
      <c r="N157" s="5" t="s">
        <v>51</v>
      </c>
      <c r="O157" s="5" t="s">
        <v>54</v>
      </c>
      <c r="P157" s="5" t="s">
        <v>47</v>
      </c>
      <c r="Q157" s="5" t="s">
        <v>63</v>
      </c>
      <c r="R157" s="5" t="s">
        <v>210</v>
      </c>
      <c r="S157" s="1">
        <v>5</v>
      </c>
      <c r="T157" s="1">
        <v>69</v>
      </c>
      <c r="U157" s="1">
        <v>48</v>
      </c>
    </row>
    <row r="158" spans="1:21" ht="28.8" x14ac:dyDescent="0.3">
      <c r="A158" s="43">
        <v>143</v>
      </c>
      <c r="B158" s="4"/>
      <c r="C158" s="6" t="s">
        <v>175</v>
      </c>
      <c r="D158" s="5"/>
      <c r="E158" s="5" t="s">
        <v>69</v>
      </c>
      <c r="F158" s="5" t="s">
        <v>64</v>
      </c>
      <c r="G158" s="5" t="s">
        <v>75</v>
      </c>
      <c r="H158" s="5" t="s">
        <v>58</v>
      </c>
      <c r="I158" s="5" t="s">
        <v>66</v>
      </c>
      <c r="J158" s="5" t="s">
        <v>65</v>
      </c>
      <c r="K158" s="5" t="s">
        <v>53</v>
      </c>
      <c r="L158" s="5" t="s">
        <v>56</v>
      </c>
      <c r="M158" s="5" t="s">
        <v>50</v>
      </c>
      <c r="N158" s="5" t="s">
        <v>60</v>
      </c>
      <c r="O158" s="5" t="s">
        <v>71</v>
      </c>
      <c r="P158" s="5" t="s">
        <v>47</v>
      </c>
      <c r="Q158" s="5" t="s">
        <v>63</v>
      </c>
      <c r="R158" s="5" t="s">
        <v>59</v>
      </c>
      <c r="S158" s="1">
        <v>5</v>
      </c>
      <c r="T158" s="1">
        <v>55</v>
      </c>
      <c r="U158" s="1">
        <v>47</v>
      </c>
    </row>
    <row r="159" spans="1:21" ht="28.8" x14ac:dyDescent="0.3">
      <c r="A159" s="43">
        <v>144</v>
      </c>
      <c r="B159" s="4"/>
      <c r="C159" s="6" t="s">
        <v>147</v>
      </c>
      <c r="D159" s="5"/>
      <c r="E159" s="5" t="s">
        <v>69</v>
      </c>
      <c r="F159" s="5" t="s">
        <v>52</v>
      </c>
      <c r="G159" s="5" t="s">
        <v>75</v>
      </c>
      <c r="H159" s="5" t="s">
        <v>58</v>
      </c>
      <c r="I159" s="5" t="s">
        <v>66</v>
      </c>
      <c r="J159" s="5" t="s">
        <v>61</v>
      </c>
      <c r="K159" s="5" t="s">
        <v>53</v>
      </c>
      <c r="L159" s="5" t="s">
        <v>56</v>
      </c>
      <c r="M159" s="5" t="s">
        <v>50</v>
      </c>
      <c r="N159" s="5" t="s">
        <v>60</v>
      </c>
      <c r="O159" s="5" t="s">
        <v>54</v>
      </c>
      <c r="P159" s="5" t="s">
        <v>47</v>
      </c>
      <c r="Q159" s="5" t="s">
        <v>207</v>
      </c>
      <c r="R159" s="5" t="s">
        <v>59</v>
      </c>
      <c r="S159" s="1">
        <v>5</v>
      </c>
      <c r="T159" s="1">
        <v>68</v>
      </c>
      <c r="U159" s="1">
        <v>46</v>
      </c>
    </row>
    <row r="160" spans="1:21" ht="28.8" x14ac:dyDescent="0.3">
      <c r="A160" s="43">
        <v>145</v>
      </c>
      <c r="B160" s="4"/>
      <c r="C160" s="6" t="s">
        <v>15</v>
      </c>
      <c r="D160" s="5"/>
      <c r="E160" s="5" t="s">
        <v>69</v>
      </c>
      <c r="F160" s="5" t="s">
        <v>64</v>
      </c>
      <c r="G160" s="5" t="s">
        <v>75</v>
      </c>
      <c r="H160" s="5" t="s">
        <v>58</v>
      </c>
      <c r="I160" s="5" t="s">
        <v>66</v>
      </c>
      <c r="J160" s="5" t="s">
        <v>65</v>
      </c>
      <c r="K160" s="5" t="s">
        <v>53</v>
      </c>
      <c r="L160" s="5" t="s">
        <v>62</v>
      </c>
      <c r="M160" s="5" t="s">
        <v>50</v>
      </c>
      <c r="N160" s="5" t="s">
        <v>60</v>
      </c>
      <c r="O160" s="5" t="s">
        <v>54</v>
      </c>
      <c r="P160" s="5" t="s">
        <v>209</v>
      </c>
      <c r="Q160" s="5" t="s">
        <v>63</v>
      </c>
      <c r="R160" s="5" t="s">
        <v>59</v>
      </c>
      <c r="S160" s="1">
        <v>5</v>
      </c>
      <c r="T160" s="1">
        <v>62</v>
      </c>
      <c r="U160" s="1">
        <v>46</v>
      </c>
    </row>
    <row r="161" spans="1:21" x14ac:dyDescent="0.3">
      <c r="A161" s="43">
        <v>146</v>
      </c>
      <c r="B161" s="4"/>
      <c r="C161" s="6" t="s">
        <v>151</v>
      </c>
      <c r="D161" s="5"/>
      <c r="E161" s="5" t="s">
        <v>69</v>
      </c>
      <c r="F161" s="5" t="s">
        <v>64</v>
      </c>
      <c r="G161" s="5" t="s">
        <v>75</v>
      </c>
      <c r="H161" s="5" t="s">
        <v>58</v>
      </c>
      <c r="I161" s="5" t="s">
        <v>66</v>
      </c>
      <c r="J161" s="5" t="s">
        <v>61</v>
      </c>
      <c r="K161" s="5" t="s">
        <v>53</v>
      </c>
      <c r="L161" s="5" t="s">
        <v>62</v>
      </c>
      <c r="M161" s="5" t="s">
        <v>55</v>
      </c>
      <c r="N161" s="5" t="s">
        <v>51</v>
      </c>
      <c r="O161" s="5" t="s">
        <v>54</v>
      </c>
      <c r="P161" s="5" t="s">
        <v>209</v>
      </c>
      <c r="Q161" s="5" t="s">
        <v>63</v>
      </c>
      <c r="R161" s="5" t="s">
        <v>210</v>
      </c>
      <c r="S161" s="1">
        <v>5</v>
      </c>
      <c r="T161" s="1">
        <v>62</v>
      </c>
      <c r="U161" s="1">
        <v>46</v>
      </c>
    </row>
    <row r="162" spans="1:21" ht="28.8" x14ac:dyDescent="0.3">
      <c r="A162" s="43">
        <v>147</v>
      </c>
      <c r="B162" s="4"/>
      <c r="C162" s="6" t="s">
        <v>182</v>
      </c>
      <c r="D162" s="5"/>
      <c r="E162" s="5" t="s">
        <v>70</v>
      </c>
      <c r="F162" s="5" t="s">
        <v>64</v>
      </c>
      <c r="G162" s="5" t="s">
        <v>75</v>
      </c>
      <c r="H162" s="5" t="s">
        <v>58</v>
      </c>
      <c r="I162" s="5" t="s">
        <v>66</v>
      </c>
      <c r="J162" s="5" t="s">
        <v>65</v>
      </c>
      <c r="K162" s="5" t="s">
        <v>53</v>
      </c>
      <c r="L162" s="5" t="s">
        <v>62</v>
      </c>
      <c r="M162" s="5" t="s">
        <v>55</v>
      </c>
      <c r="N162" s="5" t="s">
        <v>60</v>
      </c>
      <c r="O162" s="5" t="s">
        <v>54</v>
      </c>
      <c r="P162" s="5" t="s">
        <v>209</v>
      </c>
      <c r="Q162" s="5" t="s">
        <v>207</v>
      </c>
      <c r="R162" s="5" t="s">
        <v>210</v>
      </c>
      <c r="S162" s="1">
        <v>5</v>
      </c>
      <c r="T162" s="1">
        <v>58</v>
      </c>
      <c r="U162" s="1">
        <v>45</v>
      </c>
    </row>
    <row r="163" spans="1:21" x14ac:dyDescent="0.3">
      <c r="A163" s="43">
        <v>148</v>
      </c>
      <c r="B163" s="4"/>
      <c r="C163" s="6" t="s">
        <v>169</v>
      </c>
      <c r="D163" s="5"/>
      <c r="E163" s="5" t="s">
        <v>69</v>
      </c>
      <c r="F163" s="5" t="s">
        <v>64</v>
      </c>
      <c r="G163" s="5" t="s">
        <v>208</v>
      </c>
      <c r="H163" s="5" t="s">
        <v>58</v>
      </c>
      <c r="I163" s="5" t="s">
        <v>73</v>
      </c>
      <c r="J163" s="5" t="s">
        <v>61</v>
      </c>
      <c r="K163" s="5" t="s">
        <v>72</v>
      </c>
      <c r="L163" s="5" t="s">
        <v>56</v>
      </c>
      <c r="M163" s="5" t="s">
        <v>55</v>
      </c>
      <c r="N163" s="5" t="s">
        <v>51</v>
      </c>
      <c r="O163" s="5" t="s">
        <v>54</v>
      </c>
      <c r="P163" s="5" t="s">
        <v>47</v>
      </c>
      <c r="Q163" s="5" t="s">
        <v>63</v>
      </c>
      <c r="R163" s="5" t="s">
        <v>210</v>
      </c>
      <c r="S163" s="1">
        <v>5</v>
      </c>
      <c r="T163" s="1">
        <v>63</v>
      </c>
      <c r="U163" s="1">
        <v>45</v>
      </c>
    </row>
    <row r="164" spans="1:21" ht="28.8" x14ac:dyDescent="0.3">
      <c r="A164" s="43">
        <v>149</v>
      </c>
      <c r="B164" s="4"/>
      <c r="C164" s="6" t="s">
        <v>198</v>
      </c>
      <c r="D164" s="5"/>
      <c r="E164" s="5" t="s">
        <v>70</v>
      </c>
      <c r="F164" s="5" t="s">
        <v>52</v>
      </c>
      <c r="G164" s="5" t="s">
        <v>75</v>
      </c>
      <c r="H164" s="5" t="s">
        <v>58</v>
      </c>
      <c r="I164" s="5" t="s">
        <v>73</v>
      </c>
      <c r="J164" s="5" t="s">
        <v>61</v>
      </c>
      <c r="K164" s="5" t="s">
        <v>53</v>
      </c>
      <c r="L164" s="5" t="s">
        <v>56</v>
      </c>
      <c r="M164" s="5" t="s">
        <v>50</v>
      </c>
      <c r="N164" s="5" t="s">
        <v>60</v>
      </c>
      <c r="O164" s="5" t="s">
        <v>71</v>
      </c>
      <c r="P164" s="5" t="s">
        <v>47</v>
      </c>
      <c r="Q164" s="5" t="s">
        <v>207</v>
      </c>
      <c r="R164" s="5" t="s">
        <v>210</v>
      </c>
      <c r="S164" s="1">
        <v>5</v>
      </c>
      <c r="T164" s="1">
        <v>65</v>
      </c>
      <c r="U164" s="1">
        <v>42</v>
      </c>
    </row>
    <row r="165" spans="1:21" ht="28.8" x14ac:dyDescent="0.3">
      <c r="A165" s="43">
        <v>150</v>
      </c>
      <c r="B165" s="4"/>
      <c r="C165" s="6" t="s">
        <v>140</v>
      </c>
      <c r="D165" s="5"/>
      <c r="E165" s="5" t="s">
        <v>69</v>
      </c>
      <c r="F165" s="5" t="s">
        <v>64</v>
      </c>
      <c r="G165" s="5" t="s">
        <v>75</v>
      </c>
      <c r="H165" s="5" t="s">
        <v>68</v>
      </c>
      <c r="I165" s="5" t="s">
        <v>66</v>
      </c>
      <c r="J165" s="5" t="s">
        <v>61</v>
      </c>
      <c r="K165" s="5" t="s">
        <v>53</v>
      </c>
      <c r="L165" s="5" t="s">
        <v>56</v>
      </c>
      <c r="M165" s="5" t="s">
        <v>50</v>
      </c>
      <c r="N165" s="5" t="s">
        <v>60</v>
      </c>
      <c r="O165" s="5" t="s">
        <v>54</v>
      </c>
      <c r="P165" s="5" t="s">
        <v>209</v>
      </c>
      <c r="Q165" s="5" t="s">
        <v>63</v>
      </c>
      <c r="R165" s="5" t="s">
        <v>59</v>
      </c>
      <c r="S165" s="1">
        <v>5</v>
      </c>
      <c r="T165" s="1">
        <v>65</v>
      </c>
      <c r="U165" s="1">
        <v>40</v>
      </c>
    </row>
    <row r="166" spans="1:21" ht="28.8" x14ac:dyDescent="0.3">
      <c r="A166" s="43">
        <v>151</v>
      </c>
      <c r="B166" s="4"/>
      <c r="C166" s="6" t="s">
        <v>25</v>
      </c>
      <c r="D166" s="5"/>
      <c r="E166" s="5" t="s">
        <v>69</v>
      </c>
      <c r="F166" s="5" t="s">
        <v>64</v>
      </c>
      <c r="G166" s="5" t="s">
        <v>75</v>
      </c>
      <c r="H166" s="5" t="s">
        <v>58</v>
      </c>
      <c r="I166" s="5" t="s">
        <v>66</v>
      </c>
      <c r="J166" s="5" t="s">
        <v>61</v>
      </c>
      <c r="K166" s="5" t="s">
        <v>53</v>
      </c>
      <c r="L166" s="5" t="s">
        <v>56</v>
      </c>
      <c r="M166" s="5" t="s">
        <v>50</v>
      </c>
      <c r="N166" s="5" t="s">
        <v>60</v>
      </c>
      <c r="O166" s="5" t="s">
        <v>71</v>
      </c>
      <c r="P166" s="5" t="s">
        <v>209</v>
      </c>
      <c r="Q166" s="5" t="s">
        <v>63</v>
      </c>
      <c r="R166" s="5" t="s">
        <v>59</v>
      </c>
      <c r="S166" s="1">
        <v>5</v>
      </c>
      <c r="T166" s="1">
        <v>70</v>
      </c>
      <c r="U166" s="1">
        <v>39</v>
      </c>
    </row>
    <row r="167" spans="1:21" ht="28.8" x14ac:dyDescent="0.3">
      <c r="A167" s="43">
        <v>152</v>
      </c>
      <c r="B167" s="4"/>
      <c r="C167" s="6" t="s">
        <v>134</v>
      </c>
      <c r="D167" s="5"/>
      <c r="E167" s="5" t="s">
        <v>70</v>
      </c>
      <c r="F167" s="5" t="s">
        <v>52</v>
      </c>
      <c r="G167" s="5" t="s">
        <v>208</v>
      </c>
      <c r="H167" s="5" t="s">
        <v>68</v>
      </c>
      <c r="I167" s="5" t="s">
        <v>66</v>
      </c>
      <c r="J167" s="5" t="s">
        <v>61</v>
      </c>
      <c r="K167" s="5" t="s">
        <v>53</v>
      </c>
      <c r="L167" s="5" t="s">
        <v>62</v>
      </c>
      <c r="M167" s="5" t="s">
        <v>50</v>
      </c>
      <c r="N167" s="5" t="s">
        <v>60</v>
      </c>
      <c r="O167" s="5" t="s">
        <v>71</v>
      </c>
      <c r="P167" s="5" t="s">
        <v>47</v>
      </c>
      <c r="Q167" s="5" t="s">
        <v>63</v>
      </c>
      <c r="R167" s="5" t="s">
        <v>210</v>
      </c>
      <c r="S167" s="1">
        <v>5</v>
      </c>
      <c r="T167" s="1">
        <v>63</v>
      </c>
      <c r="U167" s="1">
        <v>37</v>
      </c>
    </row>
    <row r="168" spans="1:21" x14ac:dyDescent="0.3">
      <c r="A168" s="43">
        <v>153</v>
      </c>
      <c r="B168" s="4"/>
      <c r="C168" s="6" t="s">
        <v>11</v>
      </c>
      <c r="D168" s="5"/>
      <c r="E168" s="5" t="s">
        <v>69</v>
      </c>
      <c r="F168" s="5" t="s">
        <v>64</v>
      </c>
      <c r="G168" s="5" t="s">
        <v>75</v>
      </c>
      <c r="H168" s="5" t="s">
        <v>58</v>
      </c>
      <c r="I168" s="5" t="s">
        <v>66</v>
      </c>
      <c r="J168" s="5" t="s">
        <v>65</v>
      </c>
      <c r="K168" s="5" t="s">
        <v>72</v>
      </c>
      <c r="L168" s="5" t="s">
        <v>56</v>
      </c>
      <c r="M168" s="5" t="s">
        <v>55</v>
      </c>
      <c r="N168" s="5" t="s">
        <v>60</v>
      </c>
      <c r="O168" s="5" t="s">
        <v>54</v>
      </c>
      <c r="P168" s="5" t="s">
        <v>209</v>
      </c>
      <c r="Q168" s="5" t="s">
        <v>207</v>
      </c>
      <c r="R168" s="5" t="s">
        <v>210</v>
      </c>
      <c r="S168" s="1">
        <v>5</v>
      </c>
      <c r="T168" s="1">
        <v>64</v>
      </c>
      <c r="U168" s="1">
        <v>35</v>
      </c>
    </row>
    <row r="169" spans="1:21" ht="28.8" x14ac:dyDescent="0.3">
      <c r="A169" s="43">
        <v>154</v>
      </c>
      <c r="B169" s="4"/>
      <c r="C169" s="6" t="s">
        <v>196</v>
      </c>
      <c r="D169" s="5"/>
      <c r="E169" s="5" t="s">
        <v>70</v>
      </c>
      <c r="F169" s="5" t="s">
        <v>64</v>
      </c>
      <c r="G169" s="5" t="s">
        <v>208</v>
      </c>
      <c r="H169" s="5" t="s">
        <v>58</v>
      </c>
      <c r="I169" s="5" t="s">
        <v>66</v>
      </c>
      <c r="J169" s="5" t="s">
        <v>65</v>
      </c>
      <c r="K169" s="5" t="s">
        <v>53</v>
      </c>
      <c r="L169" s="5" t="s">
        <v>62</v>
      </c>
      <c r="M169" s="5" t="s">
        <v>50</v>
      </c>
      <c r="N169" s="5" t="s">
        <v>51</v>
      </c>
      <c r="O169" s="5" t="s">
        <v>54</v>
      </c>
      <c r="P169" s="5" t="s">
        <v>47</v>
      </c>
      <c r="Q169" s="5" t="s">
        <v>63</v>
      </c>
      <c r="R169" s="5" t="s">
        <v>59</v>
      </c>
      <c r="S169" s="1">
        <v>5</v>
      </c>
      <c r="T169" s="1">
        <v>61</v>
      </c>
      <c r="U169" s="1">
        <v>35</v>
      </c>
    </row>
    <row r="170" spans="1:21" x14ac:dyDescent="0.3">
      <c r="A170" s="43">
        <v>155</v>
      </c>
      <c r="B170" s="4"/>
      <c r="C170" s="6" t="s">
        <v>118</v>
      </c>
      <c r="D170" s="5"/>
      <c r="E170" s="5" t="s">
        <v>69</v>
      </c>
      <c r="F170" s="5" t="s">
        <v>64</v>
      </c>
      <c r="G170" s="5" t="s">
        <v>75</v>
      </c>
      <c r="H170" s="5" t="s">
        <v>58</v>
      </c>
      <c r="I170" s="5" t="s">
        <v>66</v>
      </c>
      <c r="J170" s="5" t="s">
        <v>61</v>
      </c>
      <c r="K170" s="5" t="s">
        <v>53</v>
      </c>
      <c r="L170" s="5" t="s">
        <v>56</v>
      </c>
      <c r="M170" s="5" t="s">
        <v>55</v>
      </c>
      <c r="N170" s="5" t="s">
        <v>60</v>
      </c>
      <c r="O170" s="5" t="s">
        <v>54</v>
      </c>
      <c r="P170" s="5" t="s">
        <v>47</v>
      </c>
      <c r="Q170" s="5" t="s">
        <v>207</v>
      </c>
      <c r="R170" s="5" t="s">
        <v>210</v>
      </c>
      <c r="S170" s="1">
        <v>4</v>
      </c>
      <c r="T170" s="1">
        <v>60</v>
      </c>
      <c r="U170" s="1">
        <v>52</v>
      </c>
    </row>
    <row r="171" spans="1:21" x14ac:dyDescent="0.3">
      <c r="A171" s="43">
        <v>156</v>
      </c>
      <c r="B171" s="4"/>
      <c r="C171" s="6" t="s">
        <v>128</v>
      </c>
      <c r="D171" s="5"/>
      <c r="E171" s="5" t="s">
        <v>69</v>
      </c>
      <c r="F171" s="5" t="s">
        <v>64</v>
      </c>
      <c r="G171" s="5" t="s">
        <v>75</v>
      </c>
      <c r="H171" s="5" t="s">
        <v>58</v>
      </c>
      <c r="I171" s="5" t="s">
        <v>73</v>
      </c>
      <c r="J171" s="5" t="s">
        <v>61</v>
      </c>
      <c r="K171" s="5" t="s">
        <v>72</v>
      </c>
      <c r="L171" s="5" t="s">
        <v>62</v>
      </c>
      <c r="M171" s="5" t="s">
        <v>55</v>
      </c>
      <c r="N171" s="5" t="s">
        <v>60</v>
      </c>
      <c r="O171" s="5" t="s">
        <v>54</v>
      </c>
      <c r="P171" s="5" t="s">
        <v>47</v>
      </c>
      <c r="Q171" s="5" t="s">
        <v>63</v>
      </c>
      <c r="R171" s="5" t="s">
        <v>59</v>
      </c>
      <c r="S171" s="1">
        <v>4</v>
      </c>
      <c r="T171" s="1">
        <v>60</v>
      </c>
      <c r="U171" s="1">
        <v>46</v>
      </c>
    </row>
    <row r="172" spans="1:21" ht="28.8" x14ac:dyDescent="0.3">
      <c r="A172" s="43">
        <v>157</v>
      </c>
      <c r="B172" s="4"/>
      <c r="C172" s="6" t="s">
        <v>90</v>
      </c>
      <c r="D172" s="5"/>
      <c r="E172" s="5" t="s">
        <v>70</v>
      </c>
      <c r="F172" s="5" t="s">
        <v>64</v>
      </c>
      <c r="G172" s="5" t="s">
        <v>75</v>
      </c>
      <c r="H172" s="5" t="s">
        <v>58</v>
      </c>
      <c r="I172" s="5" t="s">
        <v>73</v>
      </c>
      <c r="J172" s="5" t="s">
        <v>61</v>
      </c>
      <c r="K172" s="5" t="s">
        <v>53</v>
      </c>
      <c r="L172" s="5" t="s">
        <v>56</v>
      </c>
      <c r="M172" s="5" t="s">
        <v>55</v>
      </c>
      <c r="N172" s="5" t="s">
        <v>60</v>
      </c>
      <c r="O172" s="5" t="s">
        <v>54</v>
      </c>
      <c r="P172" s="5" t="s">
        <v>209</v>
      </c>
      <c r="Q172" s="5" t="s">
        <v>63</v>
      </c>
      <c r="R172" s="5" t="s">
        <v>210</v>
      </c>
      <c r="S172" s="1">
        <v>4</v>
      </c>
      <c r="T172" s="1">
        <v>70</v>
      </c>
      <c r="U172" s="1">
        <v>44</v>
      </c>
    </row>
    <row r="173" spans="1:21" ht="28.8" x14ac:dyDescent="0.3">
      <c r="A173" s="43">
        <v>158</v>
      </c>
      <c r="B173" s="4"/>
      <c r="C173" s="6" t="s">
        <v>104</v>
      </c>
      <c r="D173" s="5"/>
      <c r="E173" s="5" t="s">
        <v>69</v>
      </c>
      <c r="F173" s="5" t="s">
        <v>64</v>
      </c>
      <c r="G173" s="5" t="s">
        <v>75</v>
      </c>
      <c r="H173" s="5" t="s">
        <v>58</v>
      </c>
      <c r="I173" s="5" t="s">
        <v>66</v>
      </c>
      <c r="J173" s="5" t="s">
        <v>61</v>
      </c>
      <c r="K173" s="5" t="s">
        <v>53</v>
      </c>
      <c r="L173" s="5" t="s">
        <v>56</v>
      </c>
      <c r="M173" s="5" t="s">
        <v>55</v>
      </c>
      <c r="N173" s="5" t="s">
        <v>60</v>
      </c>
      <c r="O173" s="5" t="s">
        <v>54</v>
      </c>
      <c r="P173" s="5" t="s">
        <v>47</v>
      </c>
      <c r="Q173" s="5" t="s">
        <v>207</v>
      </c>
      <c r="R173" s="5" t="s">
        <v>210</v>
      </c>
      <c r="S173" s="1">
        <v>4</v>
      </c>
      <c r="T173" s="1">
        <v>66</v>
      </c>
      <c r="U173" s="1">
        <v>38</v>
      </c>
    </row>
    <row r="174" spans="1:21" x14ac:dyDescent="0.3">
      <c r="A174" s="43">
        <v>159</v>
      </c>
      <c r="B174" s="4"/>
      <c r="C174" s="6" t="s">
        <v>101</v>
      </c>
      <c r="D174" s="5"/>
      <c r="E174" s="5" t="s">
        <v>69</v>
      </c>
      <c r="F174" s="5" t="s">
        <v>64</v>
      </c>
      <c r="G174" s="5" t="s">
        <v>75</v>
      </c>
      <c r="H174" s="5" t="s">
        <v>58</v>
      </c>
      <c r="I174" s="5" t="s">
        <v>73</v>
      </c>
      <c r="J174" s="5" t="s">
        <v>61</v>
      </c>
      <c r="K174" s="5" t="s">
        <v>72</v>
      </c>
      <c r="L174" s="5" t="s">
        <v>62</v>
      </c>
      <c r="M174" s="5" t="s">
        <v>55</v>
      </c>
      <c r="N174" s="5" t="s">
        <v>60</v>
      </c>
      <c r="O174" s="5" t="s">
        <v>54</v>
      </c>
      <c r="P174" s="5" t="s">
        <v>47</v>
      </c>
      <c r="Q174" s="5" t="s">
        <v>63</v>
      </c>
      <c r="R174" s="5" t="s">
        <v>210</v>
      </c>
      <c r="S174" s="1">
        <v>3</v>
      </c>
      <c r="T174" s="1">
        <v>64</v>
      </c>
      <c r="U174" s="1">
        <v>40</v>
      </c>
    </row>
    <row r="175" spans="1:21" ht="28.8" x14ac:dyDescent="0.3">
      <c r="A175" s="43">
        <v>160</v>
      </c>
      <c r="B175" s="4"/>
      <c r="C175" s="6" t="s">
        <v>160</v>
      </c>
      <c r="D175" s="5"/>
      <c r="E175" s="5" t="s">
        <v>70</v>
      </c>
      <c r="F175" s="5" t="s">
        <v>64</v>
      </c>
      <c r="G175" s="5" t="s">
        <v>75</v>
      </c>
      <c r="H175" s="5" t="s">
        <v>68</v>
      </c>
      <c r="I175" s="5" t="s">
        <v>66</v>
      </c>
      <c r="J175" s="5" t="s">
        <v>61</v>
      </c>
      <c r="K175" s="5" t="s">
        <v>72</v>
      </c>
      <c r="L175" s="5" t="s">
        <v>56</v>
      </c>
      <c r="M175" s="5" t="s">
        <v>50</v>
      </c>
      <c r="N175" s="5" t="s">
        <v>60</v>
      </c>
      <c r="O175" s="5" t="s">
        <v>54</v>
      </c>
      <c r="P175" s="5" t="s">
        <v>47</v>
      </c>
      <c r="Q175" s="5" t="s">
        <v>63</v>
      </c>
      <c r="R175" s="5" t="s">
        <v>59</v>
      </c>
      <c r="S175" s="1">
        <v>2</v>
      </c>
      <c r="T175" s="1">
        <v>41</v>
      </c>
      <c r="U175" s="1">
        <v>45</v>
      </c>
    </row>
    <row r="176" spans="1:21" ht="28.8" x14ac:dyDescent="0.3">
      <c r="A176" s="43">
        <v>161</v>
      </c>
      <c r="B176" s="4"/>
      <c r="C176" s="6" t="s">
        <v>170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1">
        <v>0</v>
      </c>
      <c r="T176" s="1">
        <v>52</v>
      </c>
      <c r="U176" s="1"/>
    </row>
    <row r="177" spans="1:21" ht="28.8" x14ac:dyDescent="0.3">
      <c r="A177" s="43">
        <v>162</v>
      </c>
      <c r="B177" s="4"/>
      <c r="C177" s="6" t="s">
        <v>197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1">
        <v>0</v>
      </c>
      <c r="T177" s="1">
        <v>41</v>
      </c>
      <c r="U177" s="1"/>
    </row>
    <row r="178" spans="1:21" x14ac:dyDescent="0.3">
      <c r="A178" s="43">
        <v>163</v>
      </c>
      <c r="B178" s="4"/>
      <c r="C178" s="6" t="s">
        <v>131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1">
        <v>0</v>
      </c>
      <c r="T178" s="1">
        <v>51</v>
      </c>
      <c r="U178" s="1"/>
    </row>
  </sheetData>
  <mergeCells count="4">
    <mergeCell ref="A9:A15"/>
    <mergeCell ref="B9:B15"/>
    <mergeCell ref="S9:S15"/>
    <mergeCell ref="T9:T15"/>
  </mergeCells>
  <conditionalFormatting sqref="E2:K3 R2:R3 R7 M2:O3">
    <cfRule type="cellIs" dxfId="75" priority="19" operator="equal">
      <formula>"Y"</formula>
    </cfRule>
    <cfRule type="cellIs" dxfId="74" priority="20" operator="equal">
      <formula>"N"</formula>
    </cfRule>
  </conditionalFormatting>
  <conditionalFormatting sqref="E7:K7 M7:O7">
    <cfRule type="cellIs" dxfId="73" priority="17" operator="equal">
      <formula>"Y"</formula>
    </cfRule>
    <cfRule type="cellIs" dxfId="72" priority="18" operator="equal">
      <formula>"N"</formula>
    </cfRule>
  </conditionalFormatting>
  <conditionalFormatting sqref="T7">
    <cfRule type="cellIs" dxfId="71" priority="15" operator="equal">
      <formula>"Y"</formula>
    </cfRule>
    <cfRule type="cellIs" dxfId="70" priority="16" operator="equal">
      <formula>"N"</formula>
    </cfRule>
  </conditionalFormatting>
  <conditionalFormatting sqref="P4">
    <cfRule type="colorScale" priority="14">
      <colorScale>
        <cfvo type="min"/>
        <cfvo type="max"/>
        <color rgb="FFFF7128"/>
        <color rgb="FFFFEF9C"/>
      </colorScale>
    </cfRule>
  </conditionalFormatting>
  <conditionalFormatting sqref="P2:P3">
    <cfRule type="cellIs" dxfId="69" priority="12" operator="equal">
      <formula>"Y"</formula>
    </cfRule>
    <cfRule type="cellIs" dxfId="68" priority="13" operator="equal">
      <formula>"N"</formula>
    </cfRule>
  </conditionalFormatting>
  <conditionalFormatting sqref="P7">
    <cfRule type="cellIs" dxfId="67" priority="10" operator="equal">
      <formula>"Y"</formula>
    </cfRule>
    <cfRule type="cellIs" dxfId="66" priority="11" operator="equal">
      <formula>"N"</formula>
    </cfRule>
  </conditionalFormatting>
  <conditionalFormatting sqref="Q4">
    <cfRule type="colorScale" priority="9">
      <colorScale>
        <cfvo type="min"/>
        <cfvo type="max"/>
        <color rgb="FFFF7128"/>
        <color rgb="FFFFEF9C"/>
      </colorScale>
    </cfRule>
  </conditionalFormatting>
  <conditionalFormatting sqref="Q2:Q3">
    <cfRule type="cellIs" dxfId="65" priority="7" operator="equal">
      <formula>"Y"</formula>
    </cfRule>
    <cfRule type="cellIs" dxfId="64" priority="8" operator="equal">
      <formula>"N"</formula>
    </cfRule>
  </conditionalFormatting>
  <conditionalFormatting sqref="Q7">
    <cfRule type="cellIs" dxfId="63" priority="5" operator="equal">
      <formula>"Y"</formula>
    </cfRule>
    <cfRule type="cellIs" dxfId="62" priority="6" operator="equal">
      <formula>"N"</formula>
    </cfRule>
  </conditionalFormatting>
  <conditionalFormatting sqref="E4:O4 R4">
    <cfRule type="colorScale" priority="22">
      <colorScale>
        <cfvo type="min"/>
        <cfvo type="max"/>
        <color rgb="FFFF7128"/>
        <color rgb="FFFFEF9C"/>
      </colorScale>
    </cfRule>
  </conditionalFormatting>
  <conditionalFormatting sqref="L7">
    <cfRule type="cellIs" dxfId="61" priority="3" operator="equal">
      <formula>"Y"</formula>
    </cfRule>
    <cfRule type="cellIs" dxfId="60" priority="4" operator="equal">
      <formula>"N"</formula>
    </cfRule>
  </conditionalFormatting>
  <conditionalFormatting sqref="L2">
    <cfRule type="cellIs" dxfId="59" priority="1" operator="equal">
      <formula>"Y"</formula>
    </cfRule>
    <cfRule type="cellIs" dxfId="58" priority="2" operator="equal">
      <formula>"N"</formula>
    </cfRule>
  </conditionalFormatting>
  <hyperlinks>
    <hyperlink ref="C16" r:id="rId1" display="https://poolhost.com/profootball/playerstats/1671837"/>
    <hyperlink ref="C17" r:id="rId2" display="https://poolhost.com/profootball/playerstats/1657583"/>
    <hyperlink ref="C18" r:id="rId3" display="https://poolhost.com/profootball/playerstats/1705249"/>
    <hyperlink ref="C19" r:id="rId4" display="https://poolhost.com/profootball/playerstats/1670025"/>
    <hyperlink ref="C20" r:id="rId5" display="https://poolhost.com/profootball/playerstats/1705029"/>
    <hyperlink ref="C21" r:id="rId6" display="https://poolhost.com/profootball/playerstats/1691673"/>
    <hyperlink ref="C22" r:id="rId7" display="https://poolhost.com/profootball/playerstats/1722233"/>
    <hyperlink ref="C23" r:id="rId8" display="https://poolhost.com/profootball/playerstats/1673248"/>
    <hyperlink ref="C24" r:id="rId9" display="https://poolhost.com/profootball/playerstats/1683389"/>
    <hyperlink ref="C25" r:id="rId10" display="https://poolhost.com/profootball/playerstats/1681946"/>
    <hyperlink ref="C26" r:id="rId11" display="https://poolhost.com/profootball/playerstats/1705272"/>
    <hyperlink ref="C27" r:id="rId12" display="https://poolhost.com/profootball/playerstats/1657214"/>
    <hyperlink ref="C28" r:id="rId13" display="https://poolhost.com/profootball/playerstats/1665810"/>
    <hyperlink ref="C29" r:id="rId14" display="https://poolhost.com/profootball/playerstats/1670226"/>
    <hyperlink ref="C30" r:id="rId15" display="https://poolhost.com/profootball/playerstats/1730347"/>
    <hyperlink ref="C31" r:id="rId16" display="https://poolhost.com/profootball/playerstats/1657801"/>
    <hyperlink ref="C32" r:id="rId17" display="https://poolhost.com/profootball/playerstats/1665910"/>
    <hyperlink ref="C33" r:id="rId18" display="https://poolhost.com/profootball/playerstats/1694354"/>
    <hyperlink ref="C34" r:id="rId19" display="https://poolhost.com/profootball/playerstats/1679300"/>
    <hyperlink ref="C35" r:id="rId20" display="https://poolhost.com/profootball/playerstats/1681897"/>
    <hyperlink ref="C36" r:id="rId21" display="https://poolhost.com/profootball/playerstats/1684491"/>
    <hyperlink ref="C37" r:id="rId22" display="https://poolhost.com/profootball/playerstats/1678377"/>
    <hyperlink ref="C38" r:id="rId23" display="https://poolhost.com/profootball/playerstats/1721307"/>
    <hyperlink ref="C39" r:id="rId24" display="https://poolhost.com/profootball/playerstats/1732411"/>
    <hyperlink ref="C40" r:id="rId25" display="https://poolhost.com/profootball/playerstats/1729617"/>
    <hyperlink ref="C41" r:id="rId26" display="https://poolhost.com/profootball/playerstats/1676125"/>
    <hyperlink ref="C42" r:id="rId27" display="https://poolhost.com/profootball/playerstats/1667376"/>
    <hyperlink ref="C43" r:id="rId28" display="https://poolhost.com/profootball/playerstats/1732254"/>
    <hyperlink ref="C44" r:id="rId29" display="https://poolhost.com/profootball/playerstats/1667937"/>
    <hyperlink ref="C45" r:id="rId30" display="https://poolhost.com/profootball/playerstats/1731690"/>
    <hyperlink ref="C46" r:id="rId31" display="https://poolhost.com/profootball/playerstats/1733218"/>
    <hyperlink ref="C47" r:id="rId32" display="https://poolhost.com/profootball/playerstats/1682884"/>
    <hyperlink ref="C48" r:id="rId33" display="https://poolhost.com/profootball/playerstats/1659558"/>
    <hyperlink ref="C49" r:id="rId34" display="https://poolhost.com/profootball/playerstats/1715552"/>
    <hyperlink ref="C50" r:id="rId35" display="https://poolhost.com/profootball/playerstats/1680041"/>
    <hyperlink ref="C51" r:id="rId36" display="https://poolhost.com/profootball/playerstats/1679667"/>
    <hyperlink ref="C52" r:id="rId37" display="https://poolhost.com/profootball/playerstats/1649126"/>
    <hyperlink ref="C53" r:id="rId38" display="https://poolhost.com/profootball/playerstats/1679009"/>
    <hyperlink ref="C54" r:id="rId39" display="https://poolhost.com/profootball/playerstats/1668682"/>
    <hyperlink ref="C55" r:id="rId40" display="https://poolhost.com/profootball/playerstats/1660811"/>
    <hyperlink ref="C56" r:id="rId41" display="https://poolhost.com/profootball/playerstats/1673222"/>
    <hyperlink ref="C57" r:id="rId42" display="https://poolhost.com/profootball/playerstats/1732953"/>
    <hyperlink ref="C58" r:id="rId43" display="https://poolhost.com/profootball/playerstats/1654623"/>
    <hyperlink ref="C59" r:id="rId44" display="https://poolhost.com/profootball/playerstats/1673761"/>
    <hyperlink ref="C60" r:id="rId45" display="https://poolhost.com/profootball/playerstats/1665631"/>
    <hyperlink ref="C61" r:id="rId46" display="https://poolhost.com/profootball/playerstats/1661711"/>
    <hyperlink ref="C62" r:id="rId47" display="https://poolhost.com/profootball/playerstats/1705346"/>
    <hyperlink ref="C63" r:id="rId48" display="https://poolhost.com/profootball/playerstats/1732788"/>
    <hyperlink ref="C64" r:id="rId49" display="https://poolhost.com/profootball/playerstats/1654500"/>
    <hyperlink ref="C65" r:id="rId50" display="https://poolhost.com/profootball/playerstats/1731755"/>
    <hyperlink ref="C66" r:id="rId51" display="https://poolhost.com/profootball/playerstats/1654603"/>
    <hyperlink ref="C67" r:id="rId52" display="https://poolhost.com/profootball/playerstats/1702170"/>
    <hyperlink ref="C68" r:id="rId53" display="https://poolhost.com/profootball/playerstats/1667866"/>
    <hyperlink ref="C69" r:id="rId54" display="https://poolhost.com/profootball/playerstats/1679156"/>
    <hyperlink ref="C70" r:id="rId55" display="https://poolhost.com/profootball/playerstats/1697912"/>
    <hyperlink ref="C71" r:id="rId56" display="https://poolhost.com/profootball/playerstats/1730270"/>
    <hyperlink ref="C72" r:id="rId57" display="https://poolhost.com/profootball/playerstats/1677370"/>
    <hyperlink ref="C73" r:id="rId58" display="https://poolhost.com/profootball/playerstats/1727817"/>
    <hyperlink ref="C74" r:id="rId59" display="https://poolhost.com/profootball/playerstats/1729491"/>
    <hyperlink ref="C75" r:id="rId60" display="https://poolhost.com/profootball/playerstats/1678667"/>
    <hyperlink ref="C76" r:id="rId61" display="https://poolhost.com/profootball/playerstats/1699810"/>
    <hyperlink ref="C77" r:id="rId62" display="https://poolhost.com/profootball/playerstats/1741250"/>
    <hyperlink ref="C78" r:id="rId63" display="https://poolhost.com/profootball/playerstats/1731780"/>
    <hyperlink ref="C79" r:id="rId64" display="https://poolhost.com/profootball/playerstats/1727170"/>
    <hyperlink ref="C80" r:id="rId65" display="https://poolhost.com/profootball/playerstats/1729262"/>
    <hyperlink ref="C81" r:id="rId66" display="https://poolhost.com/profootball/playerstats/1735486"/>
    <hyperlink ref="C82" r:id="rId67" display="https://poolhost.com/profootball/playerstats/1676654"/>
    <hyperlink ref="C83" r:id="rId68" display="https://poolhost.com/profootball/playerstats/1686727"/>
    <hyperlink ref="C84" r:id="rId69" display="https://poolhost.com/profootball/playerstats/1670484"/>
    <hyperlink ref="C85" r:id="rId70" display="https://poolhost.com/profootball/playerstats/1656464"/>
    <hyperlink ref="C86" r:id="rId71" display="https://poolhost.com/profootball/playerstats/1685066"/>
    <hyperlink ref="C87" r:id="rId72" display="https://poolhost.com/profootball/playerstats/1703435"/>
    <hyperlink ref="C88" r:id="rId73" display="https://poolhost.com/profootball/playerstats/1699295"/>
    <hyperlink ref="C89" r:id="rId74" display="https://poolhost.com/profootball/playerstats/1728782"/>
    <hyperlink ref="C90" r:id="rId75" display="https://poolhost.com/profootball/playerstats/1655488"/>
    <hyperlink ref="C91" r:id="rId76" display="https://poolhost.com/profootball/playerstats/1658459"/>
    <hyperlink ref="C92" r:id="rId77" display="https://poolhost.com/profootball/playerstats/1672167"/>
    <hyperlink ref="C93" r:id="rId78" display="https://poolhost.com/profootball/playerstats/1659875"/>
    <hyperlink ref="C94" r:id="rId79" display="https://poolhost.com/profootball/playerstats/1659846"/>
    <hyperlink ref="C95" r:id="rId80" display="https://poolhost.com/profootball/playerstats/1668687"/>
    <hyperlink ref="C96" r:id="rId81" display="https://poolhost.com/profootball/playerstats/1723980"/>
    <hyperlink ref="C97" r:id="rId82" display="https://poolhost.com/profootball/playerstats/1702449"/>
    <hyperlink ref="C98" r:id="rId83" display="https://poolhost.com/profootball/playerstats/1699660"/>
    <hyperlink ref="C99" r:id="rId84" display="https://poolhost.com/profootball/playerstats/1700155"/>
    <hyperlink ref="C100" r:id="rId85" display="https://poolhost.com/profootball/playerstats/1654649"/>
    <hyperlink ref="C101" r:id="rId86" display="https://poolhost.com/profootball/playerstats/1722206"/>
    <hyperlink ref="C102" r:id="rId87" display="https://poolhost.com/profootball/playerstats/1654791"/>
    <hyperlink ref="C103" r:id="rId88" display="https://poolhost.com/profootball/playerstats/1662606"/>
    <hyperlink ref="C104" r:id="rId89" display="https://poolhost.com/profootball/playerstats/1674022"/>
    <hyperlink ref="C105" r:id="rId90" display="https://poolhost.com/profootball/playerstats/1700157"/>
    <hyperlink ref="C106" r:id="rId91" display="https://poolhost.com/profootball/playerstats/1701053"/>
    <hyperlink ref="C107" r:id="rId92" display="https://poolhost.com/profootball/playerstats/1665614"/>
    <hyperlink ref="C108" r:id="rId93" display="https://poolhost.com/profootball/playerstats/1663641"/>
    <hyperlink ref="C109" r:id="rId94" display="https://poolhost.com/profootball/playerstats/1665979"/>
    <hyperlink ref="C110" r:id="rId95" display="https://poolhost.com/profootball/playerstats/1681958"/>
    <hyperlink ref="C111" r:id="rId96" display="https://poolhost.com/profootball/playerstats/1669305"/>
    <hyperlink ref="C112" r:id="rId97" display="https://poolhost.com/profootball/playerstats/1655447"/>
    <hyperlink ref="C113" r:id="rId98" display="https://poolhost.com/profootball/playerstats/1695716"/>
    <hyperlink ref="C114" r:id="rId99" display="https://poolhost.com/profootball/playerstats/1708448"/>
    <hyperlink ref="C115" r:id="rId100" display="https://poolhost.com/profootball/playerstats/1683531"/>
    <hyperlink ref="C116" r:id="rId101" display="https://poolhost.com/profootball/playerstats/1726632"/>
    <hyperlink ref="C117" r:id="rId102" display="https://poolhost.com/profootball/playerstats/1709552"/>
    <hyperlink ref="C118" r:id="rId103" display="https://poolhost.com/profootball/playerstats/1672298"/>
    <hyperlink ref="C119" r:id="rId104" display="https://poolhost.com/profootball/playerstats/1666034"/>
    <hyperlink ref="C120" r:id="rId105" display="https://poolhost.com/profootball/playerstats/1661981"/>
    <hyperlink ref="C121" r:id="rId106" display="https://poolhost.com/profootball/playerstats/1674086"/>
    <hyperlink ref="C122" r:id="rId107" display="https://poolhost.com/profootball/playerstats/1734363"/>
    <hyperlink ref="C123" r:id="rId108" display="https://poolhost.com/profootball/playerstats/1657024"/>
    <hyperlink ref="C124" r:id="rId109" display="https://poolhost.com/profootball/playerstats/1722286"/>
    <hyperlink ref="C125" r:id="rId110" display="https://poolhost.com/profootball/playerstats/1684266"/>
    <hyperlink ref="C126" r:id="rId111" display="https://poolhost.com/profootball/playerstats/1671748"/>
    <hyperlink ref="C127" r:id="rId112" display="https://poolhost.com/profootball/playerstats/1684290"/>
    <hyperlink ref="C128" r:id="rId113" display="https://poolhost.com/profootball/playerstats/1707988"/>
    <hyperlink ref="C129" r:id="rId114" display="https://poolhost.com/profootball/playerstats/1654448"/>
    <hyperlink ref="C130" r:id="rId115" display="https://poolhost.com/profootball/playerstats/1696717"/>
    <hyperlink ref="C131" r:id="rId116" display="https://poolhost.com/profootball/playerstats/1708505"/>
    <hyperlink ref="C132" r:id="rId117" display="https://poolhost.com/profootball/playerstats/1708312"/>
    <hyperlink ref="C133" r:id="rId118" display="https://poolhost.com/profootball/playerstats/1703401"/>
    <hyperlink ref="C134" r:id="rId119" display="https://poolhost.com/profootball/playerstats/1678632"/>
    <hyperlink ref="C135" r:id="rId120" display="https://poolhost.com/profootball/playerstats/1701354"/>
    <hyperlink ref="C136" r:id="rId121" display="https://poolhost.com/profootball/playerstats/1728787"/>
    <hyperlink ref="C137" r:id="rId122" display="https://poolhost.com/profootball/playerstats/1732290"/>
    <hyperlink ref="C138" r:id="rId123" display="https://poolhost.com/profootball/playerstats/1711169"/>
    <hyperlink ref="C139" r:id="rId124" display="https://poolhost.com/profootball/playerstats/1685256"/>
    <hyperlink ref="C140" r:id="rId125" display="https://poolhost.com/profootball/playerstats/1705049"/>
    <hyperlink ref="C141" r:id="rId126" display="https://poolhost.com/profootball/playerstats/1695492"/>
    <hyperlink ref="C142" r:id="rId127" display="https://poolhost.com/profootball/playerstats/1668628"/>
    <hyperlink ref="C143" r:id="rId128" display="https://poolhost.com/profootball/playerstats/1726326"/>
    <hyperlink ref="C144" r:id="rId129" display="https://poolhost.com/profootball/playerstats/1662306"/>
    <hyperlink ref="C145" r:id="rId130" display="https://poolhost.com/profootball/playerstats/1708805"/>
    <hyperlink ref="C146" r:id="rId131" display="https://poolhost.com/profootball/playerstats/1666027"/>
    <hyperlink ref="C147" r:id="rId132" display="https://poolhost.com/profootball/playerstats/1682523"/>
    <hyperlink ref="C148" r:id="rId133" display="https://poolhost.com/profootball/playerstats/1666449"/>
    <hyperlink ref="C149" r:id="rId134" display="https://poolhost.com/profootball/playerstats/1668461"/>
    <hyperlink ref="C150" r:id="rId135" display="https://poolhost.com/profootball/playerstats/1666092"/>
    <hyperlink ref="C151" r:id="rId136" display="https://poolhost.com/profootball/playerstats/1709781"/>
    <hyperlink ref="C152" r:id="rId137" display="https://poolhost.com/profootball/playerstats/1657103"/>
    <hyperlink ref="C153" r:id="rId138" display="https://poolhost.com/profootball/playerstats/1704294"/>
    <hyperlink ref="C154" r:id="rId139" display="https://poolhost.com/profootball/playerstats/1730676"/>
    <hyperlink ref="C155" r:id="rId140" display="https://poolhost.com/profootball/playerstats/1666473"/>
    <hyperlink ref="C156" r:id="rId141" display="https://poolhost.com/profootball/playerstats/1686915"/>
    <hyperlink ref="C157" r:id="rId142" display="https://poolhost.com/profootball/playerstats/1654634"/>
    <hyperlink ref="C158" r:id="rId143" display="https://poolhost.com/profootball/playerstats/1687892"/>
    <hyperlink ref="C159" r:id="rId144" display="https://poolhost.com/profootball/playerstats/1669212"/>
    <hyperlink ref="C160" r:id="rId145" display="https://poolhost.com/profootball/playerstats/1673234"/>
    <hyperlink ref="C161" r:id="rId146" display="https://poolhost.com/profootball/playerstats/1654484"/>
    <hyperlink ref="C162" r:id="rId147" display="https://poolhost.com/profootball/playerstats/1733415"/>
    <hyperlink ref="C163" r:id="rId148" display="https://poolhost.com/profootball/playerstats/1712780"/>
    <hyperlink ref="C164" r:id="rId149" display="https://poolhost.com/profootball/playerstats/1721401"/>
    <hyperlink ref="C165" r:id="rId150" display="https://poolhost.com/profootball/playerstats/1654485"/>
    <hyperlink ref="C166" r:id="rId151" display="https://poolhost.com/profootball/playerstats/1649341"/>
    <hyperlink ref="C167" r:id="rId152" display="https://poolhost.com/profootball/playerstats/1677049"/>
    <hyperlink ref="C168" r:id="rId153" display="https://poolhost.com/profootball/playerstats/1694017"/>
    <hyperlink ref="C169" r:id="rId154" display="https://poolhost.com/profootball/playerstats/1729314"/>
    <hyperlink ref="C170" r:id="rId155" display="https://poolhost.com/profootball/playerstats/1724223"/>
    <hyperlink ref="C171" r:id="rId156" display="https://poolhost.com/profootball/playerstats/1669323"/>
    <hyperlink ref="C172" r:id="rId157" display="https://poolhost.com/profootball/playerstats/1732851"/>
    <hyperlink ref="C173" r:id="rId158" display="https://poolhost.com/profootball/playerstats/1725535"/>
    <hyperlink ref="C174" r:id="rId159" display="https://poolhost.com/profootball/playerstats/1663101"/>
    <hyperlink ref="C175" r:id="rId160" display="https://poolhost.com/profootball/playerstats/1657241"/>
    <hyperlink ref="C176" r:id="rId161" display="https://poolhost.com/profootball/playerstats/1704026"/>
    <hyperlink ref="C177" r:id="rId162" display="https://poolhost.com/profootball/playerstats/1732996"/>
    <hyperlink ref="C178" r:id="rId163" display="https://poolhost.com/profootball/playerstats/1734172"/>
  </hyperlinks>
  <pageMargins left="0.7" right="0.7" top="0.75" bottom="0.75" header="0.3" footer="0.3"/>
  <pageSetup orientation="portrait" r:id="rId16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8"/>
  <sheetViews>
    <sheetView zoomScaleNormal="100" workbookViewId="0">
      <selection activeCell="V1" sqref="V1:V14"/>
    </sheetView>
  </sheetViews>
  <sheetFormatPr defaultRowHeight="14.4" x14ac:dyDescent="0.3"/>
  <sheetData>
    <row r="1" spans="1:26" ht="15" thickBot="1" x14ac:dyDescent="0.35">
      <c r="A1" s="2" t="s">
        <v>0</v>
      </c>
      <c r="D1">
        <v>2</v>
      </c>
      <c r="E1">
        <f>D1+1</f>
        <v>3</v>
      </c>
      <c r="F1">
        <f t="shared" ref="F1:S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 t="s">
        <v>226</v>
      </c>
      <c r="U1" s="16">
        <v>0</v>
      </c>
      <c r="V1" s="11">
        <f>COUNTIF(R$16:R$200,U1)</f>
        <v>6</v>
      </c>
      <c r="W1" s="20">
        <f t="shared" ref="W1:W14" si="1">V1/SUM(V$1:V$13)</f>
        <v>3.6809815950920248E-2</v>
      </c>
      <c r="X1" s="33"/>
      <c r="Y1" t="s">
        <v>227</v>
      </c>
    </row>
    <row r="2" spans="1:26" ht="15" thickBot="1" x14ac:dyDescent="0.35">
      <c r="A2" s="2" t="s">
        <v>1</v>
      </c>
      <c r="C2" t="s">
        <v>204</v>
      </c>
      <c r="E2" s="24" t="str">
        <f t="shared" ref="E2:O3" si="2">IF(VLOOKUP($C2,$C$16:$AA$192,E$1,FALSE)=E$8,"Y","N")</f>
        <v>N</v>
      </c>
      <c r="F2" s="25" t="str">
        <f t="shared" si="2"/>
        <v>N</v>
      </c>
      <c r="G2" s="25" t="str">
        <f t="shared" si="2"/>
        <v>Y</v>
      </c>
      <c r="H2" s="25" t="str">
        <f t="shared" si="2"/>
        <v>Y</v>
      </c>
      <c r="I2" s="25" t="str">
        <f t="shared" si="2"/>
        <v>Y</v>
      </c>
      <c r="J2" s="25" t="str">
        <f t="shared" si="2"/>
        <v>N</v>
      </c>
      <c r="K2" s="25" t="str">
        <f t="shared" si="2"/>
        <v>N</v>
      </c>
      <c r="L2" s="25" t="str">
        <f t="shared" si="2"/>
        <v>N</v>
      </c>
      <c r="M2" s="25" t="str">
        <f t="shared" si="2"/>
        <v>Y</v>
      </c>
      <c r="N2" s="25" t="str">
        <f t="shared" si="2"/>
        <v>N</v>
      </c>
      <c r="O2" s="25" t="str">
        <f t="shared" si="2"/>
        <v>Y</v>
      </c>
      <c r="P2" s="39"/>
      <c r="Q2" s="25" t="str">
        <f>IF(VLOOKUP($C2,$C$16:$AA$192,Q$1,FALSE)=Q$8,"Y","N")</f>
        <v>N</v>
      </c>
      <c r="R2" s="19">
        <f>VLOOKUP($C2,$C$16:$AA$192,R$1,FALSE)</f>
        <v>5</v>
      </c>
      <c r="S2" s="19">
        <f>VLOOKUP($C2,$C$16:$AA$192,S$1,FALSE)</f>
        <v>80</v>
      </c>
      <c r="T2" s="44" t="str">
        <f>IF(COUNTIF($E2:Q2,"Y")=R2,"","check")</f>
        <v/>
      </c>
      <c r="U2" s="23">
        <f>U1+1</f>
        <v>1</v>
      </c>
      <c r="V2" s="12">
        <f t="shared" ref="V2:V14" si="3">COUNTIF(R$16:R$200,U2)</f>
        <v>0</v>
      </c>
      <c r="W2" s="21">
        <f t="shared" si="1"/>
        <v>0</v>
      </c>
      <c r="X2" s="33"/>
      <c r="Y2">
        <v>0</v>
      </c>
      <c r="Z2">
        <f>COUNTIF(T$16:T$179,Y2)</f>
        <v>0</v>
      </c>
    </row>
    <row r="3" spans="1:26" ht="15" thickBot="1" x14ac:dyDescent="0.35">
      <c r="A3" s="2" t="s">
        <v>2</v>
      </c>
      <c r="C3" t="s">
        <v>162</v>
      </c>
      <c r="E3" s="13" t="str">
        <f t="shared" si="2"/>
        <v>N</v>
      </c>
      <c r="F3" s="14" t="str">
        <f t="shared" si="2"/>
        <v>N</v>
      </c>
      <c r="G3" s="14" t="str">
        <f t="shared" si="2"/>
        <v>N</v>
      </c>
      <c r="H3" s="14" t="str">
        <f t="shared" si="2"/>
        <v>N</v>
      </c>
      <c r="I3" s="14" t="str">
        <f t="shared" si="2"/>
        <v>Y</v>
      </c>
      <c r="J3" s="14" t="str">
        <f t="shared" si="2"/>
        <v>N</v>
      </c>
      <c r="K3" s="14" t="str">
        <f t="shared" si="2"/>
        <v>Y</v>
      </c>
      <c r="L3" s="14" t="str">
        <f t="shared" si="2"/>
        <v>Y</v>
      </c>
      <c r="M3" s="14" t="str">
        <f t="shared" si="2"/>
        <v>Y</v>
      </c>
      <c r="N3" s="14" t="str">
        <f t="shared" si="2"/>
        <v>N</v>
      </c>
      <c r="O3" s="14" t="str">
        <f t="shared" si="2"/>
        <v>N</v>
      </c>
      <c r="P3" s="40"/>
      <c r="Q3" s="14" t="str">
        <f>IF(VLOOKUP($C3,$C$16:$AA$192,Q$1,FALSE)=Q$8,"Y","N")</f>
        <v>Y</v>
      </c>
      <c r="R3" s="18">
        <f>VLOOKUP($C3,$C$16:$AA$192,R$1,FALSE)</f>
        <v>5</v>
      </c>
      <c r="S3" s="18">
        <f>VLOOKUP($C3,$C$16:$AA$192,S$1,FALSE)</f>
        <v>73</v>
      </c>
      <c r="T3" s="44" t="str">
        <f>IF(COUNTIF($E3:Q3,"Y")=R3,"","check")</f>
        <v/>
      </c>
      <c r="U3" s="23">
        <f t="shared" ref="U3:U14" si="4">U2+1</f>
        <v>2</v>
      </c>
      <c r="V3" s="12">
        <f t="shared" si="3"/>
        <v>1</v>
      </c>
      <c r="W3" s="21">
        <f t="shared" si="1"/>
        <v>6.1349693251533744E-3</v>
      </c>
      <c r="X3" s="33"/>
      <c r="Y3">
        <v>1</v>
      </c>
      <c r="Z3">
        <f t="shared" ref="Z3:Z66" si="5">COUNTIF(T$16:T$179,Y3)</f>
        <v>0</v>
      </c>
    </row>
    <row r="4" spans="1:26" x14ac:dyDescent="0.3">
      <c r="A4" s="2" t="s">
        <v>3</v>
      </c>
      <c r="C4" t="s">
        <v>205</v>
      </c>
      <c r="E4" s="9">
        <f>E5/SUM(E5:E6)</f>
        <v>0.47770700636942676</v>
      </c>
      <c r="F4" s="9">
        <f t="shared" ref="F4:Q4" si="6">F5/SUM(F5:F6)</f>
        <v>0.55414012738853502</v>
      </c>
      <c r="G4" s="9">
        <f t="shared" si="6"/>
        <v>0.29936305732484075</v>
      </c>
      <c r="H4" s="9">
        <f t="shared" si="6"/>
        <v>0.21656050955414013</v>
      </c>
      <c r="I4" s="9">
        <f t="shared" si="6"/>
        <v>0.40127388535031849</v>
      </c>
      <c r="J4" s="9">
        <f t="shared" si="6"/>
        <v>0.28662420382165604</v>
      </c>
      <c r="K4" s="9">
        <f t="shared" si="6"/>
        <v>0.60509554140127386</v>
      </c>
      <c r="L4" s="9">
        <f t="shared" si="6"/>
        <v>0.59235668789808915</v>
      </c>
      <c r="M4" s="9">
        <f t="shared" si="6"/>
        <v>0.75159235668789814</v>
      </c>
      <c r="N4" s="9">
        <f t="shared" si="6"/>
        <v>0.5286624203821656</v>
      </c>
      <c r="O4" s="9">
        <f t="shared" si="6"/>
        <v>0.24840764331210191</v>
      </c>
      <c r="P4" s="9">
        <f t="shared" si="6"/>
        <v>0.24840764331210191</v>
      </c>
      <c r="Q4" s="9">
        <f t="shared" si="6"/>
        <v>0.6560509554140127</v>
      </c>
      <c r="R4" s="10" t="s">
        <v>217</v>
      </c>
      <c r="S4" s="10" t="s">
        <v>218</v>
      </c>
      <c r="U4" s="23">
        <f t="shared" si="4"/>
        <v>3</v>
      </c>
      <c r="V4" s="12">
        <f t="shared" si="3"/>
        <v>2</v>
      </c>
      <c r="W4" s="21">
        <f t="shared" si="1"/>
        <v>1.2269938650306749E-2</v>
      </c>
      <c r="X4" s="33"/>
      <c r="Y4">
        <v>2</v>
      </c>
      <c r="Z4">
        <f t="shared" si="5"/>
        <v>0</v>
      </c>
    </row>
    <row r="5" spans="1:26" x14ac:dyDescent="0.3">
      <c r="A5" s="2" t="s">
        <v>0</v>
      </c>
      <c r="C5" t="s">
        <v>202</v>
      </c>
      <c r="D5">
        <f t="shared" ref="D5:Q5" si="7">COUNTIF(D$16:D$197,D10)</f>
        <v>0</v>
      </c>
      <c r="E5">
        <f t="shared" si="7"/>
        <v>75</v>
      </c>
      <c r="F5">
        <f t="shared" si="7"/>
        <v>87</v>
      </c>
      <c r="G5">
        <f t="shared" si="7"/>
        <v>47</v>
      </c>
      <c r="H5">
        <f t="shared" si="7"/>
        <v>34</v>
      </c>
      <c r="I5">
        <f t="shared" si="7"/>
        <v>63</v>
      </c>
      <c r="J5">
        <f t="shared" si="7"/>
        <v>45</v>
      </c>
      <c r="K5">
        <f t="shared" si="7"/>
        <v>95</v>
      </c>
      <c r="L5">
        <f t="shared" si="7"/>
        <v>93</v>
      </c>
      <c r="M5">
        <f t="shared" si="7"/>
        <v>118</v>
      </c>
      <c r="N5">
        <f t="shared" si="7"/>
        <v>83</v>
      </c>
      <c r="O5">
        <f t="shared" si="7"/>
        <v>39</v>
      </c>
      <c r="P5">
        <f t="shared" si="7"/>
        <v>39</v>
      </c>
      <c r="Q5">
        <f t="shared" si="7"/>
        <v>103</v>
      </c>
      <c r="U5" s="23">
        <f t="shared" si="4"/>
        <v>4</v>
      </c>
      <c r="V5" s="12">
        <f t="shared" si="3"/>
        <v>5</v>
      </c>
      <c r="W5" s="21">
        <f t="shared" si="1"/>
        <v>3.0674846625766871E-2</v>
      </c>
      <c r="X5" s="33"/>
      <c r="Y5">
        <v>3</v>
      </c>
      <c r="Z5">
        <f t="shared" si="5"/>
        <v>0</v>
      </c>
    </row>
    <row r="6" spans="1:26" ht="15" thickBot="1" x14ac:dyDescent="0.35">
      <c r="A6" s="2" t="s">
        <v>4</v>
      </c>
      <c r="C6" t="s">
        <v>203</v>
      </c>
      <c r="D6">
        <f t="shared" ref="D6:Q6" si="8">COUNTIF(D$16:D$197,D12)</f>
        <v>0</v>
      </c>
      <c r="E6">
        <f t="shared" si="8"/>
        <v>82</v>
      </c>
      <c r="F6">
        <f t="shared" si="8"/>
        <v>70</v>
      </c>
      <c r="G6">
        <f t="shared" si="8"/>
        <v>110</v>
      </c>
      <c r="H6">
        <f t="shared" si="8"/>
        <v>123</v>
      </c>
      <c r="I6">
        <f t="shared" si="8"/>
        <v>94</v>
      </c>
      <c r="J6">
        <f t="shared" si="8"/>
        <v>112</v>
      </c>
      <c r="K6">
        <f t="shared" si="8"/>
        <v>62</v>
      </c>
      <c r="L6">
        <f t="shared" si="8"/>
        <v>64</v>
      </c>
      <c r="M6">
        <f t="shared" si="8"/>
        <v>39</v>
      </c>
      <c r="N6">
        <f t="shared" si="8"/>
        <v>74</v>
      </c>
      <c r="O6">
        <f t="shared" si="8"/>
        <v>118</v>
      </c>
      <c r="P6">
        <f t="shared" si="8"/>
        <v>118</v>
      </c>
      <c r="Q6">
        <f t="shared" si="8"/>
        <v>54</v>
      </c>
      <c r="U6" s="23">
        <f t="shared" si="4"/>
        <v>5</v>
      </c>
      <c r="V6" s="12">
        <f t="shared" si="3"/>
        <v>36</v>
      </c>
      <c r="W6" s="21">
        <f t="shared" si="1"/>
        <v>0.22085889570552147</v>
      </c>
      <c r="X6" s="33"/>
      <c r="Y6">
        <f>Y5+1</f>
        <v>4</v>
      </c>
      <c r="Z6">
        <f t="shared" si="5"/>
        <v>0</v>
      </c>
    </row>
    <row r="7" spans="1:26" ht="15" thickBot="1" x14ac:dyDescent="0.35">
      <c r="A7" s="2"/>
      <c r="C7" t="s">
        <v>213</v>
      </c>
      <c r="E7" s="28" t="str">
        <f>IF(AND(E10=E8,E4&gt;0.5),"Y",IF(AND(E10=E8,E4&lt;0.5),"N",IF(E4&gt;0.5,"Y","N")))</f>
        <v>N</v>
      </c>
      <c r="F7" s="11" t="str">
        <f>IF(AND(F10=F8,F4&gt;0.5),"Y",IF(AND(F10=F8,F4&lt;0.5),"N",IF(F4&gt;0.5,"Y","N")))</f>
        <v>Y</v>
      </c>
      <c r="G7" s="11" t="str">
        <f t="shared" ref="G7:Q7" si="9">IF(AND(G10=G8,G4&gt;0.5),"Y",IF(AND(G10=G8,G4&lt;0.5),"N",IF(G4&lt;0.5,"Y","N")))</f>
        <v>Y</v>
      </c>
      <c r="H7" s="11" t="str">
        <f t="shared" si="9"/>
        <v>Y</v>
      </c>
      <c r="I7" s="11" t="str">
        <f t="shared" si="9"/>
        <v>Y</v>
      </c>
      <c r="J7" s="11" t="str">
        <f t="shared" si="9"/>
        <v>N</v>
      </c>
      <c r="K7" s="11" t="str">
        <f t="shared" si="9"/>
        <v>Y</v>
      </c>
      <c r="L7" s="11" t="str">
        <f t="shared" si="9"/>
        <v>N</v>
      </c>
      <c r="M7" s="11" t="str">
        <f t="shared" si="9"/>
        <v>Y</v>
      </c>
      <c r="N7" s="11" t="str">
        <f t="shared" si="9"/>
        <v>Y</v>
      </c>
      <c r="O7" s="11" t="str">
        <f t="shared" si="9"/>
        <v>Y</v>
      </c>
      <c r="P7" s="39"/>
      <c r="Q7" s="29" t="str">
        <f t="shared" si="9"/>
        <v>N</v>
      </c>
      <c r="R7" s="37" t="s">
        <v>220</v>
      </c>
      <c r="S7" s="38">
        <f>COUNTIF(C7:Q7,"Y")</f>
        <v>8</v>
      </c>
      <c r="U7" s="23">
        <f t="shared" si="4"/>
        <v>6</v>
      </c>
      <c r="V7" s="12">
        <f t="shared" si="3"/>
        <v>29</v>
      </c>
      <c r="W7" s="21">
        <f t="shared" si="1"/>
        <v>0.17791411042944785</v>
      </c>
      <c r="X7" s="33"/>
      <c r="Y7">
        <f t="shared" ref="Y7:Y70" si="10">Y6+1</f>
        <v>5</v>
      </c>
      <c r="Z7">
        <f t="shared" si="5"/>
        <v>0</v>
      </c>
    </row>
    <row r="8" spans="1:26" ht="15" thickBot="1" x14ac:dyDescent="0.35">
      <c r="A8" s="2"/>
      <c r="C8" t="s">
        <v>212</v>
      </c>
      <c r="E8" s="30" t="s">
        <v>68</v>
      </c>
      <c r="F8" s="31" t="s">
        <v>56</v>
      </c>
      <c r="G8" s="31" t="s">
        <v>75</v>
      </c>
      <c r="H8" s="31" t="s">
        <v>207</v>
      </c>
      <c r="I8" s="31" t="s">
        <v>64</v>
      </c>
      <c r="J8" s="31" t="s">
        <v>58</v>
      </c>
      <c r="K8" s="31" t="s">
        <v>59</v>
      </c>
      <c r="L8" s="31" t="s">
        <v>67</v>
      </c>
      <c r="M8" s="31" t="s">
        <v>65</v>
      </c>
      <c r="N8" s="31" t="s">
        <v>55</v>
      </c>
      <c r="O8" s="31" t="s">
        <v>60</v>
      </c>
      <c r="P8" s="40"/>
      <c r="Q8" s="32" t="s">
        <v>208</v>
      </c>
      <c r="U8" s="34">
        <f t="shared" si="4"/>
        <v>7</v>
      </c>
      <c r="V8" s="35">
        <f t="shared" si="3"/>
        <v>35</v>
      </c>
      <c r="W8" s="36">
        <f t="shared" si="1"/>
        <v>0.21472392638036811</v>
      </c>
      <c r="X8" s="33"/>
      <c r="Y8">
        <f t="shared" si="10"/>
        <v>6</v>
      </c>
      <c r="Z8">
        <f t="shared" si="5"/>
        <v>0</v>
      </c>
    </row>
    <row r="9" spans="1:26" x14ac:dyDescent="0.3">
      <c r="A9" s="47" t="s">
        <v>46</v>
      </c>
      <c r="B9" s="47"/>
      <c r="C9" s="2" t="s">
        <v>0</v>
      </c>
      <c r="D9" s="7">
        <v>35</v>
      </c>
      <c r="E9" s="7">
        <v>20</v>
      </c>
      <c r="F9" s="7">
        <v>3</v>
      </c>
      <c r="G9" s="7">
        <v>20</v>
      </c>
      <c r="H9" s="7">
        <v>7</v>
      </c>
      <c r="I9" s="7">
        <v>16</v>
      </c>
      <c r="J9" s="7">
        <v>20</v>
      </c>
      <c r="K9" s="7">
        <v>20</v>
      </c>
      <c r="L9" s="7">
        <v>27</v>
      </c>
      <c r="M9" s="7">
        <v>27</v>
      </c>
      <c r="N9" s="7">
        <v>31</v>
      </c>
      <c r="O9" s="7">
        <v>6</v>
      </c>
      <c r="P9" s="7">
        <v>23</v>
      </c>
      <c r="Q9" s="7">
        <v>15</v>
      </c>
      <c r="R9" s="47" t="s">
        <v>76</v>
      </c>
      <c r="S9" s="47" t="s">
        <v>77</v>
      </c>
      <c r="T9" s="8" t="s">
        <v>225</v>
      </c>
      <c r="U9" s="23">
        <f t="shared" si="4"/>
        <v>8</v>
      </c>
      <c r="V9" s="12">
        <f t="shared" si="3"/>
        <v>29</v>
      </c>
      <c r="W9" s="21">
        <f t="shared" si="1"/>
        <v>0.17791411042944785</v>
      </c>
      <c r="X9" s="33"/>
      <c r="Y9">
        <f t="shared" si="10"/>
        <v>7</v>
      </c>
      <c r="Z9">
        <f t="shared" si="5"/>
        <v>0</v>
      </c>
    </row>
    <row r="10" spans="1:26" x14ac:dyDescent="0.3">
      <c r="A10" s="47"/>
      <c r="B10" s="47"/>
      <c r="C10" s="2" t="s">
        <v>1</v>
      </c>
      <c r="D10" s="7" t="s">
        <v>52</v>
      </c>
      <c r="E10" s="7" t="s">
        <v>68</v>
      </c>
      <c r="F10" s="7" t="s">
        <v>50</v>
      </c>
      <c r="G10" s="7" t="s">
        <v>63</v>
      </c>
      <c r="H10" s="7" t="s">
        <v>51</v>
      </c>
      <c r="I10" s="7" t="s">
        <v>210</v>
      </c>
      <c r="J10" s="7" t="s">
        <v>58</v>
      </c>
      <c r="K10" s="7" t="s">
        <v>59</v>
      </c>
      <c r="L10" s="7" t="s">
        <v>53</v>
      </c>
      <c r="M10" s="7" t="s">
        <v>65</v>
      </c>
      <c r="N10" s="7" t="s">
        <v>55</v>
      </c>
      <c r="O10" s="7" t="s">
        <v>70</v>
      </c>
      <c r="P10" s="7" t="s">
        <v>57</v>
      </c>
      <c r="Q10" s="7" t="s">
        <v>209</v>
      </c>
      <c r="R10" s="47"/>
      <c r="S10" s="47"/>
      <c r="T10" s="8" t="s">
        <v>77</v>
      </c>
      <c r="U10" s="23">
        <f t="shared" si="4"/>
        <v>9</v>
      </c>
      <c r="V10" s="12">
        <f t="shared" si="3"/>
        <v>12</v>
      </c>
      <c r="W10" s="21">
        <f t="shared" si="1"/>
        <v>7.3619631901840496E-2</v>
      </c>
      <c r="X10" s="33"/>
      <c r="Y10">
        <f t="shared" si="10"/>
        <v>8</v>
      </c>
      <c r="Z10">
        <f t="shared" si="5"/>
        <v>0</v>
      </c>
    </row>
    <row r="11" spans="1:26" x14ac:dyDescent="0.3">
      <c r="A11" s="47"/>
      <c r="B11" s="47"/>
      <c r="C11" s="2" t="s">
        <v>2</v>
      </c>
      <c r="D11" s="7">
        <v>-6</v>
      </c>
      <c r="E11" s="7">
        <v>4.5</v>
      </c>
      <c r="F11" s="7">
        <v>-6.5</v>
      </c>
      <c r="G11" s="7">
        <v>4.5</v>
      </c>
      <c r="H11" s="7">
        <v>4</v>
      </c>
      <c r="I11" s="7">
        <v>-9.5</v>
      </c>
      <c r="J11" s="7">
        <v>3.5</v>
      </c>
      <c r="K11" s="7">
        <v>6.5</v>
      </c>
      <c r="L11" s="7">
        <v>-2.5</v>
      </c>
      <c r="M11" s="7">
        <v>-7.5</v>
      </c>
      <c r="N11" s="7">
        <v>-1</v>
      </c>
      <c r="O11" s="7">
        <v>6.5</v>
      </c>
      <c r="P11" s="7">
        <v>3</v>
      </c>
      <c r="Q11" s="7">
        <v>-2.5</v>
      </c>
      <c r="R11" s="47"/>
      <c r="S11" s="47"/>
      <c r="T11" s="8">
        <v>-38</v>
      </c>
      <c r="U11" s="23">
        <f t="shared" si="4"/>
        <v>10</v>
      </c>
      <c r="V11" s="12">
        <f t="shared" si="3"/>
        <v>6</v>
      </c>
      <c r="W11" s="21">
        <f t="shared" si="1"/>
        <v>3.6809815950920248E-2</v>
      </c>
      <c r="X11" s="33"/>
      <c r="Y11">
        <f t="shared" si="10"/>
        <v>9</v>
      </c>
      <c r="Z11">
        <f t="shared" si="5"/>
        <v>0</v>
      </c>
    </row>
    <row r="12" spans="1:26" x14ac:dyDescent="0.3">
      <c r="A12" s="47"/>
      <c r="B12" s="47"/>
      <c r="C12" s="2" t="s">
        <v>3</v>
      </c>
      <c r="D12" s="7" t="s">
        <v>73</v>
      </c>
      <c r="E12" s="7" t="s">
        <v>72</v>
      </c>
      <c r="F12" s="7" t="s">
        <v>56</v>
      </c>
      <c r="G12" s="7" t="s">
        <v>75</v>
      </c>
      <c r="H12" s="7" t="s">
        <v>207</v>
      </c>
      <c r="I12" s="7" t="s">
        <v>64</v>
      </c>
      <c r="J12" s="7" t="s">
        <v>69</v>
      </c>
      <c r="K12" s="7" t="s">
        <v>48</v>
      </c>
      <c r="L12" s="7" t="s">
        <v>67</v>
      </c>
      <c r="M12" s="7" t="s">
        <v>62</v>
      </c>
      <c r="N12" s="7" t="s">
        <v>74</v>
      </c>
      <c r="O12" s="7" t="s">
        <v>60</v>
      </c>
      <c r="P12" s="7" t="s">
        <v>71</v>
      </c>
      <c r="Q12" s="7" t="s">
        <v>208</v>
      </c>
      <c r="R12" s="47"/>
      <c r="S12" s="47"/>
      <c r="T12" s="8"/>
      <c r="U12" s="23">
        <f t="shared" si="4"/>
        <v>11</v>
      </c>
      <c r="V12" s="12">
        <f t="shared" si="3"/>
        <v>2</v>
      </c>
      <c r="W12" s="21">
        <f t="shared" si="1"/>
        <v>1.2269938650306749E-2</v>
      </c>
      <c r="X12" s="33"/>
      <c r="Y12">
        <f t="shared" si="10"/>
        <v>10</v>
      </c>
      <c r="Z12">
        <f t="shared" si="5"/>
        <v>0</v>
      </c>
    </row>
    <row r="13" spans="1:26" x14ac:dyDescent="0.3">
      <c r="A13" s="47"/>
      <c r="B13" s="47"/>
      <c r="C13" s="2" t="s">
        <v>0</v>
      </c>
      <c r="D13" s="7">
        <v>34</v>
      </c>
      <c r="E13" s="7">
        <v>17</v>
      </c>
      <c r="F13" s="7">
        <v>19</v>
      </c>
      <c r="G13" s="7">
        <v>30</v>
      </c>
      <c r="H13" s="7">
        <v>12</v>
      </c>
      <c r="I13" s="7">
        <v>14</v>
      </c>
      <c r="J13" s="7">
        <v>17</v>
      </c>
      <c r="K13" s="7">
        <v>23</v>
      </c>
      <c r="L13" s="7">
        <v>28</v>
      </c>
      <c r="M13" s="7">
        <v>17</v>
      </c>
      <c r="N13" s="7">
        <v>6</v>
      </c>
      <c r="O13" s="7">
        <v>34</v>
      </c>
      <c r="P13" s="7">
        <v>26</v>
      </c>
      <c r="Q13" s="7">
        <v>23</v>
      </c>
      <c r="R13" s="47"/>
      <c r="S13" s="47"/>
      <c r="T13" s="8"/>
      <c r="U13" s="23">
        <f t="shared" si="4"/>
        <v>12</v>
      </c>
      <c r="V13" s="12">
        <f t="shared" si="3"/>
        <v>0</v>
      </c>
      <c r="W13" s="21">
        <f t="shared" si="1"/>
        <v>0</v>
      </c>
      <c r="X13" s="33"/>
      <c r="Y13">
        <f t="shared" si="10"/>
        <v>11</v>
      </c>
      <c r="Z13">
        <f t="shared" si="5"/>
        <v>2</v>
      </c>
    </row>
    <row r="14" spans="1:26" ht="15" thickBot="1" x14ac:dyDescent="0.35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47"/>
      <c r="S14" s="47"/>
      <c r="T14" s="8"/>
      <c r="U14" s="17">
        <f t="shared" si="4"/>
        <v>13</v>
      </c>
      <c r="V14" s="14">
        <f t="shared" si="3"/>
        <v>0</v>
      </c>
      <c r="W14" s="22">
        <f t="shared" si="1"/>
        <v>0</v>
      </c>
      <c r="X14" s="33"/>
      <c r="Y14">
        <f t="shared" si="10"/>
        <v>12</v>
      </c>
      <c r="Z14">
        <f t="shared" si="5"/>
        <v>0</v>
      </c>
    </row>
    <row r="15" spans="1:26" x14ac:dyDescent="0.3">
      <c r="A15" s="47"/>
      <c r="B15" s="47"/>
      <c r="C15" s="2"/>
      <c r="D15" s="7"/>
      <c r="E15" s="7" t="s">
        <v>206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47"/>
      <c r="S15" s="47"/>
      <c r="T15" s="8"/>
      <c r="Y15">
        <f t="shared" si="10"/>
        <v>13</v>
      </c>
      <c r="Z15">
        <f t="shared" si="5"/>
        <v>0</v>
      </c>
    </row>
    <row r="16" spans="1:26" ht="28.8" x14ac:dyDescent="0.3">
      <c r="A16" s="43">
        <v>1</v>
      </c>
      <c r="B16" s="4"/>
      <c r="C16" s="6" t="s">
        <v>99</v>
      </c>
      <c r="D16" s="5"/>
      <c r="E16" s="5" t="s">
        <v>68</v>
      </c>
      <c r="F16" s="5" t="s">
        <v>56</v>
      </c>
      <c r="G16" s="5" t="s">
        <v>75</v>
      </c>
      <c r="H16" s="5" t="s">
        <v>207</v>
      </c>
      <c r="I16" s="5" t="s">
        <v>64</v>
      </c>
      <c r="J16" s="5" t="s">
        <v>69</v>
      </c>
      <c r="K16" s="5" t="s">
        <v>59</v>
      </c>
      <c r="L16" s="5" t="s">
        <v>67</v>
      </c>
      <c r="M16" s="5" t="s">
        <v>65</v>
      </c>
      <c r="N16" s="5" t="s">
        <v>55</v>
      </c>
      <c r="O16" s="5" t="s">
        <v>60</v>
      </c>
      <c r="P16" s="5" t="s">
        <v>71</v>
      </c>
      <c r="Q16" s="5" t="s">
        <v>208</v>
      </c>
      <c r="R16" s="1">
        <v>11</v>
      </c>
      <c r="S16" s="1">
        <v>83</v>
      </c>
      <c r="T16" s="1">
        <v>48</v>
      </c>
      <c r="Y16">
        <f t="shared" si="10"/>
        <v>14</v>
      </c>
      <c r="Z16">
        <f t="shared" si="5"/>
        <v>1</v>
      </c>
    </row>
    <row r="17" spans="1:26" ht="28.8" x14ac:dyDescent="0.3">
      <c r="A17" s="43">
        <v>2</v>
      </c>
      <c r="B17" s="4"/>
      <c r="C17" s="6" t="s">
        <v>116</v>
      </c>
      <c r="D17" s="5"/>
      <c r="E17" s="5" t="s">
        <v>68</v>
      </c>
      <c r="F17" s="5" t="s">
        <v>56</v>
      </c>
      <c r="G17" s="5" t="s">
        <v>75</v>
      </c>
      <c r="H17" s="5" t="s">
        <v>207</v>
      </c>
      <c r="I17" s="5" t="s">
        <v>64</v>
      </c>
      <c r="J17" s="5" t="s">
        <v>69</v>
      </c>
      <c r="K17" s="5" t="s">
        <v>59</v>
      </c>
      <c r="L17" s="5" t="s">
        <v>67</v>
      </c>
      <c r="M17" s="5" t="s">
        <v>65</v>
      </c>
      <c r="N17" s="5" t="s">
        <v>55</v>
      </c>
      <c r="O17" s="5" t="s">
        <v>60</v>
      </c>
      <c r="P17" s="5" t="s">
        <v>71</v>
      </c>
      <c r="Q17" s="5" t="s">
        <v>208</v>
      </c>
      <c r="R17" s="1">
        <v>11</v>
      </c>
      <c r="S17" s="1">
        <v>76</v>
      </c>
      <c r="T17" s="1">
        <v>57</v>
      </c>
      <c r="Y17">
        <f t="shared" si="10"/>
        <v>15</v>
      </c>
      <c r="Z17">
        <f t="shared" si="5"/>
        <v>2</v>
      </c>
    </row>
    <row r="18" spans="1:26" x14ac:dyDescent="0.3">
      <c r="A18" s="43">
        <v>3</v>
      </c>
      <c r="B18" s="4"/>
      <c r="C18" s="6" t="s">
        <v>189</v>
      </c>
      <c r="D18" s="5"/>
      <c r="E18" s="5" t="s">
        <v>68</v>
      </c>
      <c r="F18" s="5" t="s">
        <v>56</v>
      </c>
      <c r="G18" s="5" t="s">
        <v>75</v>
      </c>
      <c r="H18" s="5" t="s">
        <v>207</v>
      </c>
      <c r="I18" s="5" t="s">
        <v>64</v>
      </c>
      <c r="J18" s="5" t="s">
        <v>58</v>
      </c>
      <c r="K18" s="5" t="s">
        <v>48</v>
      </c>
      <c r="L18" s="5" t="s">
        <v>67</v>
      </c>
      <c r="M18" s="5" t="s">
        <v>65</v>
      </c>
      <c r="N18" s="5" t="s">
        <v>74</v>
      </c>
      <c r="O18" s="5" t="s">
        <v>60</v>
      </c>
      <c r="P18" s="5" t="s">
        <v>71</v>
      </c>
      <c r="Q18" s="5" t="s">
        <v>208</v>
      </c>
      <c r="R18" s="1">
        <v>10</v>
      </c>
      <c r="S18" s="1">
        <v>79</v>
      </c>
      <c r="T18" s="1">
        <v>44</v>
      </c>
      <c r="Y18">
        <f t="shared" si="10"/>
        <v>16</v>
      </c>
      <c r="Z18">
        <f t="shared" si="5"/>
        <v>0</v>
      </c>
    </row>
    <row r="19" spans="1:26" ht="28.8" x14ac:dyDescent="0.3">
      <c r="A19" s="43">
        <v>4</v>
      </c>
      <c r="B19" s="4"/>
      <c r="C19" s="6" t="s">
        <v>146</v>
      </c>
      <c r="D19" s="5"/>
      <c r="E19" s="5" t="s">
        <v>68</v>
      </c>
      <c r="F19" s="5" t="s">
        <v>50</v>
      </c>
      <c r="G19" s="5" t="s">
        <v>75</v>
      </c>
      <c r="H19" s="5" t="s">
        <v>207</v>
      </c>
      <c r="I19" s="5" t="s">
        <v>64</v>
      </c>
      <c r="J19" s="5" t="s">
        <v>69</v>
      </c>
      <c r="K19" s="5" t="s">
        <v>59</v>
      </c>
      <c r="L19" s="5" t="s">
        <v>67</v>
      </c>
      <c r="M19" s="5" t="s">
        <v>65</v>
      </c>
      <c r="N19" s="5" t="s">
        <v>55</v>
      </c>
      <c r="O19" s="5" t="s">
        <v>60</v>
      </c>
      <c r="P19" s="5" t="s">
        <v>57</v>
      </c>
      <c r="Q19" s="5" t="s">
        <v>208</v>
      </c>
      <c r="R19" s="1">
        <v>10</v>
      </c>
      <c r="S19" s="1">
        <v>72</v>
      </c>
      <c r="T19" s="1">
        <v>48</v>
      </c>
      <c r="Y19">
        <f t="shared" si="10"/>
        <v>17</v>
      </c>
      <c r="Z19">
        <f t="shared" si="5"/>
        <v>0</v>
      </c>
    </row>
    <row r="20" spans="1:26" ht="28.8" x14ac:dyDescent="0.3">
      <c r="A20" s="43">
        <v>5</v>
      </c>
      <c r="B20" s="4"/>
      <c r="C20" s="6" t="s">
        <v>172</v>
      </c>
      <c r="D20" s="5"/>
      <c r="E20" s="5" t="s">
        <v>68</v>
      </c>
      <c r="F20" s="5" t="s">
        <v>56</v>
      </c>
      <c r="G20" s="5" t="s">
        <v>75</v>
      </c>
      <c r="H20" s="5" t="s">
        <v>207</v>
      </c>
      <c r="I20" s="5" t="s">
        <v>64</v>
      </c>
      <c r="J20" s="5" t="s">
        <v>69</v>
      </c>
      <c r="K20" s="5" t="s">
        <v>59</v>
      </c>
      <c r="L20" s="5" t="s">
        <v>67</v>
      </c>
      <c r="M20" s="5" t="s">
        <v>65</v>
      </c>
      <c r="N20" s="5" t="s">
        <v>55</v>
      </c>
      <c r="O20" s="5" t="s">
        <v>60</v>
      </c>
      <c r="P20" s="5" t="s">
        <v>71</v>
      </c>
      <c r="Q20" s="5" t="s">
        <v>209</v>
      </c>
      <c r="R20" s="1">
        <v>10</v>
      </c>
      <c r="S20" s="1">
        <v>75</v>
      </c>
      <c r="T20" s="1">
        <v>48</v>
      </c>
      <c r="Y20">
        <f t="shared" si="10"/>
        <v>18</v>
      </c>
      <c r="Z20">
        <f t="shared" si="5"/>
        <v>0</v>
      </c>
    </row>
    <row r="21" spans="1:26" x14ac:dyDescent="0.3">
      <c r="A21" s="43">
        <v>6</v>
      </c>
      <c r="B21" s="4"/>
      <c r="C21" s="6" t="s">
        <v>118</v>
      </c>
      <c r="D21" s="5"/>
      <c r="E21" s="5" t="s">
        <v>68</v>
      </c>
      <c r="F21" s="5" t="s">
        <v>56</v>
      </c>
      <c r="G21" s="5" t="s">
        <v>63</v>
      </c>
      <c r="H21" s="5" t="s">
        <v>207</v>
      </c>
      <c r="I21" s="5" t="s">
        <v>64</v>
      </c>
      <c r="J21" s="5" t="s">
        <v>69</v>
      </c>
      <c r="K21" s="5" t="s">
        <v>59</v>
      </c>
      <c r="L21" s="5" t="s">
        <v>67</v>
      </c>
      <c r="M21" s="5" t="s">
        <v>65</v>
      </c>
      <c r="N21" s="5" t="s">
        <v>55</v>
      </c>
      <c r="O21" s="5" t="s">
        <v>60</v>
      </c>
      <c r="P21" s="5" t="s">
        <v>71</v>
      </c>
      <c r="Q21" s="5" t="s">
        <v>208</v>
      </c>
      <c r="R21" s="1">
        <v>10</v>
      </c>
      <c r="S21" s="1">
        <v>70</v>
      </c>
      <c r="T21" s="1">
        <v>52</v>
      </c>
      <c r="Y21">
        <f t="shared" si="10"/>
        <v>19</v>
      </c>
      <c r="Z21">
        <f t="shared" si="5"/>
        <v>0</v>
      </c>
    </row>
    <row r="22" spans="1:26" x14ac:dyDescent="0.3">
      <c r="A22" s="43">
        <v>7</v>
      </c>
      <c r="B22" s="4"/>
      <c r="C22" s="6" t="s">
        <v>186</v>
      </c>
      <c r="D22" s="5"/>
      <c r="E22" s="5" t="s">
        <v>68</v>
      </c>
      <c r="F22" s="5" t="s">
        <v>56</v>
      </c>
      <c r="G22" s="5" t="s">
        <v>75</v>
      </c>
      <c r="H22" s="5" t="s">
        <v>207</v>
      </c>
      <c r="I22" s="5" t="s">
        <v>210</v>
      </c>
      <c r="J22" s="5" t="s">
        <v>58</v>
      </c>
      <c r="K22" s="5" t="s">
        <v>59</v>
      </c>
      <c r="L22" s="5" t="s">
        <v>67</v>
      </c>
      <c r="M22" s="5" t="s">
        <v>62</v>
      </c>
      <c r="N22" s="5" t="s">
        <v>55</v>
      </c>
      <c r="O22" s="5" t="s">
        <v>60</v>
      </c>
      <c r="P22" s="5" t="s">
        <v>71</v>
      </c>
      <c r="Q22" s="5" t="s">
        <v>208</v>
      </c>
      <c r="R22" s="1">
        <v>10</v>
      </c>
      <c r="S22" s="1">
        <v>69</v>
      </c>
      <c r="T22" s="1">
        <v>53</v>
      </c>
      <c r="Y22">
        <f t="shared" si="10"/>
        <v>20</v>
      </c>
      <c r="Z22">
        <f t="shared" si="5"/>
        <v>0</v>
      </c>
    </row>
    <row r="23" spans="1:26" x14ac:dyDescent="0.3">
      <c r="A23" s="43">
        <v>8</v>
      </c>
      <c r="B23" s="4"/>
      <c r="C23" s="6" t="s">
        <v>126</v>
      </c>
      <c r="D23" s="5"/>
      <c r="E23" s="5" t="s">
        <v>72</v>
      </c>
      <c r="F23" s="5" t="s">
        <v>56</v>
      </c>
      <c r="G23" s="5" t="s">
        <v>75</v>
      </c>
      <c r="H23" s="5" t="s">
        <v>207</v>
      </c>
      <c r="I23" s="5" t="s">
        <v>64</v>
      </c>
      <c r="J23" s="5" t="s">
        <v>69</v>
      </c>
      <c r="K23" s="5" t="s">
        <v>59</v>
      </c>
      <c r="L23" s="5" t="s">
        <v>67</v>
      </c>
      <c r="M23" s="5" t="s">
        <v>65</v>
      </c>
      <c r="N23" s="5" t="s">
        <v>55</v>
      </c>
      <c r="O23" s="5" t="s">
        <v>60</v>
      </c>
      <c r="P23" s="5" t="s">
        <v>71</v>
      </c>
      <c r="Q23" s="5" t="s">
        <v>208</v>
      </c>
      <c r="R23" s="1">
        <v>10</v>
      </c>
      <c r="S23" s="1">
        <v>77</v>
      </c>
      <c r="T23" s="1">
        <v>67</v>
      </c>
      <c r="Y23">
        <f t="shared" si="10"/>
        <v>21</v>
      </c>
      <c r="Z23">
        <f t="shared" si="5"/>
        <v>1</v>
      </c>
    </row>
    <row r="24" spans="1:26" x14ac:dyDescent="0.3">
      <c r="A24" s="43">
        <v>9</v>
      </c>
      <c r="B24" s="4"/>
      <c r="C24" s="6" t="s">
        <v>88</v>
      </c>
      <c r="D24" s="5"/>
      <c r="E24" s="5" t="s">
        <v>72</v>
      </c>
      <c r="F24" s="5" t="s">
        <v>56</v>
      </c>
      <c r="G24" s="5" t="s">
        <v>75</v>
      </c>
      <c r="H24" s="5" t="s">
        <v>207</v>
      </c>
      <c r="I24" s="5" t="s">
        <v>64</v>
      </c>
      <c r="J24" s="5" t="s">
        <v>69</v>
      </c>
      <c r="K24" s="5" t="s">
        <v>59</v>
      </c>
      <c r="L24" s="5" t="s">
        <v>53</v>
      </c>
      <c r="M24" s="5" t="s">
        <v>65</v>
      </c>
      <c r="N24" s="5" t="s">
        <v>55</v>
      </c>
      <c r="O24" s="5" t="s">
        <v>60</v>
      </c>
      <c r="P24" s="5" t="s">
        <v>71</v>
      </c>
      <c r="Q24" s="5" t="s">
        <v>208</v>
      </c>
      <c r="R24" s="1">
        <v>9</v>
      </c>
      <c r="S24" s="1">
        <v>77</v>
      </c>
      <c r="T24" s="1">
        <v>38</v>
      </c>
      <c r="Y24">
        <f t="shared" si="10"/>
        <v>22</v>
      </c>
      <c r="Z24">
        <f t="shared" si="5"/>
        <v>0</v>
      </c>
    </row>
    <row r="25" spans="1:26" ht="28.8" x14ac:dyDescent="0.3">
      <c r="A25" s="43">
        <v>10</v>
      </c>
      <c r="B25" s="4"/>
      <c r="C25" s="6" t="s">
        <v>153</v>
      </c>
      <c r="D25" s="5"/>
      <c r="E25" s="5" t="s">
        <v>72</v>
      </c>
      <c r="F25" s="5" t="s">
        <v>56</v>
      </c>
      <c r="G25" s="5" t="s">
        <v>75</v>
      </c>
      <c r="H25" s="5" t="s">
        <v>207</v>
      </c>
      <c r="I25" s="5" t="s">
        <v>64</v>
      </c>
      <c r="J25" s="5" t="s">
        <v>58</v>
      </c>
      <c r="K25" s="5" t="s">
        <v>59</v>
      </c>
      <c r="L25" s="5" t="s">
        <v>67</v>
      </c>
      <c r="M25" s="5" t="s">
        <v>65</v>
      </c>
      <c r="N25" s="5" t="s">
        <v>74</v>
      </c>
      <c r="O25" s="5" t="s">
        <v>60</v>
      </c>
      <c r="P25" s="5" t="s">
        <v>71</v>
      </c>
      <c r="Q25" s="5" t="s">
        <v>209</v>
      </c>
      <c r="R25" s="1">
        <v>9</v>
      </c>
      <c r="S25" s="1">
        <v>71</v>
      </c>
      <c r="T25" s="1">
        <v>41</v>
      </c>
      <c r="Y25">
        <f t="shared" si="10"/>
        <v>23</v>
      </c>
      <c r="Z25">
        <f t="shared" si="5"/>
        <v>1</v>
      </c>
    </row>
    <row r="26" spans="1:26" ht="43.2" x14ac:dyDescent="0.3">
      <c r="A26" s="43">
        <v>11</v>
      </c>
      <c r="B26" s="4"/>
      <c r="C26" s="6" t="s">
        <v>188</v>
      </c>
      <c r="D26" s="5"/>
      <c r="E26" s="5" t="s">
        <v>68</v>
      </c>
      <c r="F26" s="5" t="s">
        <v>56</v>
      </c>
      <c r="G26" s="5" t="s">
        <v>75</v>
      </c>
      <c r="H26" s="5" t="s">
        <v>207</v>
      </c>
      <c r="I26" s="5" t="s">
        <v>64</v>
      </c>
      <c r="J26" s="5" t="s">
        <v>69</v>
      </c>
      <c r="K26" s="5" t="s">
        <v>48</v>
      </c>
      <c r="L26" s="5" t="s">
        <v>67</v>
      </c>
      <c r="M26" s="5" t="s">
        <v>65</v>
      </c>
      <c r="N26" s="5" t="s">
        <v>55</v>
      </c>
      <c r="O26" s="5" t="s">
        <v>60</v>
      </c>
      <c r="P26" s="5" t="s">
        <v>71</v>
      </c>
      <c r="Q26" s="5" t="s">
        <v>209</v>
      </c>
      <c r="R26" s="1">
        <v>9</v>
      </c>
      <c r="S26" s="1">
        <v>70</v>
      </c>
      <c r="T26" s="1">
        <v>42</v>
      </c>
      <c r="Y26">
        <f t="shared" si="10"/>
        <v>24</v>
      </c>
      <c r="Z26">
        <f t="shared" si="5"/>
        <v>0</v>
      </c>
    </row>
    <row r="27" spans="1:26" x14ac:dyDescent="0.3">
      <c r="A27" s="43">
        <v>12</v>
      </c>
      <c r="B27" s="4"/>
      <c r="C27" s="6" t="s">
        <v>40</v>
      </c>
      <c r="D27" s="5"/>
      <c r="E27" s="5" t="s">
        <v>68</v>
      </c>
      <c r="F27" s="5" t="s">
        <v>56</v>
      </c>
      <c r="G27" s="5" t="s">
        <v>75</v>
      </c>
      <c r="H27" s="5" t="s">
        <v>207</v>
      </c>
      <c r="I27" s="5" t="s">
        <v>210</v>
      </c>
      <c r="J27" s="5" t="s">
        <v>69</v>
      </c>
      <c r="K27" s="5" t="s">
        <v>48</v>
      </c>
      <c r="L27" s="5" t="s">
        <v>67</v>
      </c>
      <c r="M27" s="5" t="s">
        <v>65</v>
      </c>
      <c r="N27" s="5" t="s">
        <v>55</v>
      </c>
      <c r="O27" s="5" t="s">
        <v>60</v>
      </c>
      <c r="P27" s="5" t="s">
        <v>71</v>
      </c>
      <c r="Q27" s="5" t="s">
        <v>208</v>
      </c>
      <c r="R27" s="1">
        <v>9</v>
      </c>
      <c r="S27" s="1">
        <v>77</v>
      </c>
      <c r="T27" s="1">
        <v>44</v>
      </c>
      <c r="Y27">
        <f t="shared" si="10"/>
        <v>25</v>
      </c>
      <c r="Z27">
        <f t="shared" si="5"/>
        <v>0</v>
      </c>
    </row>
    <row r="28" spans="1:26" x14ac:dyDescent="0.3">
      <c r="A28" s="43">
        <v>13</v>
      </c>
      <c r="B28" s="4"/>
      <c r="C28" s="6" t="s">
        <v>13</v>
      </c>
      <c r="D28" s="5"/>
      <c r="E28" s="5" t="s">
        <v>72</v>
      </c>
      <c r="F28" s="5" t="s">
        <v>56</v>
      </c>
      <c r="G28" s="5" t="s">
        <v>75</v>
      </c>
      <c r="H28" s="5" t="s">
        <v>207</v>
      </c>
      <c r="I28" s="5" t="s">
        <v>64</v>
      </c>
      <c r="J28" s="5" t="s">
        <v>69</v>
      </c>
      <c r="K28" s="5" t="s">
        <v>59</v>
      </c>
      <c r="L28" s="5" t="s">
        <v>67</v>
      </c>
      <c r="M28" s="5" t="s">
        <v>65</v>
      </c>
      <c r="N28" s="5" t="s">
        <v>55</v>
      </c>
      <c r="O28" s="5" t="s">
        <v>60</v>
      </c>
      <c r="P28" s="5" t="s">
        <v>71</v>
      </c>
      <c r="Q28" s="5" t="s">
        <v>209</v>
      </c>
      <c r="R28" s="1">
        <v>9</v>
      </c>
      <c r="S28" s="1">
        <v>80</v>
      </c>
      <c r="T28" s="1">
        <v>46</v>
      </c>
      <c r="Y28">
        <f t="shared" si="10"/>
        <v>26</v>
      </c>
      <c r="Z28">
        <f t="shared" si="5"/>
        <v>0</v>
      </c>
    </row>
    <row r="29" spans="1:26" ht="28.8" x14ac:dyDescent="0.3">
      <c r="A29" s="43">
        <v>14</v>
      </c>
      <c r="B29" s="4"/>
      <c r="C29" s="6" t="s">
        <v>80</v>
      </c>
      <c r="D29" s="5"/>
      <c r="E29" s="5" t="s">
        <v>72</v>
      </c>
      <c r="F29" s="5" t="s">
        <v>56</v>
      </c>
      <c r="G29" s="5" t="s">
        <v>75</v>
      </c>
      <c r="H29" s="5" t="s">
        <v>207</v>
      </c>
      <c r="I29" s="5" t="s">
        <v>64</v>
      </c>
      <c r="J29" s="5" t="s">
        <v>58</v>
      </c>
      <c r="K29" s="5" t="s">
        <v>59</v>
      </c>
      <c r="L29" s="5" t="s">
        <v>67</v>
      </c>
      <c r="M29" s="5" t="s">
        <v>62</v>
      </c>
      <c r="N29" s="5" t="s">
        <v>55</v>
      </c>
      <c r="O29" s="5" t="s">
        <v>60</v>
      </c>
      <c r="P29" s="5" t="s">
        <v>71</v>
      </c>
      <c r="Q29" s="5" t="s">
        <v>209</v>
      </c>
      <c r="R29" s="1">
        <v>9</v>
      </c>
      <c r="S29" s="1">
        <v>74</v>
      </c>
      <c r="T29" s="1">
        <v>47</v>
      </c>
      <c r="Y29">
        <f t="shared" si="10"/>
        <v>27</v>
      </c>
      <c r="Z29">
        <f t="shared" si="5"/>
        <v>0</v>
      </c>
    </row>
    <row r="30" spans="1:26" x14ac:dyDescent="0.3">
      <c r="A30" s="43">
        <v>15</v>
      </c>
      <c r="B30" s="4"/>
      <c r="C30" s="6" t="s">
        <v>190</v>
      </c>
      <c r="D30" s="5"/>
      <c r="E30" s="5" t="s">
        <v>72</v>
      </c>
      <c r="F30" s="5" t="s">
        <v>50</v>
      </c>
      <c r="G30" s="5" t="s">
        <v>75</v>
      </c>
      <c r="H30" s="5" t="s">
        <v>207</v>
      </c>
      <c r="I30" s="5" t="s">
        <v>64</v>
      </c>
      <c r="J30" s="5" t="s">
        <v>69</v>
      </c>
      <c r="K30" s="5" t="s">
        <v>59</v>
      </c>
      <c r="L30" s="5" t="s">
        <v>67</v>
      </c>
      <c r="M30" s="5" t="s">
        <v>65</v>
      </c>
      <c r="N30" s="5" t="s">
        <v>55</v>
      </c>
      <c r="O30" s="5" t="s">
        <v>60</v>
      </c>
      <c r="P30" s="5" t="s">
        <v>71</v>
      </c>
      <c r="Q30" s="5" t="s">
        <v>208</v>
      </c>
      <c r="R30" s="1">
        <v>9</v>
      </c>
      <c r="S30" s="1">
        <v>79</v>
      </c>
      <c r="T30" s="1">
        <v>48</v>
      </c>
      <c r="Y30">
        <f t="shared" si="10"/>
        <v>28</v>
      </c>
      <c r="Z30">
        <f t="shared" si="5"/>
        <v>0</v>
      </c>
    </row>
    <row r="31" spans="1:26" x14ac:dyDescent="0.3">
      <c r="A31" s="43">
        <v>16</v>
      </c>
      <c r="B31" s="4"/>
      <c r="C31" s="6" t="s">
        <v>173</v>
      </c>
      <c r="D31" s="5"/>
      <c r="E31" s="5" t="s">
        <v>72</v>
      </c>
      <c r="F31" s="5" t="s">
        <v>56</v>
      </c>
      <c r="G31" s="5" t="s">
        <v>75</v>
      </c>
      <c r="H31" s="5" t="s">
        <v>207</v>
      </c>
      <c r="I31" s="5" t="s">
        <v>64</v>
      </c>
      <c r="J31" s="5" t="s">
        <v>58</v>
      </c>
      <c r="K31" s="5" t="s">
        <v>59</v>
      </c>
      <c r="L31" s="5" t="s">
        <v>67</v>
      </c>
      <c r="M31" s="5" t="s">
        <v>65</v>
      </c>
      <c r="N31" s="5" t="s">
        <v>74</v>
      </c>
      <c r="O31" s="5" t="s">
        <v>60</v>
      </c>
      <c r="P31" s="5" t="s">
        <v>71</v>
      </c>
      <c r="Q31" s="5" t="s">
        <v>209</v>
      </c>
      <c r="R31" s="1">
        <v>9</v>
      </c>
      <c r="S31" s="1">
        <v>76</v>
      </c>
      <c r="T31" s="1">
        <v>48</v>
      </c>
      <c r="Y31">
        <f t="shared" si="10"/>
        <v>29</v>
      </c>
      <c r="Z31">
        <f t="shared" si="5"/>
        <v>1</v>
      </c>
    </row>
    <row r="32" spans="1:26" x14ac:dyDescent="0.3">
      <c r="A32" s="43">
        <v>17</v>
      </c>
      <c r="B32" s="4"/>
      <c r="C32" s="6" t="s">
        <v>119</v>
      </c>
      <c r="D32" s="5"/>
      <c r="E32" s="5" t="s">
        <v>72</v>
      </c>
      <c r="F32" s="5" t="s">
        <v>50</v>
      </c>
      <c r="G32" s="5" t="s">
        <v>75</v>
      </c>
      <c r="H32" s="5" t="s">
        <v>207</v>
      </c>
      <c r="I32" s="5" t="s">
        <v>64</v>
      </c>
      <c r="J32" s="5" t="s">
        <v>69</v>
      </c>
      <c r="K32" s="5" t="s">
        <v>59</v>
      </c>
      <c r="L32" s="5" t="s">
        <v>67</v>
      </c>
      <c r="M32" s="5" t="s">
        <v>65</v>
      </c>
      <c r="N32" s="5" t="s">
        <v>55</v>
      </c>
      <c r="O32" s="5" t="s">
        <v>60</v>
      </c>
      <c r="P32" s="5" t="s">
        <v>71</v>
      </c>
      <c r="Q32" s="5" t="s">
        <v>208</v>
      </c>
      <c r="R32" s="1">
        <v>9</v>
      </c>
      <c r="S32" s="1">
        <v>80</v>
      </c>
      <c r="T32" s="1">
        <v>48</v>
      </c>
      <c r="Y32">
        <f t="shared" si="10"/>
        <v>30</v>
      </c>
      <c r="Z32">
        <f t="shared" si="5"/>
        <v>0</v>
      </c>
    </row>
    <row r="33" spans="1:26" ht="28.8" x14ac:dyDescent="0.3">
      <c r="A33" s="43">
        <v>18</v>
      </c>
      <c r="B33" s="4"/>
      <c r="C33" s="6" t="s">
        <v>102</v>
      </c>
      <c r="D33" s="5"/>
      <c r="E33" s="5" t="s">
        <v>68</v>
      </c>
      <c r="F33" s="5" t="s">
        <v>56</v>
      </c>
      <c r="G33" s="5" t="s">
        <v>75</v>
      </c>
      <c r="H33" s="5" t="s">
        <v>207</v>
      </c>
      <c r="I33" s="5" t="s">
        <v>64</v>
      </c>
      <c r="J33" s="5" t="s">
        <v>58</v>
      </c>
      <c r="K33" s="5" t="s">
        <v>59</v>
      </c>
      <c r="L33" s="5" t="s">
        <v>53</v>
      </c>
      <c r="M33" s="5" t="s">
        <v>62</v>
      </c>
      <c r="N33" s="5" t="s">
        <v>55</v>
      </c>
      <c r="O33" s="5" t="s">
        <v>60</v>
      </c>
      <c r="P33" s="5" t="s">
        <v>71</v>
      </c>
      <c r="Q33" s="5" t="s">
        <v>209</v>
      </c>
      <c r="R33" s="1">
        <v>9</v>
      </c>
      <c r="S33" s="1">
        <v>71</v>
      </c>
      <c r="T33" s="1">
        <v>50</v>
      </c>
      <c r="Y33">
        <f t="shared" si="10"/>
        <v>31</v>
      </c>
      <c r="Z33">
        <f t="shared" si="5"/>
        <v>0</v>
      </c>
    </row>
    <row r="34" spans="1:26" ht="28.8" x14ac:dyDescent="0.3">
      <c r="A34" s="43">
        <v>19</v>
      </c>
      <c r="B34" s="4"/>
      <c r="C34" s="6" t="s">
        <v>133</v>
      </c>
      <c r="D34" s="5"/>
      <c r="E34" s="5" t="s">
        <v>68</v>
      </c>
      <c r="F34" s="5" t="s">
        <v>56</v>
      </c>
      <c r="G34" s="5" t="s">
        <v>75</v>
      </c>
      <c r="H34" s="5" t="s">
        <v>207</v>
      </c>
      <c r="I34" s="5" t="s">
        <v>64</v>
      </c>
      <c r="J34" s="5" t="s">
        <v>69</v>
      </c>
      <c r="K34" s="5" t="s">
        <v>48</v>
      </c>
      <c r="L34" s="5" t="s">
        <v>67</v>
      </c>
      <c r="M34" s="5" t="s">
        <v>65</v>
      </c>
      <c r="N34" s="5" t="s">
        <v>55</v>
      </c>
      <c r="O34" s="5" t="s">
        <v>60</v>
      </c>
      <c r="P34" s="5" t="s">
        <v>71</v>
      </c>
      <c r="Q34" s="5" t="s">
        <v>209</v>
      </c>
      <c r="R34" s="1">
        <v>9</v>
      </c>
      <c r="S34" s="1">
        <v>66</v>
      </c>
      <c r="T34" s="1">
        <v>50</v>
      </c>
      <c r="Y34">
        <f t="shared" si="10"/>
        <v>32</v>
      </c>
      <c r="Z34">
        <f t="shared" si="5"/>
        <v>0</v>
      </c>
    </row>
    <row r="35" spans="1:26" ht="28.8" x14ac:dyDescent="0.3">
      <c r="A35" s="43">
        <v>20</v>
      </c>
      <c r="B35" s="4"/>
      <c r="C35" s="6" t="s">
        <v>115</v>
      </c>
      <c r="D35" s="5"/>
      <c r="E35" s="5" t="s">
        <v>68</v>
      </c>
      <c r="F35" s="5" t="s">
        <v>56</v>
      </c>
      <c r="G35" s="5" t="s">
        <v>63</v>
      </c>
      <c r="H35" s="5" t="s">
        <v>207</v>
      </c>
      <c r="I35" s="5" t="s">
        <v>64</v>
      </c>
      <c r="J35" s="5" t="s">
        <v>69</v>
      </c>
      <c r="K35" s="5" t="s">
        <v>59</v>
      </c>
      <c r="L35" s="5" t="s">
        <v>67</v>
      </c>
      <c r="M35" s="5" t="s">
        <v>65</v>
      </c>
      <c r="N35" s="5" t="s">
        <v>74</v>
      </c>
      <c r="O35" s="5" t="s">
        <v>60</v>
      </c>
      <c r="P35" s="5" t="s">
        <v>57</v>
      </c>
      <c r="Q35" s="5" t="s">
        <v>208</v>
      </c>
      <c r="R35" s="1">
        <v>9</v>
      </c>
      <c r="S35" s="1">
        <v>71</v>
      </c>
      <c r="T35" s="1">
        <v>51</v>
      </c>
      <c r="Y35">
        <f t="shared" si="10"/>
        <v>33</v>
      </c>
      <c r="Z35">
        <f t="shared" si="5"/>
        <v>0</v>
      </c>
    </row>
    <row r="36" spans="1:26" x14ac:dyDescent="0.3">
      <c r="A36" s="43">
        <v>21</v>
      </c>
      <c r="B36" s="4"/>
      <c r="C36" s="6" t="s">
        <v>121</v>
      </c>
      <c r="D36" s="5"/>
      <c r="E36" s="5" t="s">
        <v>68</v>
      </c>
      <c r="F36" s="5" t="s">
        <v>50</v>
      </c>
      <c r="G36" s="5" t="s">
        <v>75</v>
      </c>
      <c r="H36" s="5" t="s">
        <v>207</v>
      </c>
      <c r="I36" s="5" t="s">
        <v>64</v>
      </c>
      <c r="J36" s="5" t="s">
        <v>69</v>
      </c>
      <c r="K36" s="5" t="s">
        <v>59</v>
      </c>
      <c r="L36" s="5" t="s">
        <v>67</v>
      </c>
      <c r="M36" s="5" t="s">
        <v>62</v>
      </c>
      <c r="N36" s="5" t="s">
        <v>74</v>
      </c>
      <c r="O36" s="5" t="s">
        <v>60</v>
      </c>
      <c r="P36" s="5" t="s">
        <v>71</v>
      </c>
      <c r="Q36" s="5" t="s">
        <v>208</v>
      </c>
      <c r="R36" s="1">
        <v>8</v>
      </c>
      <c r="S36" s="1">
        <v>85</v>
      </c>
      <c r="T36" s="1">
        <v>36</v>
      </c>
      <c r="Y36">
        <f t="shared" si="10"/>
        <v>34</v>
      </c>
      <c r="Z36">
        <f t="shared" si="5"/>
        <v>3</v>
      </c>
    </row>
    <row r="37" spans="1:26" x14ac:dyDescent="0.3">
      <c r="A37" s="43">
        <v>22</v>
      </c>
      <c r="B37" s="4"/>
      <c r="C37" s="6" t="s">
        <v>201</v>
      </c>
      <c r="D37" s="5"/>
      <c r="E37" s="5" t="s">
        <v>72</v>
      </c>
      <c r="F37" s="5" t="s">
        <v>56</v>
      </c>
      <c r="G37" s="5" t="s">
        <v>75</v>
      </c>
      <c r="H37" s="5" t="s">
        <v>207</v>
      </c>
      <c r="I37" s="5" t="s">
        <v>64</v>
      </c>
      <c r="J37" s="5" t="s">
        <v>69</v>
      </c>
      <c r="K37" s="5" t="s">
        <v>48</v>
      </c>
      <c r="L37" s="5" t="s">
        <v>67</v>
      </c>
      <c r="M37" s="5" t="s">
        <v>65</v>
      </c>
      <c r="N37" s="5" t="s">
        <v>55</v>
      </c>
      <c r="O37" s="5" t="s">
        <v>60</v>
      </c>
      <c r="P37" s="5" t="s">
        <v>71</v>
      </c>
      <c r="Q37" s="5" t="s">
        <v>209</v>
      </c>
      <c r="R37" s="1">
        <v>8</v>
      </c>
      <c r="S37" s="1">
        <v>60</v>
      </c>
      <c r="T37" s="1">
        <v>40</v>
      </c>
      <c r="Y37">
        <f t="shared" si="10"/>
        <v>35</v>
      </c>
      <c r="Z37">
        <f t="shared" si="5"/>
        <v>3</v>
      </c>
    </row>
    <row r="38" spans="1:26" ht="28.8" x14ac:dyDescent="0.3">
      <c r="A38" s="43">
        <v>23</v>
      </c>
      <c r="B38" s="4"/>
      <c r="C38" s="6" t="s">
        <v>17</v>
      </c>
      <c r="D38" s="5"/>
      <c r="E38" s="5" t="s">
        <v>68</v>
      </c>
      <c r="F38" s="5" t="s">
        <v>50</v>
      </c>
      <c r="G38" s="5" t="s">
        <v>75</v>
      </c>
      <c r="H38" s="5" t="s">
        <v>207</v>
      </c>
      <c r="I38" s="5" t="s">
        <v>64</v>
      </c>
      <c r="J38" s="5" t="s">
        <v>58</v>
      </c>
      <c r="K38" s="5" t="s">
        <v>48</v>
      </c>
      <c r="L38" s="5" t="s">
        <v>67</v>
      </c>
      <c r="M38" s="5" t="s">
        <v>62</v>
      </c>
      <c r="N38" s="5" t="s">
        <v>55</v>
      </c>
      <c r="O38" s="5" t="s">
        <v>60</v>
      </c>
      <c r="P38" s="5" t="s">
        <v>71</v>
      </c>
      <c r="Q38" s="5" t="s">
        <v>209</v>
      </c>
      <c r="R38" s="1">
        <v>8</v>
      </c>
      <c r="S38" s="1">
        <v>77</v>
      </c>
      <c r="T38" s="1">
        <v>40</v>
      </c>
      <c r="Y38">
        <f t="shared" si="10"/>
        <v>36</v>
      </c>
      <c r="Z38">
        <f t="shared" si="5"/>
        <v>2</v>
      </c>
    </row>
    <row r="39" spans="1:26" ht="28.8" x14ac:dyDescent="0.3">
      <c r="A39" s="43">
        <v>24</v>
      </c>
      <c r="B39" s="4"/>
      <c r="C39" s="6" t="s">
        <v>29</v>
      </c>
      <c r="D39" s="5"/>
      <c r="E39" s="5" t="s">
        <v>72</v>
      </c>
      <c r="F39" s="5" t="s">
        <v>56</v>
      </c>
      <c r="G39" s="5" t="s">
        <v>75</v>
      </c>
      <c r="H39" s="5" t="s">
        <v>207</v>
      </c>
      <c r="I39" s="5" t="s">
        <v>64</v>
      </c>
      <c r="J39" s="5" t="s">
        <v>58</v>
      </c>
      <c r="K39" s="5" t="s">
        <v>59</v>
      </c>
      <c r="L39" s="5" t="s">
        <v>53</v>
      </c>
      <c r="M39" s="5" t="s">
        <v>65</v>
      </c>
      <c r="N39" s="5" t="s">
        <v>74</v>
      </c>
      <c r="O39" s="5" t="s">
        <v>60</v>
      </c>
      <c r="P39" s="5" t="s">
        <v>71</v>
      </c>
      <c r="Q39" s="5" t="s">
        <v>209</v>
      </c>
      <c r="R39" s="1">
        <v>8</v>
      </c>
      <c r="S39" s="1">
        <v>68</v>
      </c>
      <c r="T39" s="1">
        <v>40</v>
      </c>
      <c r="Y39">
        <f t="shared" si="10"/>
        <v>37</v>
      </c>
      <c r="Z39">
        <f t="shared" si="5"/>
        <v>4</v>
      </c>
    </row>
    <row r="40" spans="1:26" x14ac:dyDescent="0.3">
      <c r="A40" s="43">
        <v>25</v>
      </c>
      <c r="B40" s="4"/>
      <c r="C40" s="6" t="s">
        <v>12</v>
      </c>
      <c r="D40" s="5"/>
      <c r="E40" s="5" t="s">
        <v>68</v>
      </c>
      <c r="F40" s="5" t="s">
        <v>56</v>
      </c>
      <c r="G40" s="5" t="s">
        <v>75</v>
      </c>
      <c r="H40" s="5" t="s">
        <v>207</v>
      </c>
      <c r="I40" s="5" t="s">
        <v>64</v>
      </c>
      <c r="J40" s="5" t="s">
        <v>69</v>
      </c>
      <c r="K40" s="5" t="s">
        <v>59</v>
      </c>
      <c r="L40" s="5" t="s">
        <v>53</v>
      </c>
      <c r="M40" s="5" t="s">
        <v>62</v>
      </c>
      <c r="N40" s="5" t="s">
        <v>55</v>
      </c>
      <c r="O40" s="5" t="s">
        <v>60</v>
      </c>
      <c r="P40" s="5" t="s">
        <v>71</v>
      </c>
      <c r="Q40" s="5" t="s">
        <v>209</v>
      </c>
      <c r="R40" s="1">
        <v>8</v>
      </c>
      <c r="S40" s="1">
        <v>71</v>
      </c>
      <c r="T40" s="1">
        <v>40</v>
      </c>
      <c r="Y40">
        <f t="shared" si="10"/>
        <v>38</v>
      </c>
      <c r="Z40">
        <f t="shared" si="5"/>
        <v>5</v>
      </c>
    </row>
    <row r="41" spans="1:26" ht="28.8" x14ac:dyDescent="0.3">
      <c r="A41" s="43">
        <v>26</v>
      </c>
      <c r="B41" s="4"/>
      <c r="C41" s="6" t="s">
        <v>176</v>
      </c>
      <c r="D41" s="5"/>
      <c r="E41" s="5" t="s">
        <v>68</v>
      </c>
      <c r="F41" s="5" t="s">
        <v>56</v>
      </c>
      <c r="G41" s="5" t="s">
        <v>75</v>
      </c>
      <c r="H41" s="5" t="s">
        <v>207</v>
      </c>
      <c r="I41" s="5" t="s">
        <v>64</v>
      </c>
      <c r="J41" s="5" t="s">
        <v>69</v>
      </c>
      <c r="K41" s="5" t="s">
        <v>59</v>
      </c>
      <c r="L41" s="5" t="s">
        <v>53</v>
      </c>
      <c r="M41" s="5" t="s">
        <v>62</v>
      </c>
      <c r="N41" s="5" t="s">
        <v>74</v>
      </c>
      <c r="O41" s="5" t="s">
        <v>60</v>
      </c>
      <c r="P41" s="5" t="s">
        <v>71</v>
      </c>
      <c r="Q41" s="5" t="s">
        <v>208</v>
      </c>
      <c r="R41" s="1">
        <v>8</v>
      </c>
      <c r="S41" s="1">
        <v>75</v>
      </c>
      <c r="T41" s="1">
        <v>35</v>
      </c>
      <c r="Y41">
        <f t="shared" si="10"/>
        <v>39</v>
      </c>
      <c r="Z41">
        <f t="shared" si="5"/>
        <v>3</v>
      </c>
    </row>
    <row r="42" spans="1:26" ht="28.8" x14ac:dyDescent="0.3">
      <c r="A42" s="43">
        <v>27</v>
      </c>
      <c r="B42" s="4"/>
      <c r="C42" s="6" t="s">
        <v>196</v>
      </c>
      <c r="D42" s="5"/>
      <c r="E42" s="5" t="s">
        <v>68</v>
      </c>
      <c r="F42" s="5" t="s">
        <v>50</v>
      </c>
      <c r="G42" s="5" t="s">
        <v>75</v>
      </c>
      <c r="H42" s="5" t="s">
        <v>207</v>
      </c>
      <c r="I42" s="5" t="s">
        <v>64</v>
      </c>
      <c r="J42" s="5" t="s">
        <v>58</v>
      </c>
      <c r="K42" s="5" t="s">
        <v>48</v>
      </c>
      <c r="L42" s="5" t="s">
        <v>67</v>
      </c>
      <c r="M42" s="5" t="s">
        <v>62</v>
      </c>
      <c r="N42" s="5" t="s">
        <v>74</v>
      </c>
      <c r="O42" s="5" t="s">
        <v>60</v>
      </c>
      <c r="P42" s="5" t="s">
        <v>57</v>
      </c>
      <c r="Q42" s="5" t="s">
        <v>208</v>
      </c>
      <c r="R42" s="1">
        <v>8</v>
      </c>
      <c r="S42" s="1">
        <v>69</v>
      </c>
      <c r="T42" s="1">
        <v>35</v>
      </c>
      <c r="Y42">
        <f t="shared" si="10"/>
        <v>40</v>
      </c>
      <c r="Z42">
        <f t="shared" si="5"/>
        <v>5</v>
      </c>
    </row>
    <row r="43" spans="1:26" x14ac:dyDescent="0.3">
      <c r="A43" s="43">
        <v>28</v>
      </c>
      <c r="B43" s="4"/>
      <c r="C43" s="6" t="s">
        <v>136</v>
      </c>
      <c r="D43" s="5"/>
      <c r="E43" s="5" t="s">
        <v>68</v>
      </c>
      <c r="F43" s="5" t="s">
        <v>56</v>
      </c>
      <c r="G43" s="5" t="s">
        <v>63</v>
      </c>
      <c r="H43" s="5" t="s">
        <v>207</v>
      </c>
      <c r="I43" s="5" t="s">
        <v>64</v>
      </c>
      <c r="J43" s="5" t="s">
        <v>69</v>
      </c>
      <c r="K43" s="5" t="s">
        <v>48</v>
      </c>
      <c r="L43" s="5" t="s">
        <v>67</v>
      </c>
      <c r="M43" s="5" t="s">
        <v>65</v>
      </c>
      <c r="N43" s="5" t="s">
        <v>74</v>
      </c>
      <c r="O43" s="5" t="s">
        <v>60</v>
      </c>
      <c r="P43" s="5" t="s">
        <v>71</v>
      </c>
      <c r="Q43" s="5" t="s">
        <v>208</v>
      </c>
      <c r="R43" s="1">
        <v>8</v>
      </c>
      <c r="S43" s="1">
        <v>74</v>
      </c>
      <c r="T43" s="1">
        <v>41</v>
      </c>
      <c r="Y43">
        <f t="shared" si="10"/>
        <v>41</v>
      </c>
      <c r="Z43">
        <f t="shared" si="5"/>
        <v>5</v>
      </c>
    </row>
    <row r="44" spans="1:26" x14ac:dyDescent="0.3">
      <c r="A44" s="43">
        <v>29</v>
      </c>
      <c r="B44" s="4"/>
      <c r="C44" s="6" t="s">
        <v>19</v>
      </c>
      <c r="D44" s="5"/>
      <c r="E44" s="5" t="s">
        <v>68</v>
      </c>
      <c r="F44" s="5" t="s">
        <v>50</v>
      </c>
      <c r="G44" s="5" t="s">
        <v>75</v>
      </c>
      <c r="H44" s="5" t="s">
        <v>207</v>
      </c>
      <c r="I44" s="5" t="s">
        <v>64</v>
      </c>
      <c r="J44" s="5" t="s">
        <v>69</v>
      </c>
      <c r="K44" s="5" t="s">
        <v>59</v>
      </c>
      <c r="L44" s="5" t="s">
        <v>53</v>
      </c>
      <c r="M44" s="5" t="s">
        <v>62</v>
      </c>
      <c r="N44" s="5" t="s">
        <v>55</v>
      </c>
      <c r="O44" s="5" t="s">
        <v>60</v>
      </c>
      <c r="P44" s="5" t="s">
        <v>71</v>
      </c>
      <c r="Q44" s="5" t="s">
        <v>208</v>
      </c>
      <c r="R44" s="1">
        <v>8</v>
      </c>
      <c r="S44" s="1">
        <v>80</v>
      </c>
      <c r="T44" s="1">
        <v>42</v>
      </c>
      <c r="Y44">
        <f t="shared" si="10"/>
        <v>42</v>
      </c>
      <c r="Z44">
        <f t="shared" si="5"/>
        <v>13</v>
      </c>
    </row>
    <row r="45" spans="1:26" ht="28.8" x14ac:dyDescent="0.3">
      <c r="A45" s="43">
        <v>30</v>
      </c>
      <c r="B45" s="4"/>
      <c r="C45" s="6" t="s">
        <v>81</v>
      </c>
      <c r="D45" s="5"/>
      <c r="E45" s="5" t="s">
        <v>68</v>
      </c>
      <c r="F45" s="5" t="s">
        <v>56</v>
      </c>
      <c r="G45" s="5" t="s">
        <v>75</v>
      </c>
      <c r="H45" s="5" t="s">
        <v>207</v>
      </c>
      <c r="I45" s="5" t="s">
        <v>64</v>
      </c>
      <c r="J45" s="5" t="s">
        <v>69</v>
      </c>
      <c r="K45" s="5" t="s">
        <v>48</v>
      </c>
      <c r="L45" s="5" t="s">
        <v>67</v>
      </c>
      <c r="M45" s="5" t="s">
        <v>65</v>
      </c>
      <c r="N45" s="5" t="s">
        <v>74</v>
      </c>
      <c r="O45" s="5" t="s">
        <v>60</v>
      </c>
      <c r="P45" s="5" t="s">
        <v>71</v>
      </c>
      <c r="Q45" s="5" t="s">
        <v>209</v>
      </c>
      <c r="R45" s="1">
        <v>8</v>
      </c>
      <c r="S45" s="1">
        <v>82</v>
      </c>
      <c r="T45" s="1">
        <v>42</v>
      </c>
      <c r="Y45">
        <f t="shared" si="10"/>
        <v>43</v>
      </c>
      <c r="Z45">
        <f t="shared" si="5"/>
        <v>3</v>
      </c>
    </row>
    <row r="46" spans="1:26" ht="28.8" x14ac:dyDescent="0.3">
      <c r="A46" s="43">
        <v>31</v>
      </c>
      <c r="B46" s="4"/>
      <c r="C46" s="6" t="s">
        <v>175</v>
      </c>
      <c r="D46" s="5"/>
      <c r="E46" s="5" t="s">
        <v>72</v>
      </c>
      <c r="F46" s="5" t="s">
        <v>56</v>
      </c>
      <c r="G46" s="5" t="s">
        <v>75</v>
      </c>
      <c r="H46" s="5" t="s">
        <v>207</v>
      </c>
      <c r="I46" s="5" t="s">
        <v>64</v>
      </c>
      <c r="J46" s="5" t="s">
        <v>69</v>
      </c>
      <c r="K46" s="5" t="s">
        <v>59</v>
      </c>
      <c r="L46" s="5" t="s">
        <v>53</v>
      </c>
      <c r="M46" s="5" t="s">
        <v>65</v>
      </c>
      <c r="N46" s="5" t="s">
        <v>55</v>
      </c>
      <c r="O46" s="5" t="s">
        <v>60</v>
      </c>
      <c r="P46" s="5" t="s">
        <v>71</v>
      </c>
      <c r="Q46" s="5" t="s">
        <v>209</v>
      </c>
      <c r="R46" s="1">
        <v>8</v>
      </c>
      <c r="S46" s="1">
        <v>63</v>
      </c>
      <c r="T46" s="1">
        <v>44</v>
      </c>
      <c r="Y46">
        <f t="shared" si="10"/>
        <v>44</v>
      </c>
      <c r="Z46">
        <f t="shared" si="5"/>
        <v>12</v>
      </c>
    </row>
    <row r="47" spans="1:26" x14ac:dyDescent="0.3">
      <c r="A47" s="43">
        <v>32</v>
      </c>
      <c r="B47" s="4"/>
      <c r="C47" s="6" t="s">
        <v>110</v>
      </c>
      <c r="D47" s="5"/>
      <c r="E47" s="5" t="s">
        <v>68</v>
      </c>
      <c r="F47" s="5" t="s">
        <v>50</v>
      </c>
      <c r="G47" s="5" t="s">
        <v>75</v>
      </c>
      <c r="H47" s="5" t="s">
        <v>207</v>
      </c>
      <c r="I47" s="5" t="s">
        <v>64</v>
      </c>
      <c r="J47" s="5" t="s">
        <v>69</v>
      </c>
      <c r="K47" s="5" t="s">
        <v>59</v>
      </c>
      <c r="L47" s="5" t="s">
        <v>67</v>
      </c>
      <c r="M47" s="5" t="s">
        <v>65</v>
      </c>
      <c r="N47" s="5" t="s">
        <v>74</v>
      </c>
      <c r="O47" s="5" t="s">
        <v>60</v>
      </c>
      <c r="P47" s="5" t="s">
        <v>71</v>
      </c>
      <c r="Q47" s="5" t="s">
        <v>209</v>
      </c>
      <c r="R47" s="1">
        <v>8</v>
      </c>
      <c r="S47" s="1">
        <v>78</v>
      </c>
      <c r="T47" s="1">
        <v>44</v>
      </c>
      <c r="Y47">
        <f t="shared" si="10"/>
        <v>45</v>
      </c>
      <c r="Z47">
        <f t="shared" si="5"/>
        <v>15</v>
      </c>
    </row>
    <row r="48" spans="1:26" x14ac:dyDescent="0.3">
      <c r="A48" s="43">
        <v>33</v>
      </c>
      <c r="B48" s="4"/>
      <c r="C48" s="6" t="s">
        <v>199</v>
      </c>
      <c r="D48" s="5"/>
      <c r="E48" s="5" t="s">
        <v>68</v>
      </c>
      <c r="F48" s="5" t="s">
        <v>50</v>
      </c>
      <c r="G48" s="5" t="s">
        <v>75</v>
      </c>
      <c r="H48" s="5" t="s">
        <v>51</v>
      </c>
      <c r="I48" s="5" t="s">
        <v>64</v>
      </c>
      <c r="J48" s="5" t="s">
        <v>58</v>
      </c>
      <c r="K48" s="5" t="s">
        <v>59</v>
      </c>
      <c r="L48" s="5" t="s">
        <v>67</v>
      </c>
      <c r="M48" s="5" t="s">
        <v>65</v>
      </c>
      <c r="N48" s="5" t="s">
        <v>74</v>
      </c>
      <c r="O48" s="5" t="s">
        <v>60</v>
      </c>
      <c r="P48" s="5" t="s">
        <v>71</v>
      </c>
      <c r="Q48" s="5" t="s">
        <v>209</v>
      </c>
      <c r="R48" s="1">
        <v>8</v>
      </c>
      <c r="S48" s="1">
        <v>69</v>
      </c>
      <c r="T48" s="1">
        <v>44</v>
      </c>
      <c r="Y48">
        <f t="shared" si="10"/>
        <v>46</v>
      </c>
      <c r="Z48">
        <f t="shared" si="5"/>
        <v>4</v>
      </c>
    </row>
    <row r="49" spans="1:26" x14ac:dyDescent="0.3">
      <c r="A49" s="43">
        <v>34</v>
      </c>
      <c r="B49" s="4"/>
      <c r="C49" s="6" t="s">
        <v>26</v>
      </c>
      <c r="D49" s="5"/>
      <c r="E49" s="5" t="s">
        <v>68</v>
      </c>
      <c r="F49" s="5" t="s">
        <v>50</v>
      </c>
      <c r="G49" s="5" t="s">
        <v>75</v>
      </c>
      <c r="H49" s="5" t="s">
        <v>51</v>
      </c>
      <c r="I49" s="5" t="s">
        <v>64</v>
      </c>
      <c r="J49" s="5" t="s">
        <v>58</v>
      </c>
      <c r="K49" s="5" t="s">
        <v>59</v>
      </c>
      <c r="L49" s="5" t="s">
        <v>53</v>
      </c>
      <c r="M49" s="5" t="s">
        <v>65</v>
      </c>
      <c r="N49" s="5" t="s">
        <v>55</v>
      </c>
      <c r="O49" s="5" t="s">
        <v>60</v>
      </c>
      <c r="P49" s="5" t="s">
        <v>57</v>
      </c>
      <c r="Q49" s="5" t="s">
        <v>209</v>
      </c>
      <c r="R49" s="1">
        <v>8</v>
      </c>
      <c r="S49" s="1">
        <v>70</v>
      </c>
      <c r="T49" s="1">
        <v>45</v>
      </c>
      <c r="Y49">
        <f t="shared" si="10"/>
        <v>47</v>
      </c>
      <c r="Z49">
        <f t="shared" si="5"/>
        <v>13</v>
      </c>
    </row>
    <row r="50" spans="1:26" x14ac:dyDescent="0.3">
      <c r="A50" s="43">
        <v>35</v>
      </c>
      <c r="B50" s="4"/>
      <c r="C50" s="6" t="s">
        <v>156</v>
      </c>
      <c r="D50" s="5"/>
      <c r="E50" s="5" t="s">
        <v>68</v>
      </c>
      <c r="F50" s="5" t="s">
        <v>56</v>
      </c>
      <c r="G50" s="5" t="s">
        <v>75</v>
      </c>
      <c r="H50" s="5" t="s">
        <v>207</v>
      </c>
      <c r="I50" s="5" t="s">
        <v>210</v>
      </c>
      <c r="J50" s="5" t="s">
        <v>69</v>
      </c>
      <c r="K50" s="5" t="s">
        <v>59</v>
      </c>
      <c r="L50" s="5" t="s">
        <v>53</v>
      </c>
      <c r="M50" s="5" t="s">
        <v>65</v>
      </c>
      <c r="N50" s="5" t="s">
        <v>55</v>
      </c>
      <c r="O50" s="5" t="s">
        <v>70</v>
      </c>
      <c r="P50" s="5" t="s">
        <v>71</v>
      </c>
      <c r="Q50" s="5" t="s">
        <v>208</v>
      </c>
      <c r="R50" s="1">
        <v>8</v>
      </c>
      <c r="S50" s="1">
        <v>77</v>
      </c>
      <c r="T50" s="1">
        <v>45</v>
      </c>
      <c r="Y50">
        <f t="shared" si="10"/>
        <v>48</v>
      </c>
      <c r="Z50">
        <f t="shared" si="5"/>
        <v>17</v>
      </c>
    </row>
    <row r="51" spans="1:26" ht="43.2" x14ac:dyDescent="0.3">
      <c r="A51" s="43">
        <v>36</v>
      </c>
      <c r="B51" s="4"/>
      <c r="C51" s="6" t="s">
        <v>132</v>
      </c>
      <c r="D51" s="5"/>
      <c r="E51" s="5" t="s">
        <v>72</v>
      </c>
      <c r="F51" s="5" t="s">
        <v>56</v>
      </c>
      <c r="G51" s="5" t="s">
        <v>75</v>
      </c>
      <c r="H51" s="5" t="s">
        <v>207</v>
      </c>
      <c r="I51" s="5" t="s">
        <v>210</v>
      </c>
      <c r="J51" s="5" t="s">
        <v>69</v>
      </c>
      <c r="K51" s="5" t="s">
        <v>59</v>
      </c>
      <c r="L51" s="5" t="s">
        <v>67</v>
      </c>
      <c r="M51" s="5" t="s">
        <v>65</v>
      </c>
      <c r="N51" s="5" t="s">
        <v>74</v>
      </c>
      <c r="O51" s="5" t="s">
        <v>60</v>
      </c>
      <c r="P51" s="5" t="s">
        <v>71</v>
      </c>
      <c r="Q51" s="5" t="s">
        <v>208</v>
      </c>
      <c r="R51" s="1">
        <v>8</v>
      </c>
      <c r="S51" s="1">
        <v>73</v>
      </c>
      <c r="T51" s="1">
        <v>45</v>
      </c>
      <c r="Y51">
        <f t="shared" si="10"/>
        <v>49</v>
      </c>
      <c r="Z51">
        <f t="shared" si="5"/>
        <v>9</v>
      </c>
    </row>
    <row r="52" spans="1:26" ht="28.8" x14ac:dyDescent="0.3">
      <c r="A52" s="43">
        <v>37</v>
      </c>
      <c r="B52" s="4"/>
      <c r="C52" s="6" t="s">
        <v>163</v>
      </c>
      <c r="D52" s="5"/>
      <c r="E52" s="5" t="s">
        <v>72</v>
      </c>
      <c r="F52" s="5" t="s">
        <v>56</v>
      </c>
      <c r="G52" s="5" t="s">
        <v>63</v>
      </c>
      <c r="H52" s="5" t="s">
        <v>207</v>
      </c>
      <c r="I52" s="5" t="s">
        <v>64</v>
      </c>
      <c r="J52" s="5" t="s">
        <v>69</v>
      </c>
      <c r="K52" s="5" t="s">
        <v>59</v>
      </c>
      <c r="L52" s="5" t="s">
        <v>67</v>
      </c>
      <c r="M52" s="5" t="s">
        <v>62</v>
      </c>
      <c r="N52" s="5" t="s">
        <v>55</v>
      </c>
      <c r="O52" s="5" t="s">
        <v>60</v>
      </c>
      <c r="P52" s="5" t="s">
        <v>57</v>
      </c>
      <c r="Q52" s="5" t="s">
        <v>208</v>
      </c>
      <c r="R52" s="1">
        <v>8</v>
      </c>
      <c r="S52" s="1">
        <v>77</v>
      </c>
      <c r="T52" s="1">
        <v>45</v>
      </c>
      <c r="Y52">
        <f t="shared" si="10"/>
        <v>50</v>
      </c>
      <c r="Z52">
        <f t="shared" si="5"/>
        <v>10</v>
      </c>
    </row>
    <row r="53" spans="1:26" x14ac:dyDescent="0.3">
      <c r="A53" s="43">
        <v>38</v>
      </c>
      <c r="B53" s="4"/>
      <c r="C53" s="6" t="s">
        <v>94</v>
      </c>
      <c r="D53" s="5"/>
      <c r="E53" s="5" t="s">
        <v>68</v>
      </c>
      <c r="F53" s="5" t="s">
        <v>56</v>
      </c>
      <c r="G53" s="5" t="s">
        <v>75</v>
      </c>
      <c r="H53" s="5" t="s">
        <v>207</v>
      </c>
      <c r="I53" s="5" t="s">
        <v>64</v>
      </c>
      <c r="J53" s="5" t="s">
        <v>69</v>
      </c>
      <c r="K53" s="5" t="s">
        <v>48</v>
      </c>
      <c r="L53" s="5" t="s">
        <v>67</v>
      </c>
      <c r="M53" s="5" t="s">
        <v>65</v>
      </c>
      <c r="N53" s="5" t="s">
        <v>74</v>
      </c>
      <c r="O53" s="5" t="s">
        <v>60</v>
      </c>
      <c r="P53" s="5" t="s">
        <v>71</v>
      </c>
      <c r="Q53" s="5" t="s">
        <v>209</v>
      </c>
      <c r="R53" s="1">
        <v>8</v>
      </c>
      <c r="S53" s="1">
        <v>84</v>
      </c>
      <c r="T53" s="1">
        <v>46</v>
      </c>
      <c r="Y53">
        <f t="shared" si="10"/>
        <v>51</v>
      </c>
      <c r="Z53">
        <f t="shared" si="5"/>
        <v>6</v>
      </c>
    </row>
    <row r="54" spans="1:26" ht="28.8" x14ac:dyDescent="0.3">
      <c r="A54" s="43">
        <v>39</v>
      </c>
      <c r="B54" s="4"/>
      <c r="C54" s="6" t="s">
        <v>148</v>
      </c>
      <c r="D54" s="5"/>
      <c r="E54" s="5" t="s">
        <v>72</v>
      </c>
      <c r="F54" s="5" t="s">
        <v>56</v>
      </c>
      <c r="G54" s="5" t="s">
        <v>63</v>
      </c>
      <c r="H54" s="5" t="s">
        <v>207</v>
      </c>
      <c r="I54" s="5" t="s">
        <v>64</v>
      </c>
      <c r="J54" s="5" t="s">
        <v>69</v>
      </c>
      <c r="K54" s="5" t="s">
        <v>59</v>
      </c>
      <c r="L54" s="5" t="s">
        <v>53</v>
      </c>
      <c r="M54" s="5" t="s">
        <v>65</v>
      </c>
      <c r="N54" s="5" t="s">
        <v>55</v>
      </c>
      <c r="O54" s="5" t="s">
        <v>60</v>
      </c>
      <c r="P54" s="5" t="s">
        <v>71</v>
      </c>
      <c r="Q54" s="5" t="s">
        <v>208</v>
      </c>
      <c r="R54" s="1">
        <v>8</v>
      </c>
      <c r="S54" s="1">
        <v>75</v>
      </c>
      <c r="T54" s="1">
        <v>47</v>
      </c>
      <c r="Y54">
        <f t="shared" si="10"/>
        <v>52</v>
      </c>
      <c r="Z54">
        <f t="shared" si="5"/>
        <v>5</v>
      </c>
    </row>
    <row r="55" spans="1:26" ht="28.8" x14ac:dyDescent="0.3">
      <c r="A55" s="43">
        <v>40</v>
      </c>
      <c r="B55" s="4"/>
      <c r="C55" s="6" t="s">
        <v>164</v>
      </c>
      <c r="D55" s="5"/>
      <c r="E55" s="5" t="s">
        <v>72</v>
      </c>
      <c r="F55" s="5" t="s">
        <v>50</v>
      </c>
      <c r="G55" s="5" t="s">
        <v>75</v>
      </c>
      <c r="H55" s="5" t="s">
        <v>51</v>
      </c>
      <c r="I55" s="5" t="s">
        <v>64</v>
      </c>
      <c r="J55" s="5" t="s">
        <v>69</v>
      </c>
      <c r="K55" s="5" t="s">
        <v>59</v>
      </c>
      <c r="L55" s="5" t="s">
        <v>67</v>
      </c>
      <c r="M55" s="5" t="s">
        <v>65</v>
      </c>
      <c r="N55" s="5" t="s">
        <v>55</v>
      </c>
      <c r="O55" s="5" t="s">
        <v>60</v>
      </c>
      <c r="P55" s="5" t="s">
        <v>71</v>
      </c>
      <c r="Q55" s="5" t="s">
        <v>208</v>
      </c>
      <c r="R55" s="1">
        <v>8</v>
      </c>
      <c r="S55" s="1">
        <v>73</v>
      </c>
      <c r="T55" s="1">
        <v>48</v>
      </c>
      <c r="Y55">
        <f t="shared" si="10"/>
        <v>53</v>
      </c>
      <c r="Z55">
        <f t="shared" si="5"/>
        <v>2</v>
      </c>
    </row>
    <row r="56" spans="1:26" ht="28.8" x14ac:dyDescent="0.3">
      <c r="A56" s="43">
        <v>41</v>
      </c>
      <c r="B56" s="4"/>
      <c r="C56" s="6" t="s">
        <v>122</v>
      </c>
      <c r="D56" s="5"/>
      <c r="E56" s="5" t="s">
        <v>68</v>
      </c>
      <c r="F56" s="5" t="s">
        <v>50</v>
      </c>
      <c r="G56" s="5" t="s">
        <v>75</v>
      </c>
      <c r="H56" s="5" t="s">
        <v>207</v>
      </c>
      <c r="I56" s="5" t="s">
        <v>64</v>
      </c>
      <c r="J56" s="5" t="s">
        <v>58</v>
      </c>
      <c r="K56" s="5" t="s">
        <v>48</v>
      </c>
      <c r="L56" s="5" t="s">
        <v>53</v>
      </c>
      <c r="M56" s="5" t="s">
        <v>65</v>
      </c>
      <c r="N56" s="5" t="s">
        <v>74</v>
      </c>
      <c r="O56" s="5" t="s">
        <v>60</v>
      </c>
      <c r="P56" s="5" t="s">
        <v>57</v>
      </c>
      <c r="Q56" s="5" t="s">
        <v>208</v>
      </c>
      <c r="R56" s="1">
        <v>8</v>
      </c>
      <c r="S56" s="1">
        <v>67</v>
      </c>
      <c r="T56" s="1">
        <v>48</v>
      </c>
      <c r="Y56">
        <f t="shared" si="10"/>
        <v>54</v>
      </c>
      <c r="Z56">
        <f t="shared" si="5"/>
        <v>2</v>
      </c>
    </row>
    <row r="57" spans="1:26" ht="28.8" x14ac:dyDescent="0.3">
      <c r="A57" s="43">
        <v>42</v>
      </c>
      <c r="B57" s="4"/>
      <c r="C57" s="6" t="s">
        <v>147</v>
      </c>
      <c r="D57" s="5"/>
      <c r="E57" s="5" t="s">
        <v>68</v>
      </c>
      <c r="F57" s="5" t="s">
        <v>56</v>
      </c>
      <c r="G57" s="5" t="s">
        <v>75</v>
      </c>
      <c r="H57" s="5" t="s">
        <v>207</v>
      </c>
      <c r="I57" s="5" t="s">
        <v>64</v>
      </c>
      <c r="J57" s="5" t="s">
        <v>69</v>
      </c>
      <c r="K57" s="5" t="s">
        <v>48</v>
      </c>
      <c r="L57" s="5" t="s">
        <v>53</v>
      </c>
      <c r="M57" s="5" t="s">
        <v>65</v>
      </c>
      <c r="N57" s="5" t="s">
        <v>55</v>
      </c>
      <c r="O57" s="5" t="s">
        <v>70</v>
      </c>
      <c r="P57" s="5" t="s">
        <v>71</v>
      </c>
      <c r="Q57" s="5" t="s">
        <v>208</v>
      </c>
      <c r="R57" s="1">
        <v>8</v>
      </c>
      <c r="S57" s="1">
        <v>76</v>
      </c>
      <c r="T57" s="1">
        <v>49</v>
      </c>
      <c r="Y57">
        <f t="shared" si="10"/>
        <v>55</v>
      </c>
      <c r="Z57">
        <f t="shared" si="5"/>
        <v>0</v>
      </c>
    </row>
    <row r="58" spans="1:26" ht="28.8" x14ac:dyDescent="0.3">
      <c r="A58" s="43">
        <v>43</v>
      </c>
      <c r="B58" s="4"/>
      <c r="C58" s="6" t="s">
        <v>143</v>
      </c>
      <c r="D58" s="5"/>
      <c r="E58" s="5" t="s">
        <v>72</v>
      </c>
      <c r="F58" s="5" t="s">
        <v>56</v>
      </c>
      <c r="G58" s="5" t="s">
        <v>75</v>
      </c>
      <c r="H58" s="5" t="s">
        <v>207</v>
      </c>
      <c r="I58" s="5" t="s">
        <v>64</v>
      </c>
      <c r="J58" s="5" t="s">
        <v>69</v>
      </c>
      <c r="K58" s="5" t="s">
        <v>59</v>
      </c>
      <c r="L58" s="5" t="s">
        <v>53</v>
      </c>
      <c r="M58" s="5" t="s">
        <v>65</v>
      </c>
      <c r="N58" s="5" t="s">
        <v>74</v>
      </c>
      <c r="O58" s="5" t="s">
        <v>60</v>
      </c>
      <c r="P58" s="5" t="s">
        <v>71</v>
      </c>
      <c r="Q58" s="5" t="s">
        <v>208</v>
      </c>
      <c r="R58" s="1">
        <v>8</v>
      </c>
      <c r="S58" s="1">
        <v>67</v>
      </c>
      <c r="T58" s="1">
        <v>50</v>
      </c>
      <c r="Y58">
        <f t="shared" si="10"/>
        <v>56</v>
      </c>
      <c r="Z58">
        <f t="shared" si="5"/>
        <v>3</v>
      </c>
    </row>
    <row r="59" spans="1:26" x14ac:dyDescent="0.3">
      <c r="A59" s="43">
        <v>44</v>
      </c>
      <c r="B59" s="4"/>
      <c r="C59" s="6" t="s">
        <v>127</v>
      </c>
      <c r="D59" s="5"/>
      <c r="E59" s="5" t="s">
        <v>68</v>
      </c>
      <c r="F59" s="5" t="s">
        <v>56</v>
      </c>
      <c r="G59" s="5" t="s">
        <v>63</v>
      </c>
      <c r="H59" s="5" t="s">
        <v>207</v>
      </c>
      <c r="I59" s="5" t="s">
        <v>64</v>
      </c>
      <c r="J59" s="5" t="s">
        <v>69</v>
      </c>
      <c r="K59" s="5" t="s">
        <v>59</v>
      </c>
      <c r="L59" s="5" t="s">
        <v>53</v>
      </c>
      <c r="M59" s="5" t="s">
        <v>65</v>
      </c>
      <c r="N59" s="5" t="s">
        <v>74</v>
      </c>
      <c r="O59" s="5" t="s">
        <v>60</v>
      </c>
      <c r="P59" s="5" t="s">
        <v>71</v>
      </c>
      <c r="Q59" s="5" t="s">
        <v>208</v>
      </c>
      <c r="R59" s="1">
        <v>8</v>
      </c>
      <c r="S59" s="1">
        <v>70</v>
      </c>
      <c r="T59" s="1">
        <v>50</v>
      </c>
      <c r="Y59">
        <f t="shared" si="10"/>
        <v>57</v>
      </c>
      <c r="Z59">
        <f t="shared" si="5"/>
        <v>3</v>
      </c>
    </row>
    <row r="60" spans="1:26" x14ac:dyDescent="0.3">
      <c r="A60" s="43">
        <v>45</v>
      </c>
      <c r="B60" s="4"/>
      <c r="C60" s="6" t="s">
        <v>149</v>
      </c>
      <c r="D60" s="5"/>
      <c r="E60" s="5" t="s">
        <v>72</v>
      </c>
      <c r="F60" s="5" t="s">
        <v>56</v>
      </c>
      <c r="G60" s="5" t="s">
        <v>75</v>
      </c>
      <c r="H60" s="5" t="s">
        <v>207</v>
      </c>
      <c r="I60" s="5" t="s">
        <v>64</v>
      </c>
      <c r="J60" s="5" t="s">
        <v>69</v>
      </c>
      <c r="K60" s="5" t="s">
        <v>59</v>
      </c>
      <c r="L60" s="5" t="s">
        <v>53</v>
      </c>
      <c r="M60" s="5" t="s">
        <v>65</v>
      </c>
      <c r="N60" s="5" t="s">
        <v>55</v>
      </c>
      <c r="O60" s="5" t="s">
        <v>60</v>
      </c>
      <c r="P60" s="5" t="s">
        <v>71</v>
      </c>
      <c r="Q60" s="5" t="s">
        <v>209</v>
      </c>
      <c r="R60" s="1">
        <v>8</v>
      </c>
      <c r="S60" s="1">
        <v>71</v>
      </c>
      <c r="T60" s="1">
        <v>51</v>
      </c>
      <c r="Y60">
        <f t="shared" si="10"/>
        <v>58</v>
      </c>
      <c r="Z60">
        <f t="shared" si="5"/>
        <v>0</v>
      </c>
    </row>
    <row r="61" spans="1:26" ht="28.8" x14ac:dyDescent="0.3">
      <c r="A61" s="43">
        <v>46</v>
      </c>
      <c r="B61" s="4"/>
      <c r="C61" s="6" t="s">
        <v>112</v>
      </c>
      <c r="D61" s="5"/>
      <c r="E61" s="5" t="s">
        <v>68</v>
      </c>
      <c r="F61" s="5" t="s">
        <v>56</v>
      </c>
      <c r="G61" s="5" t="s">
        <v>75</v>
      </c>
      <c r="H61" s="5" t="s">
        <v>207</v>
      </c>
      <c r="I61" s="5" t="s">
        <v>64</v>
      </c>
      <c r="J61" s="5" t="s">
        <v>69</v>
      </c>
      <c r="K61" s="5" t="s">
        <v>59</v>
      </c>
      <c r="L61" s="5" t="s">
        <v>53</v>
      </c>
      <c r="M61" s="5" t="s">
        <v>65</v>
      </c>
      <c r="N61" s="5" t="s">
        <v>74</v>
      </c>
      <c r="O61" s="5" t="s">
        <v>60</v>
      </c>
      <c r="P61" s="5" t="s">
        <v>71</v>
      </c>
      <c r="Q61" s="5" t="s">
        <v>209</v>
      </c>
      <c r="R61" s="1">
        <v>8</v>
      </c>
      <c r="S61" s="1">
        <v>82</v>
      </c>
      <c r="T61" s="1">
        <v>52</v>
      </c>
      <c r="Y61">
        <f t="shared" si="10"/>
        <v>59</v>
      </c>
      <c r="Z61">
        <f t="shared" si="5"/>
        <v>1</v>
      </c>
    </row>
    <row r="62" spans="1:26" ht="28.8" x14ac:dyDescent="0.3">
      <c r="A62" s="43">
        <v>47</v>
      </c>
      <c r="B62" s="4"/>
      <c r="C62" s="6" t="s">
        <v>197</v>
      </c>
      <c r="D62" s="5"/>
      <c r="E62" s="5" t="s">
        <v>68</v>
      </c>
      <c r="F62" s="5" t="s">
        <v>50</v>
      </c>
      <c r="G62" s="5" t="s">
        <v>75</v>
      </c>
      <c r="H62" s="5" t="s">
        <v>207</v>
      </c>
      <c r="I62" s="5" t="s">
        <v>64</v>
      </c>
      <c r="J62" s="5" t="s">
        <v>69</v>
      </c>
      <c r="K62" s="5" t="s">
        <v>59</v>
      </c>
      <c r="L62" s="5" t="s">
        <v>53</v>
      </c>
      <c r="M62" s="5" t="s">
        <v>65</v>
      </c>
      <c r="N62" s="5" t="s">
        <v>74</v>
      </c>
      <c r="O62" s="5" t="s">
        <v>60</v>
      </c>
      <c r="P62" s="5" t="s">
        <v>71</v>
      </c>
      <c r="Q62" s="5" t="s">
        <v>208</v>
      </c>
      <c r="R62" s="1">
        <v>8</v>
      </c>
      <c r="S62" s="1">
        <v>49</v>
      </c>
      <c r="T62" s="1">
        <v>52</v>
      </c>
      <c r="Y62">
        <f t="shared" si="10"/>
        <v>60</v>
      </c>
      <c r="Z62">
        <f t="shared" si="5"/>
        <v>0</v>
      </c>
    </row>
    <row r="63" spans="1:26" ht="28.8" x14ac:dyDescent="0.3">
      <c r="A63" s="43">
        <v>48</v>
      </c>
      <c r="B63" s="4"/>
      <c r="C63" s="6" t="s">
        <v>140</v>
      </c>
      <c r="D63" s="5"/>
      <c r="E63" s="5" t="s">
        <v>68</v>
      </c>
      <c r="F63" s="5" t="s">
        <v>50</v>
      </c>
      <c r="G63" s="5" t="s">
        <v>75</v>
      </c>
      <c r="H63" s="5" t="s">
        <v>207</v>
      </c>
      <c r="I63" s="5" t="s">
        <v>64</v>
      </c>
      <c r="J63" s="5" t="s">
        <v>69</v>
      </c>
      <c r="K63" s="5" t="s">
        <v>59</v>
      </c>
      <c r="L63" s="5" t="s">
        <v>67</v>
      </c>
      <c r="M63" s="5" t="s">
        <v>62</v>
      </c>
      <c r="N63" s="5" t="s">
        <v>55</v>
      </c>
      <c r="O63" s="5" t="s">
        <v>60</v>
      </c>
      <c r="P63" s="5" t="s">
        <v>71</v>
      </c>
      <c r="Q63" s="5" t="s">
        <v>209</v>
      </c>
      <c r="R63" s="1">
        <v>8</v>
      </c>
      <c r="S63" s="1">
        <v>73</v>
      </c>
      <c r="T63" s="1">
        <v>52</v>
      </c>
      <c r="Y63">
        <f t="shared" si="10"/>
        <v>61</v>
      </c>
      <c r="Z63">
        <f t="shared" si="5"/>
        <v>0</v>
      </c>
    </row>
    <row r="64" spans="1:26" ht="28.8" x14ac:dyDescent="0.3">
      <c r="A64" s="43">
        <v>49</v>
      </c>
      <c r="B64" s="4"/>
      <c r="C64" s="6" t="s">
        <v>159</v>
      </c>
      <c r="D64" s="5"/>
      <c r="E64" s="5" t="s">
        <v>72</v>
      </c>
      <c r="F64" s="5" t="s">
        <v>56</v>
      </c>
      <c r="G64" s="5" t="s">
        <v>75</v>
      </c>
      <c r="H64" s="5" t="s">
        <v>207</v>
      </c>
      <c r="I64" s="5" t="s">
        <v>210</v>
      </c>
      <c r="J64" s="5" t="s">
        <v>58</v>
      </c>
      <c r="K64" s="5" t="s">
        <v>48</v>
      </c>
      <c r="L64" s="5" t="s">
        <v>67</v>
      </c>
      <c r="M64" s="5" t="s">
        <v>62</v>
      </c>
      <c r="N64" s="5" t="s">
        <v>55</v>
      </c>
      <c r="O64" s="5" t="s">
        <v>60</v>
      </c>
      <c r="P64" s="5" t="s">
        <v>71</v>
      </c>
      <c r="Q64" s="5" t="s">
        <v>208</v>
      </c>
      <c r="R64" s="1">
        <v>8</v>
      </c>
      <c r="S64" s="1">
        <v>65</v>
      </c>
      <c r="T64" s="1">
        <v>57</v>
      </c>
      <c r="Y64">
        <f t="shared" si="10"/>
        <v>62</v>
      </c>
      <c r="Z64">
        <f t="shared" si="5"/>
        <v>0</v>
      </c>
    </row>
    <row r="65" spans="1:26" x14ac:dyDescent="0.3">
      <c r="A65" s="43">
        <v>50</v>
      </c>
      <c r="B65" s="4"/>
      <c r="C65" s="6" t="s">
        <v>129</v>
      </c>
      <c r="D65" s="5"/>
      <c r="E65" s="5" t="s">
        <v>68</v>
      </c>
      <c r="F65" s="5" t="s">
        <v>56</v>
      </c>
      <c r="G65" s="5" t="s">
        <v>75</v>
      </c>
      <c r="H65" s="5" t="s">
        <v>51</v>
      </c>
      <c r="I65" s="5" t="s">
        <v>210</v>
      </c>
      <c r="J65" s="5" t="s">
        <v>69</v>
      </c>
      <c r="K65" s="5" t="s">
        <v>48</v>
      </c>
      <c r="L65" s="5" t="s">
        <v>53</v>
      </c>
      <c r="M65" s="5" t="s">
        <v>65</v>
      </c>
      <c r="N65" s="5" t="s">
        <v>55</v>
      </c>
      <c r="O65" s="5" t="s">
        <v>60</v>
      </c>
      <c r="P65" s="5" t="s">
        <v>71</v>
      </c>
      <c r="Q65" s="5" t="s">
        <v>208</v>
      </c>
      <c r="R65" s="1">
        <v>7</v>
      </c>
      <c r="S65" s="1">
        <v>78</v>
      </c>
      <c r="T65" s="1">
        <v>37</v>
      </c>
      <c r="Y65">
        <f t="shared" si="10"/>
        <v>63</v>
      </c>
      <c r="Z65">
        <f t="shared" si="5"/>
        <v>0</v>
      </c>
    </row>
    <row r="66" spans="1:26" x14ac:dyDescent="0.3">
      <c r="A66" s="43">
        <v>51</v>
      </c>
      <c r="B66" s="4"/>
      <c r="C66" s="6" t="s">
        <v>16</v>
      </c>
      <c r="D66" s="5"/>
      <c r="E66" s="5" t="s">
        <v>72</v>
      </c>
      <c r="F66" s="5" t="s">
        <v>50</v>
      </c>
      <c r="G66" s="5" t="s">
        <v>63</v>
      </c>
      <c r="H66" s="5" t="s">
        <v>207</v>
      </c>
      <c r="I66" s="5" t="s">
        <v>64</v>
      </c>
      <c r="J66" s="5" t="s">
        <v>69</v>
      </c>
      <c r="K66" s="5" t="s">
        <v>59</v>
      </c>
      <c r="L66" s="5" t="s">
        <v>67</v>
      </c>
      <c r="M66" s="5" t="s">
        <v>65</v>
      </c>
      <c r="N66" s="5" t="s">
        <v>55</v>
      </c>
      <c r="O66" s="5" t="s">
        <v>70</v>
      </c>
      <c r="P66" s="5" t="s">
        <v>71</v>
      </c>
      <c r="Q66" s="5" t="s">
        <v>208</v>
      </c>
      <c r="R66" s="1">
        <v>7</v>
      </c>
      <c r="S66" s="1">
        <v>80</v>
      </c>
      <c r="T66" s="1">
        <v>41</v>
      </c>
      <c r="Y66">
        <f t="shared" si="10"/>
        <v>64</v>
      </c>
      <c r="Z66">
        <f t="shared" si="5"/>
        <v>0</v>
      </c>
    </row>
    <row r="67" spans="1:26" x14ac:dyDescent="0.3">
      <c r="A67" s="43">
        <v>52</v>
      </c>
      <c r="B67" s="4"/>
      <c r="C67" s="6" t="s">
        <v>95</v>
      </c>
      <c r="D67" s="5"/>
      <c r="E67" s="5" t="s">
        <v>68</v>
      </c>
      <c r="F67" s="5" t="s">
        <v>50</v>
      </c>
      <c r="G67" s="5" t="s">
        <v>75</v>
      </c>
      <c r="H67" s="5" t="s">
        <v>207</v>
      </c>
      <c r="I67" s="5" t="s">
        <v>210</v>
      </c>
      <c r="J67" s="5" t="s">
        <v>69</v>
      </c>
      <c r="K67" s="5" t="s">
        <v>59</v>
      </c>
      <c r="L67" s="5" t="s">
        <v>53</v>
      </c>
      <c r="M67" s="5" t="s">
        <v>65</v>
      </c>
      <c r="N67" s="5" t="s">
        <v>55</v>
      </c>
      <c r="O67" s="5" t="s">
        <v>60</v>
      </c>
      <c r="P67" s="5" t="s">
        <v>57</v>
      </c>
      <c r="Q67" s="5" t="s">
        <v>209</v>
      </c>
      <c r="R67" s="1">
        <v>7</v>
      </c>
      <c r="S67" s="1">
        <v>79</v>
      </c>
      <c r="T67" s="1">
        <v>41</v>
      </c>
      <c r="Y67">
        <f t="shared" si="10"/>
        <v>65</v>
      </c>
      <c r="Z67">
        <f t="shared" ref="Z67:Z120" si="11">COUNTIF(T$16:T$179,Y67)</f>
        <v>0</v>
      </c>
    </row>
    <row r="68" spans="1:26" ht="28.8" x14ac:dyDescent="0.3">
      <c r="A68" s="43">
        <v>53</v>
      </c>
      <c r="B68" s="4"/>
      <c r="C68" s="6" t="s">
        <v>135</v>
      </c>
      <c r="D68" s="5"/>
      <c r="E68" s="5" t="s">
        <v>72</v>
      </c>
      <c r="F68" s="5" t="s">
        <v>50</v>
      </c>
      <c r="G68" s="5" t="s">
        <v>75</v>
      </c>
      <c r="H68" s="5" t="s">
        <v>51</v>
      </c>
      <c r="I68" s="5" t="s">
        <v>64</v>
      </c>
      <c r="J68" s="5" t="s">
        <v>69</v>
      </c>
      <c r="K68" s="5" t="s">
        <v>59</v>
      </c>
      <c r="L68" s="5" t="s">
        <v>67</v>
      </c>
      <c r="M68" s="5" t="s">
        <v>62</v>
      </c>
      <c r="N68" s="5" t="s">
        <v>55</v>
      </c>
      <c r="O68" s="5" t="s">
        <v>60</v>
      </c>
      <c r="P68" s="5" t="s">
        <v>71</v>
      </c>
      <c r="Q68" s="5" t="s">
        <v>208</v>
      </c>
      <c r="R68" s="1">
        <v>7</v>
      </c>
      <c r="S68" s="1">
        <v>73</v>
      </c>
      <c r="T68" s="1">
        <v>42</v>
      </c>
      <c r="Y68">
        <f t="shared" si="10"/>
        <v>66</v>
      </c>
      <c r="Z68">
        <f t="shared" si="11"/>
        <v>0</v>
      </c>
    </row>
    <row r="69" spans="1:26" ht="28.8" x14ac:dyDescent="0.3">
      <c r="A69" s="43">
        <v>54</v>
      </c>
      <c r="B69" s="4"/>
      <c r="C69" s="6" t="s">
        <v>198</v>
      </c>
      <c r="D69" s="5"/>
      <c r="E69" s="5" t="s">
        <v>72</v>
      </c>
      <c r="F69" s="5" t="s">
        <v>50</v>
      </c>
      <c r="G69" s="5" t="s">
        <v>75</v>
      </c>
      <c r="H69" s="5" t="s">
        <v>207</v>
      </c>
      <c r="I69" s="5" t="s">
        <v>64</v>
      </c>
      <c r="J69" s="5" t="s">
        <v>69</v>
      </c>
      <c r="K69" s="5" t="s">
        <v>48</v>
      </c>
      <c r="L69" s="5" t="s">
        <v>67</v>
      </c>
      <c r="M69" s="5" t="s">
        <v>65</v>
      </c>
      <c r="N69" s="5" t="s">
        <v>55</v>
      </c>
      <c r="O69" s="5" t="s">
        <v>60</v>
      </c>
      <c r="P69" s="5" t="s">
        <v>71</v>
      </c>
      <c r="Q69" s="5" t="s">
        <v>209</v>
      </c>
      <c r="R69" s="1">
        <v>7</v>
      </c>
      <c r="S69" s="1">
        <v>72</v>
      </c>
      <c r="T69" s="1">
        <v>42</v>
      </c>
      <c r="Y69">
        <f t="shared" si="10"/>
        <v>67</v>
      </c>
      <c r="Z69">
        <f t="shared" si="11"/>
        <v>1</v>
      </c>
    </row>
    <row r="70" spans="1:26" x14ac:dyDescent="0.3">
      <c r="A70" s="43">
        <v>55</v>
      </c>
      <c r="B70" s="4"/>
      <c r="C70" s="6" t="s">
        <v>35</v>
      </c>
      <c r="D70" s="5"/>
      <c r="E70" s="5" t="s">
        <v>68</v>
      </c>
      <c r="F70" s="5" t="s">
        <v>50</v>
      </c>
      <c r="G70" s="5" t="s">
        <v>75</v>
      </c>
      <c r="H70" s="5" t="s">
        <v>207</v>
      </c>
      <c r="I70" s="5" t="s">
        <v>210</v>
      </c>
      <c r="J70" s="5" t="s">
        <v>69</v>
      </c>
      <c r="K70" s="5" t="s">
        <v>59</v>
      </c>
      <c r="L70" s="5" t="s">
        <v>67</v>
      </c>
      <c r="M70" s="5" t="s">
        <v>62</v>
      </c>
      <c r="N70" s="5" t="s">
        <v>55</v>
      </c>
      <c r="O70" s="5" t="s">
        <v>60</v>
      </c>
      <c r="P70" s="5" t="s">
        <v>71</v>
      </c>
      <c r="Q70" s="5" t="s">
        <v>209</v>
      </c>
      <c r="R70" s="1">
        <v>7</v>
      </c>
      <c r="S70" s="1">
        <v>71</v>
      </c>
      <c r="T70" s="1">
        <v>42</v>
      </c>
      <c r="Y70">
        <f t="shared" si="10"/>
        <v>68</v>
      </c>
      <c r="Z70">
        <f t="shared" si="11"/>
        <v>0</v>
      </c>
    </row>
    <row r="71" spans="1:26" x14ac:dyDescent="0.3">
      <c r="A71" s="43">
        <v>56</v>
      </c>
      <c r="B71" s="4"/>
      <c r="C71" s="6" t="s">
        <v>142</v>
      </c>
      <c r="D71" s="5"/>
      <c r="E71" s="5" t="s">
        <v>72</v>
      </c>
      <c r="F71" s="5" t="s">
        <v>50</v>
      </c>
      <c r="G71" s="5" t="s">
        <v>63</v>
      </c>
      <c r="H71" s="5" t="s">
        <v>207</v>
      </c>
      <c r="I71" s="5" t="s">
        <v>64</v>
      </c>
      <c r="J71" s="5" t="s">
        <v>69</v>
      </c>
      <c r="K71" s="5" t="s">
        <v>59</v>
      </c>
      <c r="L71" s="5" t="s">
        <v>67</v>
      </c>
      <c r="M71" s="5" t="s">
        <v>65</v>
      </c>
      <c r="N71" s="5" t="s">
        <v>74</v>
      </c>
      <c r="O71" s="5" t="s">
        <v>60</v>
      </c>
      <c r="P71" s="5" t="s">
        <v>71</v>
      </c>
      <c r="Q71" s="5" t="s">
        <v>208</v>
      </c>
      <c r="R71" s="1">
        <v>7</v>
      </c>
      <c r="S71" s="1">
        <v>76</v>
      </c>
      <c r="T71" s="1">
        <v>42</v>
      </c>
      <c r="Y71">
        <f t="shared" ref="Y71:Y120" si="12">Y70+1</f>
        <v>69</v>
      </c>
      <c r="Z71">
        <f t="shared" si="11"/>
        <v>0</v>
      </c>
    </row>
    <row r="72" spans="1:26" x14ac:dyDescent="0.3">
      <c r="A72" s="43">
        <v>57</v>
      </c>
      <c r="B72" s="4"/>
      <c r="C72" s="6" t="s">
        <v>39</v>
      </c>
      <c r="D72" s="5"/>
      <c r="E72" s="5" t="s">
        <v>68</v>
      </c>
      <c r="F72" s="5" t="s">
        <v>56</v>
      </c>
      <c r="G72" s="5" t="s">
        <v>63</v>
      </c>
      <c r="H72" s="5" t="s">
        <v>207</v>
      </c>
      <c r="I72" s="5" t="s">
        <v>64</v>
      </c>
      <c r="J72" s="5" t="s">
        <v>58</v>
      </c>
      <c r="K72" s="5" t="s">
        <v>48</v>
      </c>
      <c r="L72" s="5" t="s">
        <v>53</v>
      </c>
      <c r="M72" s="5" t="s">
        <v>62</v>
      </c>
      <c r="N72" s="5" t="s">
        <v>55</v>
      </c>
      <c r="O72" s="5" t="s">
        <v>70</v>
      </c>
      <c r="P72" s="5" t="s">
        <v>71</v>
      </c>
      <c r="Q72" s="5" t="s">
        <v>208</v>
      </c>
      <c r="R72" s="1">
        <v>7</v>
      </c>
      <c r="S72" s="1">
        <v>74</v>
      </c>
      <c r="T72" s="1">
        <v>43</v>
      </c>
      <c r="Y72">
        <f t="shared" si="12"/>
        <v>70</v>
      </c>
      <c r="Z72">
        <f t="shared" si="11"/>
        <v>0</v>
      </c>
    </row>
    <row r="73" spans="1:26" x14ac:dyDescent="0.3">
      <c r="A73" s="43">
        <v>58</v>
      </c>
      <c r="B73" s="4"/>
      <c r="C73" s="6" t="s">
        <v>37</v>
      </c>
      <c r="D73" s="5"/>
      <c r="E73" s="5" t="s">
        <v>72</v>
      </c>
      <c r="F73" s="5" t="s">
        <v>56</v>
      </c>
      <c r="G73" s="5" t="s">
        <v>75</v>
      </c>
      <c r="H73" s="5" t="s">
        <v>207</v>
      </c>
      <c r="I73" s="5" t="s">
        <v>64</v>
      </c>
      <c r="J73" s="5" t="s">
        <v>58</v>
      </c>
      <c r="K73" s="5" t="s">
        <v>48</v>
      </c>
      <c r="L73" s="5" t="s">
        <v>53</v>
      </c>
      <c r="M73" s="5" t="s">
        <v>65</v>
      </c>
      <c r="N73" s="5" t="s">
        <v>74</v>
      </c>
      <c r="O73" s="5" t="s">
        <v>60</v>
      </c>
      <c r="P73" s="5" t="s">
        <v>57</v>
      </c>
      <c r="Q73" s="5" t="s">
        <v>209</v>
      </c>
      <c r="R73" s="1">
        <v>7</v>
      </c>
      <c r="S73" s="1">
        <v>72</v>
      </c>
      <c r="T73" s="1">
        <v>43</v>
      </c>
      <c r="Y73">
        <f t="shared" si="12"/>
        <v>71</v>
      </c>
      <c r="Z73">
        <f t="shared" si="11"/>
        <v>0</v>
      </c>
    </row>
    <row r="74" spans="1:26" ht="28.8" x14ac:dyDescent="0.3">
      <c r="A74" s="43">
        <v>59</v>
      </c>
      <c r="B74" s="4"/>
      <c r="C74" s="6" t="s">
        <v>165</v>
      </c>
      <c r="D74" s="5"/>
      <c r="E74" s="5" t="s">
        <v>68</v>
      </c>
      <c r="F74" s="5" t="s">
        <v>56</v>
      </c>
      <c r="G74" s="5" t="s">
        <v>63</v>
      </c>
      <c r="H74" s="5" t="s">
        <v>51</v>
      </c>
      <c r="I74" s="5" t="s">
        <v>64</v>
      </c>
      <c r="J74" s="5" t="s">
        <v>58</v>
      </c>
      <c r="K74" s="5" t="s">
        <v>59</v>
      </c>
      <c r="L74" s="5" t="s">
        <v>67</v>
      </c>
      <c r="M74" s="5" t="s">
        <v>62</v>
      </c>
      <c r="N74" s="5" t="s">
        <v>74</v>
      </c>
      <c r="O74" s="5" t="s">
        <v>70</v>
      </c>
      <c r="P74" s="5" t="s">
        <v>57</v>
      </c>
      <c r="Q74" s="5" t="s">
        <v>208</v>
      </c>
      <c r="R74" s="1">
        <v>7</v>
      </c>
      <c r="S74" s="1">
        <v>67</v>
      </c>
      <c r="T74" s="1">
        <v>44</v>
      </c>
      <c r="Y74">
        <f t="shared" si="12"/>
        <v>72</v>
      </c>
      <c r="Z74">
        <f t="shared" si="11"/>
        <v>0</v>
      </c>
    </row>
    <row r="75" spans="1:26" ht="28.8" x14ac:dyDescent="0.3">
      <c r="A75" s="43">
        <v>60</v>
      </c>
      <c r="B75" s="4"/>
      <c r="C75" s="6" t="s">
        <v>15</v>
      </c>
      <c r="D75" s="5"/>
      <c r="E75" s="5" t="s">
        <v>68</v>
      </c>
      <c r="F75" s="5" t="s">
        <v>50</v>
      </c>
      <c r="G75" s="5" t="s">
        <v>75</v>
      </c>
      <c r="H75" s="5" t="s">
        <v>207</v>
      </c>
      <c r="I75" s="5" t="s">
        <v>64</v>
      </c>
      <c r="J75" s="5" t="s">
        <v>69</v>
      </c>
      <c r="K75" s="5" t="s">
        <v>48</v>
      </c>
      <c r="L75" s="5" t="s">
        <v>67</v>
      </c>
      <c r="M75" s="5" t="s">
        <v>65</v>
      </c>
      <c r="N75" s="5" t="s">
        <v>74</v>
      </c>
      <c r="O75" s="5" t="s">
        <v>60</v>
      </c>
      <c r="P75" s="5" t="s">
        <v>57</v>
      </c>
      <c r="Q75" s="5" t="s">
        <v>209</v>
      </c>
      <c r="R75" s="1">
        <v>7</v>
      </c>
      <c r="S75" s="1">
        <v>69</v>
      </c>
      <c r="T75" s="1">
        <v>44</v>
      </c>
      <c r="Y75">
        <f t="shared" si="12"/>
        <v>73</v>
      </c>
      <c r="Z75">
        <f t="shared" si="11"/>
        <v>0</v>
      </c>
    </row>
    <row r="76" spans="1:26" x14ac:dyDescent="0.3">
      <c r="A76" s="43">
        <v>61</v>
      </c>
      <c r="B76" s="4"/>
      <c r="C76" s="6" t="s">
        <v>91</v>
      </c>
      <c r="D76" s="5"/>
      <c r="E76" s="5" t="s">
        <v>68</v>
      </c>
      <c r="F76" s="5" t="s">
        <v>56</v>
      </c>
      <c r="G76" s="5" t="s">
        <v>75</v>
      </c>
      <c r="H76" s="5" t="s">
        <v>51</v>
      </c>
      <c r="I76" s="5" t="s">
        <v>64</v>
      </c>
      <c r="J76" s="5" t="s">
        <v>58</v>
      </c>
      <c r="K76" s="5" t="s">
        <v>48</v>
      </c>
      <c r="L76" s="5" t="s">
        <v>53</v>
      </c>
      <c r="M76" s="5" t="s">
        <v>62</v>
      </c>
      <c r="N76" s="5" t="s">
        <v>55</v>
      </c>
      <c r="O76" s="5" t="s">
        <v>60</v>
      </c>
      <c r="P76" s="5" t="s">
        <v>57</v>
      </c>
      <c r="Q76" s="5" t="s">
        <v>209</v>
      </c>
      <c r="R76" s="1">
        <v>7</v>
      </c>
      <c r="S76" s="1">
        <v>72</v>
      </c>
      <c r="T76" s="1">
        <v>45</v>
      </c>
      <c r="Y76">
        <f t="shared" si="12"/>
        <v>74</v>
      </c>
      <c r="Z76">
        <f t="shared" si="11"/>
        <v>0</v>
      </c>
    </row>
    <row r="77" spans="1:26" x14ac:dyDescent="0.3">
      <c r="A77" s="43">
        <v>62</v>
      </c>
      <c r="B77" s="4"/>
      <c r="C77" s="6" t="s">
        <v>7</v>
      </c>
      <c r="D77" s="5"/>
      <c r="E77" s="5" t="s">
        <v>72</v>
      </c>
      <c r="F77" s="5" t="s">
        <v>56</v>
      </c>
      <c r="G77" s="5" t="s">
        <v>63</v>
      </c>
      <c r="H77" s="5" t="s">
        <v>207</v>
      </c>
      <c r="I77" s="5" t="s">
        <v>64</v>
      </c>
      <c r="J77" s="5" t="s">
        <v>69</v>
      </c>
      <c r="K77" s="5" t="s">
        <v>59</v>
      </c>
      <c r="L77" s="5" t="s">
        <v>53</v>
      </c>
      <c r="M77" s="5" t="s">
        <v>65</v>
      </c>
      <c r="N77" s="5" t="s">
        <v>55</v>
      </c>
      <c r="O77" s="5" t="s">
        <v>60</v>
      </c>
      <c r="P77" s="5" t="s">
        <v>71</v>
      </c>
      <c r="Q77" s="5" t="s">
        <v>209</v>
      </c>
      <c r="R77" s="1">
        <v>7</v>
      </c>
      <c r="S77" s="1">
        <v>63</v>
      </c>
      <c r="T77" s="1">
        <v>45</v>
      </c>
      <c r="Y77">
        <f t="shared" si="12"/>
        <v>75</v>
      </c>
      <c r="Z77">
        <f t="shared" si="11"/>
        <v>0</v>
      </c>
    </row>
    <row r="78" spans="1:26" x14ac:dyDescent="0.3">
      <c r="A78" s="43">
        <v>63</v>
      </c>
      <c r="B78" s="4"/>
      <c r="C78" s="6" t="s">
        <v>101</v>
      </c>
      <c r="D78" s="5"/>
      <c r="E78" s="5" t="s">
        <v>68</v>
      </c>
      <c r="F78" s="5" t="s">
        <v>56</v>
      </c>
      <c r="G78" s="5" t="s">
        <v>63</v>
      </c>
      <c r="H78" s="5" t="s">
        <v>207</v>
      </c>
      <c r="I78" s="5" t="s">
        <v>64</v>
      </c>
      <c r="J78" s="5" t="s">
        <v>69</v>
      </c>
      <c r="K78" s="5" t="s">
        <v>48</v>
      </c>
      <c r="L78" s="5" t="s">
        <v>67</v>
      </c>
      <c r="M78" s="5" t="s">
        <v>65</v>
      </c>
      <c r="N78" s="5" t="s">
        <v>74</v>
      </c>
      <c r="O78" s="5" t="s">
        <v>60</v>
      </c>
      <c r="P78" s="5" t="s">
        <v>71</v>
      </c>
      <c r="Q78" s="5" t="s">
        <v>209</v>
      </c>
      <c r="R78" s="1">
        <v>7</v>
      </c>
      <c r="S78" s="1">
        <v>71</v>
      </c>
      <c r="T78" s="1">
        <v>46</v>
      </c>
      <c r="Y78">
        <f t="shared" si="12"/>
        <v>76</v>
      </c>
      <c r="Z78">
        <f t="shared" si="11"/>
        <v>0</v>
      </c>
    </row>
    <row r="79" spans="1:26" ht="28.8" x14ac:dyDescent="0.3">
      <c r="A79" s="43">
        <v>64</v>
      </c>
      <c r="B79" s="4"/>
      <c r="C79" s="6" t="s">
        <v>114</v>
      </c>
      <c r="D79" s="5"/>
      <c r="E79" s="5" t="s">
        <v>68</v>
      </c>
      <c r="F79" s="5" t="s">
        <v>56</v>
      </c>
      <c r="G79" s="5" t="s">
        <v>63</v>
      </c>
      <c r="H79" s="5" t="s">
        <v>207</v>
      </c>
      <c r="I79" s="5" t="s">
        <v>64</v>
      </c>
      <c r="J79" s="5" t="s">
        <v>69</v>
      </c>
      <c r="K79" s="5" t="s">
        <v>59</v>
      </c>
      <c r="L79" s="5" t="s">
        <v>67</v>
      </c>
      <c r="M79" s="5" t="s">
        <v>62</v>
      </c>
      <c r="N79" s="5" t="s">
        <v>74</v>
      </c>
      <c r="O79" s="5" t="s">
        <v>60</v>
      </c>
      <c r="P79" s="5" t="s">
        <v>71</v>
      </c>
      <c r="Q79" s="5" t="s">
        <v>209</v>
      </c>
      <c r="R79" s="1">
        <v>7</v>
      </c>
      <c r="S79" s="1">
        <v>75</v>
      </c>
      <c r="T79" s="1">
        <v>47</v>
      </c>
      <c r="Y79">
        <f t="shared" si="12"/>
        <v>77</v>
      </c>
      <c r="Z79">
        <f t="shared" si="11"/>
        <v>0</v>
      </c>
    </row>
    <row r="80" spans="1:26" ht="28.8" x14ac:dyDescent="0.3">
      <c r="A80" s="43">
        <v>65</v>
      </c>
      <c r="B80" s="4"/>
      <c r="C80" s="6" t="s">
        <v>87</v>
      </c>
      <c r="D80" s="5"/>
      <c r="E80" s="5" t="s">
        <v>68</v>
      </c>
      <c r="F80" s="5" t="s">
        <v>56</v>
      </c>
      <c r="G80" s="5" t="s">
        <v>63</v>
      </c>
      <c r="H80" s="5" t="s">
        <v>51</v>
      </c>
      <c r="I80" s="5" t="s">
        <v>64</v>
      </c>
      <c r="J80" s="5" t="s">
        <v>58</v>
      </c>
      <c r="K80" s="5" t="s">
        <v>59</v>
      </c>
      <c r="L80" s="5" t="s">
        <v>67</v>
      </c>
      <c r="M80" s="5" t="s">
        <v>65</v>
      </c>
      <c r="N80" s="5" t="s">
        <v>74</v>
      </c>
      <c r="O80" s="5" t="s">
        <v>70</v>
      </c>
      <c r="P80" s="5" t="s">
        <v>57</v>
      </c>
      <c r="Q80" s="5" t="s">
        <v>209</v>
      </c>
      <c r="R80" s="1">
        <v>7</v>
      </c>
      <c r="S80" s="1">
        <v>63</v>
      </c>
      <c r="T80" s="1">
        <v>47</v>
      </c>
      <c r="Y80">
        <f t="shared" si="12"/>
        <v>78</v>
      </c>
      <c r="Z80">
        <f t="shared" si="11"/>
        <v>0</v>
      </c>
    </row>
    <row r="81" spans="1:26" x14ac:dyDescent="0.3">
      <c r="A81" s="43">
        <v>66</v>
      </c>
      <c r="B81" s="4"/>
      <c r="C81" s="6" t="s">
        <v>187</v>
      </c>
      <c r="D81" s="5"/>
      <c r="E81" s="5" t="s">
        <v>72</v>
      </c>
      <c r="F81" s="5" t="s">
        <v>56</v>
      </c>
      <c r="G81" s="5" t="s">
        <v>75</v>
      </c>
      <c r="H81" s="5" t="s">
        <v>207</v>
      </c>
      <c r="I81" s="5" t="s">
        <v>210</v>
      </c>
      <c r="J81" s="5" t="s">
        <v>69</v>
      </c>
      <c r="K81" s="5" t="s">
        <v>59</v>
      </c>
      <c r="L81" s="5" t="s">
        <v>53</v>
      </c>
      <c r="M81" s="5" t="s">
        <v>65</v>
      </c>
      <c r="N81" s="5" t="s">
        <v>55</v>
      </c>
      <c r="O81" s="5" t="s">
        <v>60</v>
      </c>
      <c r="P81" s="5" t="s">
        <v>71</v>
      </c>
      <c r="Q81" s="5" t="s">
        <v>209</v>
      </c>
      <c r="R81" s="1">
        <v>7</v>
      </c>
      <c r="S81" s="1">
        <v>74</v>
      </c>
      <c r="T81" s="1">
        <v>47</v>
      </c>
      <c r="Y81">
        <f t="shared" si="12"/>
        <v>79</v>
      </c>
      <c r="Z81">
        <f t="shared" si="11"/>
        <v>0</v>
      </c>
    </row>
    <row r="82" spans="1:26" ht="28.8" x14ac:dyDescent="0.3">
      <c r="A82" s="43">
        <v>67</v>
      </c>
      <c r="B82" s="4"/>
      <c r="C82" s="6" t="s">
        <v>103</v>
      </c>
      <c r="D82" s="5"/>
      <c r="E82" s="5" t="s">
        <v>68</v>
      </c>
      <c r="F82" s="5" t="s">
        <v>56</v>
      </c>
      <c r="G82" s="5" t="s">
        <v>75</v>
      </c>
      <c r="H82" s="5" t="s">
        <v>51</v>
      </c>
      <c r="I82" s="5" t="s">
        <v>210</v>
      </c>
      <c r="J82" s="5" t="s">
        <v>69</v>
      </c>
      <c r="K82" s="5" t="s">
        <v>59</v>
      </c>
      <c r="L82" s="5" t="s">
        <v>53</v>
      </c>
      <c r="M82" s="5" t="s">
        <v>65</v>
      </c>
      <c r="N82" s="5" t="s">
        <v>55</v>
      </c>
      <c r="O82" s="5" t="s">
        <v>70</v>
      </c>
      <c r="P82" s="5" t="s">
        <v>71</v>
      </c>
      <c r="Q82" s="5" t="s">
        <v>208</v>
      </c>
      <c r="R82" s="1">
        <v>7</v>
      </c>
      <c r="S82" s="1">
        <v>72</v>
      </c>
      <c r="T82" s="1">
        <v>47</v>
      </c>
      <c r="Y82">
        <f t="shared" si="12"/>
        <v>80</v>
      </c>
      <c r="Z82">
        <f t="shared" si="11"/>
        <v>0</v>
      </c>
    </row>
    <row r="83" spans="1:26" x14ac:dyDescent="0.3">
      <c r="A83" s="43">
        <v>68</v>
      </c>
      <c r="B83" s="4"/>
      <c r="C83" s="6" t="s">
        <v>98</v>
      </c>
      <c r="D83" s="5"/>
      <c r="E83" s="5" t="s">
        <v>72</v>
      </c>
      <c r="F83" s="5" t="s">
        <v>50</v>
      </c>
      <c r="G83" s="5" t="s">
        <v>75</v>
      </c>
      <c r="H83" s="5" t="s">
        <v>207</v>
      </c>
      <c r="I83" s="5" t="s">
        <v>64</v>
      </c>
      <c r="J83" s="5" t="s">
        <v>69</v>
      </c>
      <c r="K83" s="5" t="s">
        <v>59</v>
      </c>
      <c r="L83" s="5" t="s">
        <v>53</v>
      </c>
      <c r="M83" s="5" t="s">
        <v>65</v>
      </c>
      <c r="N83" s="5" t="s">
        <v>55</v>
      </c>
      <c r="O83" s="5" t="s">
        <v>60</v>
      </c>
      <c r="P83" s="5" t="s">
        <v>71</v>
      </c>
      <c r="Q83" s="5" t="s">
        <v>209</v>
      </c>
      <c r="R83" s="1">
        <v>7</v>
      </c>
      <c r="S83" s="1">
        <v>75</v>
      </c>
      <c r="T83" s="1">
        <v>48</v>
      </c>
      <c r="Y83">
        <f t="shared" si="12"/>
        <v>81</v>
      </c>
      <c r="Z83">
        <f t="shared" si="11"/>
        <v>0</v>
      </c>
    </row>
    <row r="84" spans="1:26" x14ac:dyDescent="0.3">
      <c r="A84" s="43">
        <v>69</v>
      </c>
      <c r="B84" s="4"/>
      <c r="C84" s="6" t="s">
        <v>183</v>
      </c>
      <c r="D84" s="5"/>
      <c r="E84" s="5" t="s">
        <v>68</v>
      </c>
      <c r="F84" s="5" t="s">
        <v>56</v>
      </c>
      <c r="G84" s="5" t="s">
        <v>63</v>
      </c>
      <c r="H84" s="5" t="s">
        <v>207</v>
      </c>
      <c r="I84" s="5" t="s">
        <v>64</v>
      </c>
      <c r="J84" s="5" t="s">
        <v>69</v>
      </c>
      <c r="K84" s="5" t="s">
        <v>59</v>
      </c>
      <c r="L84" s="5" t="s">
        <v>67</v>
      </c>
      <c r="M84" s="5" t="s">
        <v>65</v>
      </c>
      <c r="N84" s="5" t="s">
        <v>74</v>
      </c>
      <c r="O84" s="5" t="s">
        <v>70</v>
      </c>
      <c r="P84" s="5" t="s">
        <v>71</v>
      </c>
      <c r="Q84" s="5" t="s">
        <v>209</v>
      </c>
      <c r="R84" s="1">
        <v>7</v>
      </c>
      <c r="S84" s="1">
        <v>73</v>
      </c>
      <c r="T84" s="1">
        <v>48</v>
      </c>
      <c r="Y84">
        <f t="shared" si="12"/>
        <v>82</v>
      </c>
      <c r="Z84">
        <f t="shared" si="11"/>
        <v>0</v>
      </c>
    </row>
    <row r="85" spans="1:26" x14ac:dyDescent="0.3">
      <c r="A85" s="43">
        <v>70</v>
      </c>
      <c r="B85" s="4"/>
      <c r="C85" s="6" t="s">
        <v>109</v>
      </c>
      <c r="D85" s="5"/>
      <c r="E85" s="5" t="s">
        <v>72</v>
      </c>
      <c r="F85" s="5" t="s">
        <v>56</v>
      </c>
      <c r="G85" s="5" t="s">
        <v>75</v>
      </c>
      <c r="H85" s="5" t="s">
        <v>51</v>
      </c>
      <c r="I85" s="5" t="s">
        <v>64</v>
      </c>
      <c r="J85" s="5" t="s">
        <v>69</v>
      </c>
      <c r="K85" s="5" t="s">
        <v>59</v>
      </c>
      <c r="L85" s="5" t="s">
        <v>67</v>
      </c>
      <c r="M85" s="5" t="s">
        <v>65</v>
      </c>
      <c r="N85" s="5" t="s">
        <v>74</v>
      </c>
      <c r="O85" s="5" t="s">
        <v>60</v>
      </c>
      <c r="P85" s="5" t="s">
        <v>71</v>
      </c>
      <c r="Q85" s="5" t="s">
        <v>209</v>
      </c>
      <c r="R85" s="1">
        <v>7</v>
      </c>
      <c r="S85" s="1">
        <v>75</v>
      </c>
      <c r="T85" s="1">
        <v>48</v>
      </c>
      <c r="Y85">
        <f t="shared" si="12"/>
        <v>83</v>
      </c>
      <c r="Z85">
        <f t="shared" si="11"/>
        <v>0</v>
      </c>
    </row>
    <row r="86" spans="1:26" ht="28.8" x14ac:dyDescent="0.3">
      <c r="A86" s="43">
        <v>71</v>
      </c>
      <c r="B86" s="4"/>
      <c r="C86" s="6" t="s">
        <v>24</v>
      </c>
      <c r="D86" s="5"/>
      <c r="E86" s="5" t="s">
        <v>68</v>
      </c>
      <c r="F86" s="5" t="s">
        <v>56</v>
      </c>
      <c r="G86" s="5" t="s">
        <v>75</v>
      </c>
      <c r="H86" s="5" t="s">
        <v>207</v>
      </c>
      <c r="I86" s="5" t="s">
        <v>210</v>
      </c>
      <c r="J86" s="5" t="s">
        <v>69</v>
      </c>
      <c r="K86" s="5" t="s">
        <v>59</v>
      </c>
      <c r="L86" s="5" t="s">
        <v>53</v>
      </c>
      <c r="M86" s="5" t="s">
        <v>65</v>
      </c>
      <c r="N86" s="5" t="s">
        <v>74</v>
      </c>
      <c r="O86" s="5" t="s">
        <v>60</v>
      </c>
      <c r="P86" s="5" t="s">
        <v>71</v>
      </c>
      <c r="Q86" s="5" t="s">
        <v>209</v>
      </c>
      <c r="R86" s="1">
        <v>7</v>
      </c>
      <c r="S86" s="1">
        <v>72</v>
      </c>
      <c r="T86" s="1">
        <v>48</v>
      </c>
      <c r="Y86">
        <f t="shared" si="12"/>
        <v>84</v>
      </c>
      <c r="Z86">
        <f t="shared" si="11"/>
        <v>0</v>
      </c>
    </row>
    <row r="87" spans="1:26" x14ac:dyDescent="0.3">
      <c r="A87" s="43">
        <v>72</v>
      </c>
      <c r="B87" s="4"/>
      <c r="C87" s="6" t="s">
        <v>83</v>
      </c>
      <c r="D87" s="5"/>
      <c r="E87" s="5" t="s">
        <v>68</v>
      </c>
      <c r="F87" s="5" t="s">
        <v>50</v>
      </c>
      <c r="G87" s="5" t="s">
        <v>75</v>
      </c>
      <c r="H87" s="5" t="s">
        <v>207</v>
      </c>
      <c r="I87" s="5" t="s">
        <v>64</v>
      </c>
      <c r="J87" s="5" t="s">
        <v>69</v>
      </c>
      <c r="K87" s="5" t="s">
        <v>59</v>
      </c>
      <c r="L87" s="5" t="s">
        <v>53</v>
      </c>
      <c r="M87" s="5" t="s">
        <v>62</v>
      </c>
      <c r="N87" s="5" t="s">
        <v>55</v>
      </c>
      <c r="O87" s="5" t="s">
        <v>60</v>
      </c>
      <c r="P87" s="5" t="s">
        <v>71</v>
      </c>
      <c r="Q87" s="5" t="s">
        <v>209</v>
      </c>
      <c r="R87" s="1">
        <v>7</v>
      </c>
      <c r="S87" s="1">
        <v>78</v>
      </c>
      <c r="T87" s="1">
        <v>49</v>
      </c>
      <c r="Y87">
        <f t="shared" si="12"/>
        <v>85</v>
      </c>
      <c r="Z87">
        <f t="shared" si="11"/>
        <v>0</v>
      </c>
    </row>
    <row r="88" spans="1:26" ht="28.8" x14ac:dyDescent="0.3">
      <c r="A88" s="43">
        <v>73</v>
      </c>
      <c r="B88" s="4"/>
      <c r="C88" s="6" t="s">
        <v>30</v>
      </c>
      <c r="D88" s="5"/>
      <c r="E88" s="5" t="s">
        <v>72</v>
      </c>
      <c r="F88" s="5" t="s">
        <v>56</v>
      </c>
      <c r="G88" s="5" t="s">
        <v>75</v>
      </c>
      <c r="H88" s="5" t="s">
        <v>207</v>
      </c>
      <c r="I88" s="5" t="s">
        <v>64</v>
      </c>
      <c r="J88" s="5" t="s">
        <v>58</v>
      </c>
      <c r="K88" s="5" t="s">
        <v>48</v>
      </c>
      <c r="L88" s="5" t="s">
        <v>53</v>
      </c>
      <c r="M88" s="5" t="s">
        <v>65</v>
      </c>
      <c r="N88" s="5" t="s">
        <v>74</v>
      </c>
      <c r="O88" s="5" t="s">
        <v>60</v>
      </c>
      <c r="P88" s="5" t="s">
        <v>71</v>
      </c>
      <c r="Q88" s="5" t="s">
        <v>209</v>
      </c>
      <c r="R88" s="1">
        <v>7</v>
      </c>
      <c r="S88" s="1">
        <v>75</v>
      </c>
      <c r="T88" s="1">
        <v>49</v>
      </c>
      <c r="Y88">
        <f t="shared" si="12"/>
        <v>86</v>
      </c>
      <c r="Z88">
        <f t="shared" si="11"/>
        <v>0</v>
      </c>
    </row>
    <row r="89" spans="1:26" ht="28.8" x14ac:dyDescent="0.3">
      <c r="A89" s="43">
        <v>74</v>
      </c>
      <c r="B89" s="4"/>
      <c r="C89" s="6" t="s">
        <v>200</v>
      </c>
      <c r="D89" s="5"/>
      <c r="E89" s="5" t="s">
        <v>68</v>
      </c>
      <c r="F89" s="5" t="s">
        <v>56</v>
      </c>
      <c r="G89" s="5" t="s">
        <v>75</v>
      </c>
      <c r="H89" s="5" t="s">
        <v>207</v>
      </c>
      <c r="I89" s="5" t="s">
        <v>210</v>
      </c>
      <c r="J89" s="5" t="s">
        <v>69</v>
      </c>
      <c r="K89" s="5" t="s">
        <v>48</v>
      </c>
      <c r="L89" s="5" t="s">
        <v>67</v>
      </c>
      <c r="M89" s="5" t="s">
        <v>65</v>
      </c>
      <c r="N89" s="5" t="s">
        <v>74</v>
      </c>
      <c r="O89" s="5" t="s">
        <v>60</v>
      </c>
      <c r="P89" s="5" t="s">
        <v>71</v>
      </c>
      <c r="Q89" s="5" t="s">
        <v>209</v>
      </c>
      <c r="R89" s="1">
        <v>7</v>
      </c>
      <c r="S89" s="1">
        <v>58</v>
      </c>
      <c r="T89" s="1">
        <v>49</v>
      </c>
      <c r="Y89">
        <f t="shared" si="12"/>
        <v>87</v>
      </c>
      <c r="Z89">
        <f t="shared" si="11"/>
        <v>0</v>
      </c>
    </row>
    <row r="90" spans="1:26" x14ac:dyDescent="0.3">
      <c r="A90" s="43">
        <v>75</v>
      </c>
      <c r="B90" s="4"/>
      <c r="C90" s="6" t="s">
        <v>194</v>
      </c>
      <c r="D90" s="5"/>
      <c r="E90" s="5" t="s">
        <v>72</v>
      </c>
      <c r="F90" s="5" t="s">
        <v>50</v>
      </c>
      <c r="G90" s="5" t="s">
        <v>75</v>
      </c>
      <c r="H90" s="5" t="s">
        <v>207</v>
      </c>
      <c r="I90" s="5" t="s">
        <v>210</v>
      </c>
      <c r="J90" s="5" t="s">
        <v>69</v>
      </c>
      <c r="K90" s="5" t="s">
        <v>59</v>
      </c>
      <c r="L90" s="5" t="s">
        <v>53</v>
      </c>
      <c r="M90" s="5" t="s">
        <v>65</v>
      </c>
      <c r="N90" s="5" t="s">
        <v>55</v>
      </c>
      <c r="O90" s="5" t="s">
        <v>60</v>
      </c>
      <c r="P90" s="5" t="s">
        <v>71</v>
      </c>
      <c r="Q90" s="5" t="s">
        <v>208</v>
      </c>
      <c r="R90" s="1">
        <v>7</v>
      </c>
      <c r="S90" s="1">
        <v>68</v>
      </c>
      <c r="T90" s="1">
        <v>49</v>
      </c>
      <c r="Y90">
        <f t="shared" si="12"/>
        <v>88</v>
      </c>
      <c r="Z90">
        <f t="shared" si="11"/>
        <v>0</v>
      </c>
    </row>
    <row r="91" spans="1:26" x14ac:dyDescent="0.3">
      <c r="A91" s="43">
        <v>76</v>
      </c>
      <c r="B91" s="4"/>
      <c r="C91" s="6" t="s">
        <v>84</v>
      </c>
      <c r="D91" s="5"/>
      <c r="E91" s="5" t="s">
        <v>68</v>
      </c>
      <c r="F91" s="5" t="s">
        <v>50</v>
      </c>
      <c r="G91" s="5" t="s">
        <v>75</v>
      </c>
      <c r="H91" s="5" t="s">
        <v>207</v>
      </c>
      <c r="I91" s="5" t="s">
        <v>64</v>
      </c>
      <c r="J91" s="5" t="s">
        <v>69</v>
      </c>
      <c r="K91" s="5" t="s">
        <v>48</v>
      </c>
      <c r="L91" s="5" t="s">
        <v>53</v>
      </c>
      <c r="M91" s="5" t="s">
        <v>65</v>
      </c>
      <c r="N91" s="5" t="s">
        <v>55</v>
      </c>
      <c r="O91" s="5" t="s">
        <v>60</v>
      </c>
      <c r="P91" s="5" t="s">
        <v>57</v>
      </c>
      <c r="Q91" s="5" t="s">
        <v>209</v>
      </c>
      <c r="R91" s="1">
        <v>7</v>
      </c>
      <c r="S91" s="1">
        <v>72</v>
      </c>
      <c r="T91" s="1">
        <v>50</v>
      </c>
      <c r="Y91">
        <f t="shared" si="12"/>
        <v>89</v>
      </c>
      <c r="Z91">
        <f t="shared" si="11"/>
        <v>0</v>
      </c>
    </row>
    <row r="92" spans="1:26" x14ac:dyDescent="0.3">
      <c r="A92" s="43">
        <v>77</v>
      </c>
      <c r="B92" s="4"/>
      <c r="C92" s="6" t="s">
        <v>141</v>
      </c>
      <c r="D92" s="5"/>
      <c r="E92" s="5" t="s">
        <v>72</v>
      </c>
      <c r="F92" s="5" t="s">
        <v>56</v>
      </c>
      <c r="G92" s="5" t="s">
        <v>75</v>
      </c>
      <c r="H92" s="5" t="s">
        <v>207</v>
      </c>
      <c r="I92" s="5" t="s">
        <v>64</v>
      </c>
      <c r="J92" s="5" t="s">
        <v>58</v>
      </c>
      <c r="K92" s="5" t="s">
        <v>59</v>
      </c>
      <c r="L92" s="5" t="s">
        <v>53</v>
      </c>
      <c r="M92" s="5" t="s">
        <v>62</v>
      </c>
      <c r="N92" s="5" t="s">
        <v>74</v>
      </c>
      <c r="O92" s="5" t="s">
        <v>70</v>
      </c>
      <c r="P92" s="5" t="s">
        <v>71</v>
      </c>
      <c r="Q92" s="5" t="s">
        <v>208</v>
      </c>
      <c r="R92" s="1">
        <v>7</v>
      </c>
      <c r="S92" s="1">
        <v>71</v>
      </c>
      <c r="T92" s="1">
        <v>50</v>
      </c>
      <c r="Y92">
        <f t="shared" si="12"/>
        <v>90</v>
      </c>
      <c r="Z92">
        <f t="shared" si="11"/>
        <v>0</v>
      </c>
    </row>
    <row r="93" spans="1:26" x14ac:dyDescent="0.3">
      <c r="A93" s="43">
        <v>78</v>
      </c>
      <c r="B93" s="4"/>
      <c r="C93" s="6" t="s">
        <v>150</v>
      </c>
      <c r="D93" s="5"/>
      <c r="E93" s="5" t="s">
        <v>72</v>
      </c>
      <c r="F93" s="5" t="s">
        <v>50</v>
      </c>
      <c r="G93" s="5" t="s">
        <v>75</v>
      </c>
      <c r="H93" s="5" t="s">
        <v>207</v>
      </c>
      <c r="I93" s="5" t="s">
        <v>64</v>
      </c>
      <c r="J93" s="5" t="s">
        <v>58</v>
      </c>
      <c r="K93" s="5" t="s">
        <v>48</v>
      </c>
      <c r="L93" s="5" t="s">
        <v>53</v>
      </c>
      <c r="M93" s="5" t="s">
        <v>65</v>
      </c>
      <c r="N93" s="5" t="s">
        <v>74</v>
      </c>
      <c r="O93" s="5" t="s">
        <v>60</v>
      </c>
      <c r="P93" s="5" t="s">
        <v>57</v>
      </c>
      <c r="Q93" s="5" t="s">
        <v>208</v>
      </c>
      <c r="R93" s="1">
        <v>7</v>
      </c>
      <c r="S93" s="1">
        <v>70</v>
      </c>
      <c r="T93" s="1">
        <v>50</v>
      </c>
      <c r="Y93">
        <f t="shared" si="12"/>
        <v>91</v>
      </c>
      <c r="Z93">
        <f t="shared" si="11"/>
        <v>0</v>
      </c>
    </row>
    <row r="94" spans="1:26" x14ac:dyDescent="0.3">
      <c r="A94" s="43">
        <v>79</v>
      </c>
      <c r="B94" s="4"/>
      <c r="C94" s="6" t="s">
        <v>138</v>
      </c>
      <c r="D94" s="5"/>
      <c r="E94" s="5" t="s">
        <v>68</v>
      </c>
      <c r="F94" s="5" t="s">
        <v>50</v>
      </c>
      <c r="G94" s="5" t="s">
        <v>75</v>
      </c>
      <c r="H94" s="5" t="s">
        <v>207</v>
      </c>
      <c r="I94" s="5" t="s">
        <v>64</v>
      </c>
      <c r="J94" s="5" t="s">
        <v>69</v>
      </c>
      <c r="K94" s="5" t="s">
        <v>48</v>
      </c>
      <c r="L94" s="5" t="s">
        <v>67</v>
      </c>
      <c r="M94" s="5" t="s">
        <v>65</v>
      </c>
      <c r="N94" s="5" t="s">
        <v>55</v>
      </c>
      <c r="O94" s="5" t="s">
        <v>70</v>
      </c>
      <c r="P94" s="5" t="s">
        <v>71</v>
      </c>
      <c r="Q94" s="5" t="s">
        <v>209</v>
      </c>
      <c r="R94" s="1">
        <v>7</v>
      </c>
      <c r="S94" s="1">
        <v>77</v>
      </c>
      <c r="T94" s="1">
        <v>50</v>
      </c>
      <c r="Y94">
        <f t="shared" si="12"/>
        <v>92</v>
      </c>
      <c r="Z94">
        <f t="shared" si="11"/>
        <v>0</v>
      </c>
    </row>
    <row r="95" spans="1:26" x14ac:dyDescent="0.3">
      <c r="A95" s="43">
        <v>80</v>
      </c>
      <c r="B95" s="4"/>
      <c r="C95" s="6" t="s">
        <v>79</v>
      </c>
      <c r="D95" s="5"/>
      <c r="E95" s="5" t="s">
        <v>72</v>
      </c>
      <c r="F95" s="5" t="s">
        <v>50</v>
      </c>
      <c r="G95" s="5" t="s">
        <v>75</v>
      </c>
      <c r="H95" s="5" t="s">
        <v>207</v>
      </c>
      <c r="I95" s="5" t="s">
        <v>64</v>
      </c>
      <c r="J95" s="5" t="s">
        <v>69</v>
      </c>
      <c r="K95" s="5" t="s">
        <v>48</v>
      </c>
      <c r="L95" s="5" t="s">
        <v>67</v>
      </c>
      <c r="M95" s="5" t="s">
        <v>65</v>
      </c>
      <c r="N95" s="5" t="s">
        <v>55</v>
      </c>
      <c r="O95" s="5" t="s">
        <v>60</v>
      </c>
      <c r="P95" s="5" t="s">
        <v>71</v>
      </c>
      <c r="Q95" s="5" t="s">
        <v>209</v>
      </c>
      <c r="R95" s="1">
        <v>7</v>
      </c>
      <c r="S95" s="1">
        <v>68</v>
      </c>
      <c r="T95" s="1">
        <v>51</v>
      </c>
      <c r="Y95">
        <f t="shared" si="12"/>
        <v>93</v>
      </c>
      <c r="Z95">
        <f t="shared" si="11"/>
        <v>0</v>
      </c>
    </row>
    <row r="96" spans="1:26" x14ac:dyDescent="0.3">
      <c r="A96" s="43">
        <v>81</v>
      </c>
      <c r="B96" s="4"/>
      <c r="C96" s="6" t="s">
        <v>21</v>
      </c>
      <c r="D96" s="5"/>
      <c r="E96" s="5" t="s">
        <v>72</v>
      </c>
      <c r="F96" s="5" t="s">
        <v>50</v>
      </c>
      <c r="G96" s="5" t="s">
        <v>63</v>
      </c>
      <c r="H96" s="5" t="s">
        <v>207</v>
      </c>
      <c r="I96" s="5" t="s">
        <v>64</v>
      </c>
      <c r="J96" s="5" t="s">
        <v>58</v>
      </c>
      <c r="K96" s="5" t="s">
        <v>59</v>
      </c>
      <c r="L96" s="5" t="s">
        <v>67</v>
      </c>
      <c r="M96" s="5" t="s">
        <v>65</v>
      </c>
      <c r="N96" s="5" t="s">
        <v>74</v>
      </c>
      <c r="O96" s="5" t="s">
        <v>60</v>
      </c>
      <c r="P96" s="5" t="s">
        <v>71</v>
      </c>
      <c r="Q96" s="5" t="s">
        <v>209</v>
      </c>
      <c r="R96" s="1">
        <v>7</v>
      </c>
      <c r="S96" s="1">
        <v>71</v>
      </c>
      <c r="T96" s="1">
        <v>52</v>
      </c>
      <c r="Y96">
        <f t="shared" si="12"/>
        <v>94</v>
      </c>
      <c r="Z96">
        <f t="shared" si="11"/>
        <v>0</v>
      </c>
    </row>
    <row r="97" spans="1:26" ht="28.8" x14ac:dyDescent="0.3">
      <c r="A97" s="43">
        <v>82</v>
      </c>
      <c r="B97" s="4"/>
      <c r="C97" s="6" t="s">
        <v>191</v>
      </c>
      <c r="D97" s="5"/>
      <c r="E97" s="5" t="s">
        <v>68</v>
      </c>
      <c r="F97" s="5" t="s">
        <v>56</v>
      </c>
      <c r="G97" s="5" t="s">
        <v>75</v>
      </c>
      <c r="H97" s="5" t="s">
        <v>51</v>
      </c>
      <c r="I97" s="5" t="s">
        <v>210</v>
      </c>
      <c r="J97" s="5" t="s">
        <v>69</v>
      </c>
      <c r="K97" s="5" t="s">
        <v>59</v>
      </c>
      <c r="L97" s="5" t="s">
        <v>67</v>
      </c>
      <c r="M97" s="5" t="s">
        <v>62</v>
      </c>
      <c r="N97" s="5" t="s">
        <v>55</v>
      </c>
      <c r="O97" s="5" t="s">
        <v>60</v>
      </c>
      <c r="P97" s="5" t="s">
        <v>71</v>
      </c>
      <c r="Q97" s="5" t="s">
        <v>209</v>
      </c>
      <c r="R97" s="1">
        <v>7</v>
      </c>
      <c r="S97" s="1">
        <v>73</v>
      </c>
      <c r="T97" s="1">
        <v>54</v>
      </c>
      <c r="Y97">
        <f t="shared" si="12"/>
        <v>95</v>
      </c>
      <c r="Z97">
        <f t="shared" si="11"/>
        <v>0</v>
      </c>
    </row>
    <row r="98" spans="1:26" x14ac:dyDescent="0.3">
      <c r="A98" s="43">
        <v>83</v>
      </c>
      <c r="B98" s="4"/>
      <c r="C98" s="6" t="s">
        <v>45</v>
      </c>
      <c r="D98" s="5"/>
      <c r="E98" s="5" t="s">
        <v>72</v>
      </c>
      <c r="F98" s="5" t="s">
        <v>50</v>
      </c>
      <c r="G98" s="5" t="s">
        <v>75</v>
      </c>
      <c r="H98" s="5" t="s">
        <v>207</v>
      </c>
      <c r="I98" s="5" t="s">
        <v>210</v>
      </c>
      <c r="J98" s="5" t="s">
        <v>69</v>
      </c>
      <c r="K98" s="5" t="s">
        <v>48</v>
      </c>
      <c r="L98" s="5" t="s">
        <v>67</v>
      </c>
      <c r="M98" s="5" t="s">
        <v>65</v>
      </c>
      <c r="N98" s="5" t="s">
        <v>55</v>
      </c>
      <c r="O98" s="5" t="s">
        <v>60</v>
      </c>
      <c r="P98" s="5" t="s">
        <v>71</v>
      </c>
      <c r="Q98" s="5" t="s">
        <v>208</v>
      </c>
      <c r="R98" s="1">
        <v>7</v>
      </c>
      <c r="S98" s="1">
        <v>69</v>
      </c>
      <c r="T98" s="1">
        <v>54</v>
      </c>
      <c r="Y98">
        <f t="shared" si="12"/>
        <v>96</v>
      </c>
      <c r="Z98">
        <f t="shared" si="11"/>
        <v>0</v>
      </c>
    </row>
    <row r="99" spans="1:26" ht="28.8" x14ac:dyDescent="0.3">
      <c r="A99" s="43">
        <v>84</v>
      </c>
      <c r="B99" s="4"/>
      <c r="C99" s="6" t="s">
        <v>192</v>
      </c>
      <c r="D99" s="5"/>
      <c r="E99" s="5" t="s">
        <v>72</v>
      </c>
      <c r="F99" s="5" t="s">
        <v>56</v>
      </c>
      <c r="G99" s="5" t="s">
        <v>75</v>
      </c>
      <c r="H99" s="5" t="s">
        <v>207</v>
      </c>
      <c r="I99" s="5" t="s">
        <v>210</v>
      </c>
      <c r="J99" s="5" t="s">
        <v>58</v>
      </c>
      <c r="K99" s="5" t="s">
        <v>59</v>
      </c>
      <c r="L99" s="5" t="s">
        <v>53</v>
      </c>
      <c r="M99" s="5" t="s">
        <v>62</v>
      </c>
      <c r="N99" s="5" t="s">
        <v>74</v>
      </c>
      <c r="O99" s="5" t="s">
        <v>60</v>
      </c>
      <c r="P99" s="5" t="s">
        <v>57</v>
      </c>
      <c r="Q99" s="5" t="s">
        <v>208</v>
      </c>
      <c r="R99" s="1">
        <v>7</v>
      </c>
      <c r="S99" s="1">
        <v>76</v>
      </c>
      <c r="T99" s="1">
        <v>11</v>
      </c>
      <c r="Y99">
        <f t="shared" si="12"/>
        <v>97</v>
      </c>
      <c r="Z99">
        <f t="shared" si="11"/>
        <v>0</v>
      </c>
    </row>
    <row r="100" spans="1:26" x14ac:dyDescent="0.3">
      <c r="A100" s="43">
        <v>85</v>
      </c>
      <c r="B100" s="4"/>
      <c r="C100" s="6" t="s">
        <v>23</v>
      </c>
      <c r="D100" s="5"/>
      <c r="E100" s="5" t="s">
        <v>72</v>
      </c>
      <c r="F100" s="5" t="s">
        <v>50</v>
      </c>
      <c r="G100" s="5" t="s">
        <v>75</v>
      </c>
      <c r="H100" s="5" t="s">
        <v>207</v>
      </c>
      <c r="I100" s="5" t="s">
        <v>64</v>
      </c>
      <c r="J100" s="5" t="s">
        <v>69</v>
      </c>
      <c r="K100" s="5" t="s">
        <v>48</v>
      </c>
      <c r="L100" s="5" t="s">
        <v>53</v>
      </c>
      <c r="M100" s="5" t="s">
        <v>65</v>
      </c>
      <c r="N100" s="5" t="s">
        <v>55</v>
      </c>
      <c r="O100" s="5" t="s">
        <v>60</v>
      </c>
      <c r="P100" s="5" t="s">
        <v>71</v>
      </c>
      <c r="Q100" s="5" t="s">
        <v>209</v>
      </c>
      <c r="R100" s="1">
        <v>6</v>
      </c>
      <c r="S100" s="1">
        <v>74</v>
      </c>
      <c r="T100" s="1">
        <v>38</v>
      </c>
      <c r="Y100">
        <f t="shared" si="12"/>
        <v>98</v>
      </c>
      <c r="Z100">
        <f t="shared" si="11"/>
        <v>0</v>
      </c>
    </row>
    <row r="101" spans="1:26" x14ac:dyDescent="0.3">
      <c r="A101" s="43">
        <v>86</v>
      </c>
      <c r="B101" s="4"/>
      <c r="C101" s="6" t="s">
        <v>82</v>
      </c>
      <c r="D101" s="5"/>
      <c r="E101" s="5" t="s">
        <v>72</v>
      </c>
      <c r="F101" s="5" t="s">
        <v>50</v>
      </c>
      <c r="G101" s="5" t="s">
        <v>75</v>
      </c>
      <c r="H101" s="5" t="s">
        <v>207</v>
      </c>
      <c r="I101" s="5" t="s">
        <v>210</v>
      </c>
      <c r="J101" s="5" t="s">
        <v>69</v>
      </c>
      <c r="K101" s="5" t="s">
        <v>59</v>
      </c>
      <c r="L101" s="5" t="s">
        <v>53</v>
      </c>
      <c r="M101" s="5" t="s">
        <v>65</v>
      </c>
      <c r="N101" s="5" t="s">
        <v>55</v>
      </c>
      <c r="O101" s="5" t="s">
        <v>60</v>
      </c>
      <c r="P101" s="5" t="s">
        <v>71</v>
      </c>
      <c r="Q101" s="5" t="s">
        <v>209</v>
      </c>
      <c r="R101" s="1">
        <v>6</v>
      </c>
      <c r="S101" s="1">
        <v>69</v>
      </c>
      <c r="T101" s="1">
        <v>38</v>
      </c>
      <c r="Y101">
        <f t="shared" si="12"/>
        <v>99</v>
      </c>
      <c r="Z101">
        <f t="shared" si="11"/>
        <v>0</v>
      </c>
    </row>
    <row r="102" spans="1:26" x14ac:dyDescent="0.3">
      <c r="A102" s="43">
        <v>87</v>
      </c>
      <c r="B102" s="4"/>
      <c r="C102" s="6" t="s">
        <v>157</v>
      </c>
      <c r="D102" s="5"/>
      <c r="E102" s="5" t="s">
        <v>68</v>
      </c>
      <c r="F102" s="5" t="s">
        <v>50</v>
      </c>
      <c r="G102" s="5" t="s">
        <v>75</v>
      </c>
      <c r="H102" s="5" t="s">
        <v>207</v>
      </c>
      <c r="I102" s="5" t="s">
        <v>210</v>
      </c>
      <c r="J102" s="5" t="s">
        <v>69</v>
      </c>
      <c r="K102" s="5" t="s">
        <v>48</v>
      </c>
      <c r="L102" s="5" t="s">
        <v>53</v>
      </c>
      <c r="M102" s="5" t="s">
        <v>62</v>
      </c>
      <c r="N102" s="5" t="s">
        <v>55</v>
      </c>
      <c r="O102" s="5" t="s">
        <v>60</v>
      </c>
      <c r="P102" s="5" t="s">
        <v>71</v>
      </c>
      <c r="Q102" s="5" t="s">
        <v>208</v>
      </c>
      <c r="R102" s="1">
        <v>6</v>
      </c>
      <c r="S102" s="1">
        <v>65</v>
      </c>
      <c r="T102" s="1">
        <v>38</v>
      </c>
      <c r="Y102">
        <f t="shared" si="12"/>
        <v>100</v>
      </c>
      <c r="Z102">
        <f t="shared" si="11"/>
        <v>0</v>
      </c>
    </row>
    <row r="103" spans="1:26" ht="28.8" x14ac:dyDescent="0.3">
      <c r="A103" s="43">
        <v>88</v>
      </c>
      <c r="B103" s="4"/>
      <c r="C103" s="6" t="s">
        <v>134</v>
      </c>
      <c r="D103" s="5"/>
      <c r="E103" s="5" t="s">
        <v>72</v>
      </c>
      <c r="F103" s="5" t="s">
        <v>50</v>
      </c>
      <c r="G103" s="5" t="s">
        <v>75</v>
      </c>
      <c r="H103" s="5" t="s">
        <v>51</v>
      </c>
      <c r="I103" s="5" t="s">
        <v>64</v>
      </c>
      <c r="J103" s="5" t="s">
        <v>58</v>
      </c>
      <c r="K103" s="5" t="s">
        <v>48</v>
      </c>
      <c r="L103" s="5" t="s">
        <v>53</v>
      </c>
      <c r="M103" s="5" t="s">
        <v>62</v>
      </c>
      <c r="N103" s="5" t="s">
        <v>55</v>
      </c>
      <c r="O103" s="5" t="s">
        <v>60</v>
      </c>
      <c r="P103" s="5" t="s">
        <v>57</v>
      </c>
      <c r="Q103" s="5" t="s">
        <v>208</v>
      </c>
      <c r="R103" s="1">
        <v>6</v>
      </c>
      <c r="S103" s="1">
        <v>69</v>
      </c>
      <c r="T103" s="1">
        <v>37</v>
      </c>
      <c r="Y103">
        <f t="shared" si="12"/>
        <v>101</v>
      </c>
      <c r="Z103">
        <f t="shared" si="11"/>
        <v>0</v>
      </c>
    </row>
    <row r="104" spans="1:26" x14ac:dyDescent="0.3">
      <c r="A104" s="43">
        <v>89</v>
      </c>
      <c r="B104" s="4"/>
      <c r="C104" s="6" t="s">
        <v>155</v>
      </c>
      <c r="D104" s="5"/>
      <c r="E104" s="5" t="s">
        <v>72</v>
      </c>
      <c r="F104" s="5" t="s">
        <v>50</v>
      </c>
      <c r="G104" s="5" t="s">
        <v>75</v>
      </c>
      <c r="H104" s="5" t="s">
        <v>207</v>
      </c>
      <c r="I104" s="5" t="s">
        <v>210</v>
      </c>
      <c r="J104" s="5" t="s">
        <v>69</v>
      </c>
      <c r="K104" s="5" t="s">
        <v>59</v>
      </c>
      <c r="L104" s="5" t="s">
        <v>53</v>
      </c>
      <c r="M104" s="5" t="s">
        <v>65</v>
      </c>
      <c r="N104" s="5" t="s">
        <v>55</v>
      </c>
      <c r="O104" s="5" t="s">
        <v>60</v>
      </c>
      <c r="P104" s="5" t="s">
        <v>57</v>
      </c>
      <c r="Q104" s="5" t="s">
        <v>209</v>
      </c>
      <c r="R104" s="1">
        <v>6</v>
      </c>
      <c r="S104" s="1">
        <v>66</v>
      </c>
      <c r="T104" s="1">
        <v>37</v>
      </c>
      <c r="Y104">
        <f t="shared" si="12"/>
        <v>102</v>
      </c>
      <c r="Z104">
        <f t="shared" si="11"/>
        <v>0</v>
      </c>
    </row>
    <row r="105" spans="1:26" x14ac:dyDescent="0.3">
      <c r="A105" s="43">
        <v>90</v>
      </c>
      <c r="B105" s="4"/>
      <c r="C105" s="6" t="s">
        <v>14</v>
      </c>
      <c r="D105" s="5"/>
      <c r="E105" s="5" t="s">
        <v>72</v>
      </c>
      <c r="F105" s="5" t="s">
        <v>56</v>
      </c>
      <c r="G105" s="5" t="s">
        <v>75</v>
      </c>
      <c r="H105" s="5" t="s">
        <v>207</v>
      </c>
      <c r="I105" s="5" t="s">
        <v>210</v>
      </c>
      <c r="J105" s="5" t="s">
        <v>69</v>
      </c>
      <c r="K105" s="5" t="s">
        <v>48</v>
      </c>
      <c r="L105" s="5" t="s">
        <v>53</v>
      </c>
      <c r="M105" s="5" t="s">
        <v>65</v>
      </c>
      <c r="N105" s="5" t="s">
        <v>55</v>
      </c>
      <c r="O105" s="5" t="s">
        <v>60</v>
      </c>
      <c r="P105" s="5" t="s">
        <v>71</v>
      </c>
      <c r="Q105" s="5" t="s">
        <v>209</v>
      </c>
      <c r="R105" s="1">
        <v>6</v>
      </c>
      <c r="S105" s="1">
        <v>74</v>
      </c>
      <c r="T105" s="1">
        <v>39</v>
      </c>
      <c r="Y105">
        <f t="shared" si="12"/>
        <v>103</v>
      </c>
      <c r="Z105">
        <f t="shared" si="11"/>
        <v>0</v>
      </c>
    </row>
    <row r="106" spans="1:26" x14ac:dyDescent="0.3">
      <c r="A106" s="43">
        <v>91</v>
      </c>
      <c r="B106" s="4"/>
      <c r="C106" s="6" t="s">
        <v>43</v>
      </c>
      <c r="D106" s="5"/>
      <c r="E106" s="5" t="s">
        <v>72</v>
      </c>
      <c r="F106" s="5" t="s">
        <v>56</v>
      </c>
      <c r="G106" s="5" t="s">
        <v>75</v>
      </c>
      <c r="H106" s="5" t="s">
        <v>207</v>
      </c>
      <c r="I106" s="5" t="s">
        <v>64</v>
      </c>
      <c r="J106" s="5" t="s">
        <v>69</v>
      </c>
      <c r="K106" s="5" t="s">
        <v>48</v>
      </c>
      <c r="L106" s="5" t="s">
        <v>67</v>
      </c>
      <c r="M106" s="5" t="s">
        <v>62</v>
      </c>
      <c r="N106" s="5" t="s">
        <v>74</v>
      </c>
      <c r="O106" s="5" t="s">
        <v>60</v>
      </c>
      <c r="P106" s="5" t="s">
        <v>71</v>
      </c>
      <c r="Q106" s="5" t="s">
        <v>209</v>
      </c>
      <c r="R106" s="1">
        <v>6</v>
      </c>
      <c r="S106" s="1">
        <v>69</v>
      </c>
      <c r="T106" s="1">
        <v>40</v>
      </c>
      <c r="Y106">
        <f t="shared" si="12"/>
        <v>104</v>
      </c>
      <c r="Z106">
        <f t="shared" si="11"/>
        <v>0</v>
      </c>
    </row>
    <row r="107" spans="1:26" ht="28.8" x14ac:dyDescent="0.3">
      <c r="A107" s="43">
        <v>92</v>
      </c>
      <c r="B107" s="4"/>
      <c r="C107" s="6" t="s">
        <v>125</v>
      </c>
      <c r="D107" s="5"/>
      <c r="E107" s="5" t="s">
        <v>72</v>
      </c>
      <c r="F107" s="5" t="s">
        <v>50</v>
      </c>
      <c r="G107" s="5" t="s">
        <v>75</v>
      </c>
      <c r="H107" s="5" t="s">
        <v>207</v>
      </c>
      <c r="I107" s="5" t="s">
        <v>210</v>
      </c>
      <c r="J107" s="5" t="s">
        <v>69</v>
      </c>
      <c r="K107" s="5" t="s">
        <v>59</v>
      </c>
      <c r="L107" s="5" t="s">
        <v>53</v>
      </c>
      <c r="M107" s="5" t="s">
        <v>65</v>
      </c>
      <c r="N107" s="5" t="s">
        <v>55</v>
      </c>
      <c r="O107" s="5" t="s">
        <v>60</v>
      </c>
      <c r="P107" s="5" t="s">
        <v>71</v>
      </c>
      <c r="Q107" s="5" t="s">
        <v>209</v>
      </c>
      <c r="R107" s="1">
        <v>6</v>
      </c>
      <c r="S107" s="1">
        <v>77</v>
      </c>
      <c r="T107" s="1">
        <v>35</v>
      </c>
      <c r="Y107">
        <f t="shared" si="12"/>
        <v>105</v>
      </c>
      <c r="Z107">
        <f t="shared" si="11"/>
        <v>0</v>
      </c>
    </row>
    <row r="108" spans="1:26" x14ac:dyDescent="0.3">
      <c r="A108" s="43">
        <v>93</v>
      </c>
      <c r="B108" s="4"/>
      <c r="C108" s="6" t="s">
        <v>31</v>
      </c>
      <c r="D108" s="5"/>
      <c r="E108" s="5" t="s">
        <v>68</v>
      </c>
      <c r="F108" s="5" t="s">
        <v>50</v>
      </c>
      <c r="G108" s="5" t="s">
        <v>75</v>
      </c>
      <c r="H108" s="5" t="s">
        <v>207</v>
      </c>
      <c r="I108" s="5" t="s">
        <v>210</v>
      </c>
      <c r="J108" s="5" t="s">
        <v>69</v>
      </c>
      <c r="K108" s="5" t="s">
        <v>48</v>
      </c>
      <c r="L108" s="5" t="s">
        <v>67</v>
      </c>
      <c r="M108" s="5" t="s">
        <v>65</v>
      </c>
      <c r="N108" s="5" t="s">
        <v>74</v>
      </c>
      <c r="O108" s="5" t="s">
        <v>60</v>
      </c>
      <c r="P108" s="5" t="s">
        <v>71</v>
      </c>
      <c r="Q108" s="5" t="s">
        <v>209</v>
      </c>
      <c r="R108" s="1">
        <v>6</v>
      </c>
      <c r="S108" s="1">
        <v>68</v>
      </c>
      <c r="T108" s="1">
        <v>44</v>
      </c>
      <c r="Y108">
        <f t="shared" si="12"/>
        <v>106</v>
      </c>
      <c r="Z108">
        <f t="shared" si="11"/>
        <v>0</v>
      </c>
    </row>
    <row r="109" spans="1:26" x14ac:dyDescent="0.3">
      <c r="A109" s="43">
        <v>94</v>
      </c>
      <c r="B109" s="4"/>
      <c r="C109" s="6" t="s">
        <v>100</v>
      </c>
      <c r="D109" s="5"/>
      <c r="E109" s="5" t="s">
        <v>68</v>
      </c>
      <c r="F109" s="5" t="s">
        <v>50</v>
      </c>
      <c r="G109" s="5" t="s">
        <v>75</v>
      </c>
      <c r="H109" s="5" t="s">
        <v>207</v>
      </c>
      <c r="I109" s="5" t="s">
        <v>210</v>
      </c>
      <c r="J109" s="5" t="s">
        <v>69</v>
      </c>
      <c r="K109" s="5" t="s">
        <v>48</v>
      </c>
      <c r="L109" s="5" t="s">
        <v>67</v>
      </c>
      <c r="M109" s="5" t="s">
        <v>65</v>
      </c>
      <c r="N109" s="5" t="s">
        <v>74</v>
      </c>
      <c r="O109" s="5" t="s">
        <v>60</v>
      </c>
      <c r="P109" s="5" t="s">
        <v>71</v>
      </c>
      <c r="Q109" s="5" t="s">
        <v>209</v>
      </c>
      <c r="R109" s="1">
        <v>6</v>
      </c>
      <c r="S109" s="1">
        <v>76</v>
      </c>
      <c r="T109" s="1">
        <v>44</v>
      </c>
      <c r="Y109">
        <f t="shared" si="12"/>
        <v>107</v>
      </c>
      <c r="Z109">
        <f t="shared" si="11"/>
        <v>0</v>
      </c>
    </row>
    <row r="110" spans="1:26" x14ac:dyDescent="0.3">
      <c r="A110" s="43">
        <v>95</v>
      </c>
      <c r="B110" s="4"/>
      <c r="C110" s="6" t="s">
        <v>120</v>
      </c>
      <c r="D110" s="5"/>
      <c r="E110" s="5" t="s">
        <v>72</v>
      </c>
      <c r="F110" s="5" t="s">
        <v>56</v>
      </c>
      <c r="G110" s="5" t="s">
        <v>75</v>
      </c>
      <c r="H110" s="5" t="s">
        <v>207</v>
      </c>
      <c r="I110" s="5" t="s">
        <v>64</v>
      </c>
      <c r="J110" s="5" t="s">
        <v>69</v>
      </c>
      <c r="K110" s="5" t="s">
        <v>59</v>
      </c>
      <c r="L110" s="5" t="s">
        <v>53</v>
      </c>
      <c r="M110" s="5" t="s">
        <v>62</v>
      </c>
      <c r="N110" s="5" t="s">
        <v>74</v>
      </c>
      <c r="O110" s="5" t="s">
        <v>60</v>
      </c>
      <c r="P110" s="5" t="s">
        <v>71</v>
      </c>
      <c r="Q110" s="5" t="s">
        <v>209</v>
      </c>
      <c r="R110" s="1">
        <v>6</v>
      </c>
      <c r="S110" s="1">
        <v>69</v>
      </c>
      <c r="T110" s="1">
        <v>44</v>
      </c>
      <c r="Y110">
        <f t="shared" si="12"/>
        <v>108</v>
      </c>
      <c r="Z110">
        <f t="shared" si="11"/>
        <v>0</v>
      </c>
    </row>
    <row r="111" spans="1:26" x14ac:dyDescent="0.3">
      <c r="A111" s="43">
        <v>96</v>
      </c>
      <c r="B111" s="4"/>
      <c r="C111" s="6" t="s">
        <v>166</v>
      </c>
      <c r="D111" s="5"/>
      <c r="E111" s="5" t="s">
        <v>72</v>
      </c>
      <c r="F111" s="5" t="s">
        <v>50</v>
      </c>
      <c r="G111" s="5" t="s">
        <v>63</v>
      </c>
      <c r="H111" s="5" t="s">
        <v>207</v>
      </c>
      <c r="I111" s="5" t="s">
        <v>210</v>
      </c>
      <c r="J111" s="5" t="s">
        <v>69</v>
      </c>
      <c r="K111" s="5" t="s">
        <v>59</v>
      </c>
      <c r="L111" s="5" t="s">
        <v>67</v>
      </c>
      <c r="M111" s="5" t="s">
        <v>65</v>
      </c>
      <c r="N111" s="5" t="s">
        <v>55</v>
      </c>
      <c r="O111" s="5" t="s">
        <v>60</v>
      </c>
      <c r="P111" s="5" t="s">
        <v>57</v>
      </c>
      <c r="Q111" s="5" t="s">
        <v>209</v>
      </c>
      <c r="R111" s="1">
        <v>6</v>
      </c>
      <c r="S111" s="1">
        <v>62</v>
      </c>
      <c r="T111" s="1">
        <v>44</v>
      </c>
      <c r="Y111">
        <f t="shared" si="12"/>
        <v>109</v>
      </c>
      <c r="Z111">
        <f t="shared" si="11"/>
        <v>0</v>
      </c>
    </row>
    <row r="112" spans="1:26" ht="28.8" x14ac:dyDescent="0.3">
      <c r="A112" s="43">
        <v>97</v>
      </c>
      <c r="B112" s="4"/>
      <c r="C112" s="6" t="s">
        <v>32</v>
      </c>
      <c r="D112" s="5"/>
      <c r="E112" s="5" t="s">
        <v>72</v>
      </c>
      <c r="F112" s="5" t="s">
        <v>50</v>
      </c>
      <c r="G112" s="5" t="s">
        <v>63</v>
      </c>
      <c r="H112" s="5" t="s">
        <v>207</v>
      </c>
      <c r="I112" s="5" t="s">
        <v>64</v>
      </c>
      <c r="J112" s="5" t="s">
        <v>58</v>
      </c>
      <c r="K112" s="5" t="s">
        <v>59</v>
      </c>
      <c r="L112" s="5" t="s">
        <v>53</v>
      </c>
      <c r="M112" s="5" t="s">
        <v>65</v>
      </c>
      <c r="N112" s="5" t="s">
        <v>74</v>
      </c>
      <c r="O112" s="5" t="s">
        <v>60</v>
      </c>
      <c r="P112" s="5" t="s">
        <v>71</v>
      </c>
      <c r="Q112" s="5" t="s">
        <v>209</v>
      </c>
      <c r="R112" s="1">
        <v>6</v>
      </c>
      <c r="S112" s="1">
        <v>67</v>
      </c>
      <c r="T112" s="1">
        <v>45</v>
      </c>
      <c r="Y112">
        <f t="shared" si="12"/>
        <v>110</v>
      </c>
      <c r="Z112">
        <f t="shared" si="11"/>
        <v>0</v>
      </c>
    </row>
    <row r="113" spans="1:26" ht="28.8" x14ac:dyDescent="0.3">
      <c r="A113" s="43">
        <v>98</v>
      </c>
      <c r="B113" s="4"/>
      <c r="C113" s="6" t="s">
        <v>174</v>
      </c>
      <c r="D113" s="5"/>
      <c r="E113" s="5" t="s">
        <v>68</v>
      </c>
      <c r="F113" s="5" t="s">
        <v>50</v>
      </c>
      <c r="G113" s="5" t="s">
        <v>75</v>
      </c>
      <c r="H113" s="5" t="s">
        <v>207</v>
      </c>
      <c r="I113" s="5" t="s">
        <v>210</v>
      </c>
      <c r="J113" s="5" t="s">
        <v>69</v>
      </c>
      <c r="K113" s="5" t="s">
        <v>59</v>
      </c>
      <c r="L113" s="5" t="s">
        <v>53</v>
      </c>
      <c r="M113" s="5" t="s">
        <v>65</v>
      </c>
      <c r="N113" s="5" t="s">
        <v>74</v>
      </c>
      <c r="O113" s="5" t="s">
        <v>60</v>
      </c>
      <c r="P113" s="5" t="s">
        <v>57</v>
      </c>
      <c r="Q113" s="5" t="s">
        <v>209</v>
      </c>
      <c r="R113" s="1">
        <v>6</v>
      </c>
      <c r="S113" s="1">
        <v>77</v>
      </c>
      <c r="T113" s="1">
        <v>45</v>
      </c>
      <c r="Y113">
        <f t="shared" si="12"/>
        <v>111</v>
      </c>
      <c r="Z113">
        <f t="shared" si="11"/>
        <v>0</v>
      </c>
    </row>
    <row r="114" spans="1:26" x14ac:dyDescent="0.3">
      <c r="A114" s="43">
        <v>99</v>
      </c>
      <c r="B114" s="4"/>
      <c r="C114" s="6" t="s">
        <v>180</v>
      </c>
      <c r="D114" s="5"/>
      <c r="E114" s="5" t="s">
        <v>68</v>
      </c>
      <c r="F114" s="5" t="s">
        <v>50</v>
      </c>
      <c r="G114" s="5" t="s">
        <v>75</v>
      </c>
      <c r="H114" s="5" t="s">
        <v>207</v>
      </c>
      <c r="I114" s="5" t="s">
        <v>210</v>
      </c>
      <c r="J114" s="5" t="s">
        <v>69</v>
      </c>
      <c r="K114" s="5" t="s">
        <v>48</v>
      </c>
      <c r="L114" s="5" t="s">
        <v>53</v>
      </c>
      <c r="M114" s="5" t="s">
        <v>65</v>
      </c>
      <c r="N114" s="5" t="s">
        <v>55</v>
      </c>
      <c r="O114" s="5" t="s">
        <v>60</v>
      </c>
      <c r="P114" s="5" t="s">
        <v>71</v>
      </c>
      <c r="Q114" s="5" t="s">
        <v>209</v>
      </c>
      <c r="R114" s="1">
        <v>6</v>
      </c>
      <c r="S114" s="1">
        <v>75</v>
      </c>
      <c r="T114" s="1">
        <v>45</v>
      </c>
      <c r="Y114">
        <f t="shared" si="12"/>
        <v>112</v>
      </c>
      <c r="Z114">
        <f t="shared" si="11"/>
        <v>0</v>
      </c>
    </row>
    <row r="115" spans="1:26" ht="28.8" x14ac:dyDescent="0.3">
      <c r="A115" s="43">
        <v>100</v>
      </c>
      <c r="B115" s="4"/>
      <c r="C115" s="6" t="s">
        <v>10</v>
      </c>
      <c r="D115" s="5"/>
      <c r="E115" s="5" t="s">
        <v>68</v>
      </c>
      <c r="F115" s="5" t="s">
        <v>50</v>
      </c>
      <c r="G115" s="5" t="s">
        <v>75</v>
      </c>
      <c r="H115" s="5" t="s">
        <v>207</v>
      </c>
      <c r="I115" s="5" t="s">
        <v>64</v>
      </c>
      <c r="J115" s="5" t="s">
        <v>69</v>
      </c>
      <c r="K115" s="5" t="s">
        <v>48</v>
      </c>
      <c r="L115" s="5" t="s">
        <v>53</v>
      </c>
      <c r="M115" s="5" t="s">
        <v>65</v>
      </c>
      <c r="N115" s="5" t="s">
        <v>74</v>
      </c>
      <c r="O115" s="5" t="s">
        <v>60</v>
      </c>
      <c r="P115" s="5" t="s">
        <v>71</v>
      </c>
      <c r="Q115" s="5" t="s">
        <v>209</v>
      </c>
      <c r="R115" s="1">
        <v>6</v>
      </c>
      <c r="S115" s="1">
        <v>71</v>
      </c>
      <c r="T115" s="1">
        <v>45</v>
      </c>
      <c r="Y115">
        <f t="shared" si="12"/>
        <v>113</v>
      </c>
      <c r="Z115">
        <f t="shared" si="11"/>
        <v>0</v>
      </c>
    </row>
    <row r="116" spans="1:26" ht="28.8" x14ac:dyDescent="0.3">
      <c r="A116" s="43">
        <v>101</v>
      </c>
      <c r="B116" s="4"/>
      <c r="C116" s="6" t="s">
        <v>158</v>
      </c>
      <c r="D116" s="5"/>
      <c r="E116" s="5" t="s">
        <v>72</v>
      </c>
      <c r="F116" s="5" t="s">
        <v>50</v>
      </c>
      <c r="G116" s="5" t="s">
        <v>75</v>
      </c>
      <c r="H116" s="5" t="s">
        <v>207</v>
      </c>
      <c r="I116" s="5" t="s">
        <v>64</v>
      </c>
      <c r="J116" s="5" t="s">
        <v>69</v>
      </c>
      <c r="K116" s="5" t="s">
        <v>59</v>
      </c>
      <c r="L116" s="5" t="s">
        <v>67</v>
      </c>
      <c r="M116" s="5" t="s">
        <v>62</v>
      </c>
      <c r="N116" s="5" t="s">
        <v>74</v>
      </c>
      <c r="O116" s="5" t="s">
        <v>70</v>
      </c>
      <c r="P116" s="5" t="s">
        <v>71</v>
      </c>
      <c r="Q116" s="5" t="s">
        <v>208</v>
      </c>
      <c r="R116" s="1">
        <v>6</v>
      </c>
      <c r="S116" s="1">
        <v>70</v>
      </c>
      <c r="T116" s="1">
        <v>45</v>
      </c>
      <c r="Y116">
        <f t="shared" si="12"/>
        <v>114</v>
      </c>
      <c r="Z116">
        <f t="shared" si="11"/>
        <v>0</v>
      </c>
    </row>
    <row r="117" spans="1:26" x14ac:dyDescent="0.3">
      <c r="A117" s="43">
        <v>102</v>
      </c>
      <c r="B117" s="4"/>
      <c r="C117" s="6" t="s">
        <v>38</v>
      </c>
      <c r="D117" s="5"/>
      <c r="E117" s="5" t="s">
        <v>68</v>
      </c>
      <c r="F117" s="5" t="s">
        <v>50</v>
      </c>
      <c r="G117" s="5" t="s">
        <v>75</v>
      </c>
      <c r="H117" s="5" t="s">
        <v>51</v>
      </c>
      <c r="I117" s="5" t="s">
        <v>210</v>
      </c>
      <c r="J117" s="5" t="s">
        <v>69</v>
      </c>
      <c r="K117" s="5" t="s">
        <v>59</v>
      </c>
      <c r="L117" s="5" t="s">
        <v>53</v>
      </c>
      <c r="M117" s="5" t="s">
        <v>65</v>
      </c>
      <c r="N117" s="5" t="s">
        <v>55</v>
      </c>
      <c r="O117" s="5" t="s">
        <v>60</v>
      </c>
      <c r="P117" s="5" t="s">
        <v>71</v>
      </c>
      <c r="Q117" s="5" t="s">
        <v>209</v>
      </c>
      <c r="R117" s="1">
        <v>6</v>
      </c>
      <c r="S117" s="1">
        <v>79</v>
      </c>
      <c r="T117" s="1">
        <v>47</v>
      </c>
      <c r="Y117">
        <f t="shared" si="12"/>
        <v>115</v>
      </c>
      <c r="Z117">
        <f t="shared" si="11"/>
        <v>0</v>
      </c>
    </row>
    <row r="118" spans="1:26" x14ac:dyDescent="0.3">
      <c r="A118" s="43">
        <v>103</v>
      </c>
      <c r="B118" s="4"/>
      <c r="C118" s="6" t="s">
        <v>97</v>
      </c>
      <c r="D118" s="5"/>
      <c r="E118" s="5" t="s">
        <v>72</v>
      </c>
      <c r="F118" s="5" t="s">
        <v>56</v>
      </c>
      <c r="G118" s="5" t="s">
        <v>75</v>
      </c>
      <c r="H118" s="5" t="s">
        <v>207</v>
      </c>
      <c r="I118" s="5" t="s">
        <v>210</v>
      </c>
      <c r="J118" s="5" t="s">
        <v>58</v>
      </c>
      <c r="K118" s="5" t="s">
        <v>59</v>
      </c>
      <c r="L118" s="5" t="s">
        <v>53</v>
      </c>
      <c r="M118" s="5" t="s">
        <v>65</v>
      </c>
      <c r="N118" s="5" t="s">
        <v>74</v>
      </c>
      <c r="O118" s="5" t="s">
        <v>70</v>
      </c>
      <c r="P118" s="5" t="s">
        <v>71</v>
      </c>
      <c r="Q118" s="5" t="s">
        <v>209</v>
      </c>
      <c r="R118" s="1">
        <v>6</v>
      </c>
      <c r="S118" s="1">
        <v>67</v>
      </c>
      <c r="T118" s="1">
        <v>47</v>
      </c>
      <c r="Y118">
        <f t="shared" si="12"/>
        <v>116</v>
      </c>
      <c r="Z118">
        <f t="shared" si="11"/>
        <v>0</v>
      </c>
    </row>
    <row r="119" spans="1:26" x14ac:dyDescent="0.3">
      <c r="A119" s="43">
        <v>104</v>
      </c>
      <c r="B119" s="4"/>
      <c r="C119" s="6" t="s">
        <v>11</v>
      </c>
      <c r="D119" s="5"/>
      <c r="E119" s="5" t="s">
        <v>72</v>
      </c>
      <c r="F119" s="5" t="s">
        <v>50</v>
      </c>
      <c r="G119" s="5" t="s">
        <v>75</v>
      </c>
      <c r="H119" s="5" t="s">
        <v>207</v>
      </c>
      <c r="I119" s="5" t="s">
        <v>64</v>
      </c>
      <c r="J119" s="5" t="s">
        <v>69</v>
      </c>
      <c r="K119" s="5" t="s">
        <v>59</v>
      </c>
      <c r="L119" s="5" t="s">
        <v>53</v>
      </c>
      <c r="M119" s="5" t="s">
        <v>65</v>
      </c>
      <c r="N119" s="5" t="s">
        <v>74</v>
      </c>
      <c r="O119" s="5" t="s">
        <v>60</v>
      </c>
      <c r="P119" s="5" t="s">
        <v>71</v>
      </c>
      <c r="Q119" s="5" t="s">
        <v>209</v>
      </c>
      <c r="R119" s="1">
        <v>6</v>
      </c>
      <c r="S119" s="1">
        <v>70</v>
      </c>
      <c r="T119" s="1">
        <v>47</v>
      </c>
      <c r="Y119">
        <f t="shared" si="12"/>
        <v>117</v>
      </c>
      <c r="Z119">
        <f t="shared" si="11"/>
        <v>0</v>
      </c>
    </row>
    <row r="120" spans="1:26" ht="28.8" x14ac:dyDescent="0.3">
      <c r="A120" s="43">
        <v>105</v>
      </c>
      <c r="B120" s="4"/>
      <c r="C120" s="6" t="s">
        <v>185</v>
      </c>
      <c r="D120" s="5"/>
      <c r="E120" s="5" t="s">
        <v>72</v>
      </c>
      <c r="F120" s="5" t="s">
        <v>56</v>
      </c>
      <c r="G120" s="5" t="s">
        <v>75</v>
      </c>
      <c r="H120" s="5" t="s">
        <v>207</v>
      </c>
      <c r="I120" s="5" t="s">
        <v>64</v>
      </c>
      <c r="J120" s="5" t="s">
        <v>69</v>
      </c>
      <c r="K120" s="5" t="s">
        <v>48</v>
      </c>
      <c r="L120" s="5" t="s">
        <v>53</v>
      </c>
      <c r="M120" s="5" t="s">
        <v>65</v>
      </c>
      <c r="N120" s="5" t="s">
        <v>74</v>
      </c>
      <c r="O120" s="5" t="s">
        <v>60</v>
      </c>
      <c r="P120" s="5" t="s">
        <v>71</v>
      </c>
      <c r="Q120" s="5" t="s">
        <v>209</v>
      </c>
      <c r="R120" s="1">
        <v>6</v>
      </c>
      <c r="S120" s="1">
        <v>70</v>
      </c>
      <c r="T120" s="1">
        <v>48</v>
      </c>
      <c r="Y120">
        <f t="shared" si="12"/>
        <v>118</v>
      </c>
      <c r="Z120">
        <f t="shared" si="11"/>
        <v>0</v>
      </c>
    </row>
    <row r="121" spans="1:26" ht="28.8" x14ac:dyDescent="0.3">
      <c r="A121" s="43">
        <v>106</v>
      </c>
      <c r="B121" s="4"/>
      <c r="C121" s="6" t="s">
        <v>107</v>
      </c>
      <c r="D121" s="5"/>
      <c r="E121" s="5" t="s">
        <v>72</v>
      </c>
      <c r="F121" s="5" t="s">
        <v>50</v>
      </c>
      <c r="G121" s="5" t="s">
        <v>75</v>
      </c>
      <c r="H121" s="5" t="s">
        <v>207</v>
      </c>
      <c r="I121" s="5" t="s">
        <v>64</v>
      </c>
      <c r="J121" s="5" t="s">
        <v>58</v>
      </c>
      <c r="K121" s="5" t="s">
        <v>59</v>
      </c>
      <c r="L121" s="5" t="s">
        <v>53</v>
      </c>
      <c r="M121" s="5" t="s">
        <v>62</v>
      </c>
      <c r="N121" s="5" t="s">
        <v>74</v>
      </c>
      <c r="O121" s="5" t="s">
        <v>60</v>
      </c>
      <c r="P121" s="5" t="s">
        <v>71</v>
      </c>
      <c r="Q121" s="5" t="s">
        <v>209</v>
      </c>
      <c r="R121" s="1">
        <v>6</v>
      </c>
      <c r="S121" s="1">
        <v>71</v>
      </c>
      <c r="T121" s="1">
        <v>48</v>
      </c>
    </row>
    <row r="122" spans="1:26" ht="28.8" x14ac:dyDescent="0.3">
      <c r="A122" s="43">
        <v>107</v>
      </c>
      <c r="B122" s="4"/>
      <c r="C122" s="6" t="s">
        <v>9</v>
      </c>
      <c r="D122" s="5"/>
      <c r="E122" s="5" t="s">
        <v>72</v>
      </c>
      <c r="F122" s="5" t="s">
        <v>56</v>
      </c>
      <c r="G122" s="5" t="s">
        <v>75</v>
      </c>
      <c r="H122" s="5" t="s">
        <v>207</v>
      </c>
      <c r="I122" s="5" t="s">
        <v>210</v>
      </c>
      <c r="J122" s="5" t="s">
        <v>69</v>
      </c>
      <c r="K122" s="5" t="s">
        <v>48</v>
      </c>
      <c r="L122" s="5" t="s">
        <v>53</v>
      </c>
      <c r="M122" s="5" t="s">
        <v>65</v>
      </c>
      <c r="N122" s="5" t="s">
        <v>74</v>
      </c>
      <c r="O122" s="5" t="s">
        <v>60</v>
      </c>
      <c r="P122" s="5" t="s">
        <v>71</v>
      </c>
      <c r="Q122" s="5" t="s">
        <v>208</v>
      </c>
      <c r="R122" s="1">
        <v>6</v>
      </c>
      <c r="S122" s="1">
        <v>79</v>
      </c>
      <c r="T122" s="1">
        <v>49</v>
      </c>
    </row>
    <row r="123" spans="1:26" x14ac:dyDescent="0.3">
      <c r="A123" s="43">
        <v>108</v>
      </c>
      <c r="B123" s="4"/>
      <c r="C123" s="6" t="s">
        <v>151</v>
      </c>
      <c r="D123" s="5"/>
      <c r="E123" s="5" t="s">
        <v>72</v>
      </c>
      <c r="F123" s="5" t="s">
        <v>56</v>
      </c>
      <c r="G123" s="5" t="s">
        <v>63</v>
      </c>
      <c r="H123" s="5" t="s">
        <v>207</v>
      </c>
      <c r="I123" s="5" t="s">
        <v>64</v>
      </c>
      <c r="J123" s="5" t="s">
        <v>69</v>
      </c>
      <c r="K123" s="5" t="s">
        <v>48</v>
      </c>
      <c r="L123" s="5" t="s">
        <v>53</v>
      </c>
      <c r="M123" s="5" t="s">
        <v>65</v>
      </c>
      <c r="N123" s="5" t="s">
        <v>74</v>
      </c>
      <c r="O123" s="5" t="s">
        <v>60</v>
      </c>
      <c r="P123" s="5" t="s">
        <v>71</v>
      </c>
      <c r="Q123" s="5" t="s">
        <v>208</v>
      </c>
      <c r="R123" s="1">
        <v>6</v>
      </c>
      <c r="S123" s="1">
        <v>68</v>
      </c>
      <c r="T123" s="1">
        <v>49</v>
      </c>
    </row>
    <row r="124" spans="1:26" ht="28.8" x14ac:dyDescent="0.3">
      <c r="A124" s="43">
        <v>109</v>
      </c>
      <c r="B124" s="4"/>
      <c r="C124" s="6" t="s">
        <v>27</v>
      </c>
      <c r="D124" s="5"/>
      <c r="E124" s="5" t="s">
        <v>72</v>
      </c>
      <c r="F124" s="5" t="s">
        <v>56</v>
      </c>
      <c r="G124" s="5" t="s">
        <v>75</v>
      </c>
      <c r="H124" s="5" t="s">
        <v>207</v>
      </c>
      <c r="I124" s="5" t="s">
        <v>64</v>
      </c>
      <c r="J124" s="5" t="s">
        <v>69</v>
      </c>
      <c r="K124" s="5" t="s">
        <v>48</v>
      </c>
      <c r="L124" s="5" t="s">
        <v>53</v>
      </c>
      <c r="M124" s="5" t="s">
        <v>62</v>
      </c>
      <c r="N124" s="5" t="s">
        <v>74</v>
      </c>
      <c r="O124" s="5" t="s">
        <v>60</v>
      </c>
      <c r="P124" s="5" t="s">
        <v>71</v>
      </c>
      <c r="Q124" s="5" t="s">
        <v>208</v>
      </c>
      <c r="R124" s="1">
        <v>6</v>
      </c>
      <c r="S124" s="1">
        <v>84</v>
      </c>
      <c r="T124" s="1">
        <v>50</v>
      </c>
    </row>
    <row r="125" spans="1:26" ht="28.8" x14ac:dyDescent="0.3">
      <c r="A125" s="43">
        <v>110</v>
      </c>
      <c r="B125" s="4"/>
      <c r="C125" s="6" t="s">
        <v>113</v>
      </c>
      <c r="D125" s="5"/>
      <c r="E125" s="5" t="s">
        <v>68</v>
      </c>
      <c r="F125" s="5" t="s">
        <v>50</v>
      </c>
      <c r="G125" s="5" t="s">
        <v>75</v>
      </c>
      <c r="H125" s="5" t="s">
        <v>207</v>
      </c>
      <c r="I125" s="5" t="s">
        <v>210</v>
      </c>
      <c r="J125" s="5" t="s">
        <v>69</v>
      </c>
      <c r="K125" s="5" t="s">
        <v>48</v>
      </c>
      <c r="L125" s="5" t="s">
        <v>53</v>
      </c>
      <c r="M125" s="5" t="s">
        <v>65</v>
      </c>
      <c r="N125" s="5" t="s">
        <v>55</v>
      </c>
      <c r="O125" s="5" t="s">
        <v>60</v>
      </c>
      <c r="P125" s="5" t="s">
        <v>71</v>
      </c>
      <c r="Q125" s="5" t="s">
        <v>209</v>
      </c>
      <c r="R125" s="1">
        <v>6</v>
      </c>
      <c r="S125" s="1">
        <v>78</v>
      </c>
      <c r="T125" s="1">
        <v>50</v>
      </c>
    </row>
    <row r="126" spans="1:26" x14ac:dyDescent="0.3">
      <c r="A126" s="43">
        <v>111</v>
      </c>
      <c r="B126" s="4"/>
      <c r="C126" s="6" t="s">
        <v>96</v>
      </c>
      <c r="D126" s="5"/>
      <c r="E126" s="5" t="s">
        <v>72</v>
      </c>
      <c r="F126" s="5" t="s">
        <v>50</v>
      </c>
      <c r="G126" s="5" t="s">
        <v>63</v>
      </c>
      <c r="H126" s="5" t="s">
        <v>207</v>
      </c>
      <c r="I126" s="5" t="s">
        <v>64</v>
      </c>
      <c r="J126" s="5" t="s">
        <v>58</v>
      </c>
      <c r="K126" s="5" t="s">
        <v>59</v>
      </c>
      <c r="L126" s="5" t="s">
        <v>53</v>
      </c>
      <c r="M126" s="5" t="s">
        <v>65</v>
      </c>
      <c r="N126" s="5" t="s">
        <v>74</v>
      </c>
      <c r="O126" s="5" t="s">
        <v>60</v>
      </c>
      <c r="P126" s="5" t="s">
        <v>57</v>
      </c>
      <c r="Q126" s="5" t="s">
        <v>209</v>
      </c>
      <c r="R126" s="1">
        <v>6</v>
      </c>
      <c r="S126" s="1">
        <v>68</v>
      </c>
      <c r="T126" s="1">
        <v>51</v>
      </c>
    </row>
    <row r="127" spans="1:26" ht="28.8" x14ac:dyDescent="0.3">
      <c r="A127" s="43">
        <v>112</v>
      </c>
      <c r="B127" s="4"/>
      <c r="C127" s="6" t="s">
        <v>184</v>
      </c>
      <c r="D127" s="5"/>
      <c r="E127" s="5" t="s">
        <v>72</v>
      </c>
      <c r="F127" s="5" t="s">
        <v>56</v>
      </c>
      <c r="G127" s="5" t="s">
        <v>63</v>
      </c>
      <c r="H127" s="5" t="s">
        <v>207</v>
      </c>
      <c r="I127" s="5" t="s">
        <v>64</v>
      </c>
      <c r="J127" s="5" t="s">
        <v>69</v>
      </c>
      <c r="K127" s="5" t="s">
        <v>48</v>
      </c>
      <c r="L127" s="5" t="s">
        <v>53</v>
      </c>
      <c r="M127" s="5" t="s">
        <v>65</v>
      </c>
      <c r="N127" s="5" t="s">
        <v>74</v>
      </c>
      <c r="O127" s="5" t="s">
        <v>60</v>
      </c>
      <c r="P127" s="5" t="s">
        <v>71</v>
      </c>
      <c r="Q127" s="5" t="s">
        <v>208</v>
      </c>
      <c r="R127" s="1">
        <v>6</v>
      </c>
      <c r="S127" s="1">
        <v>73</v>
      </c>
      <c r="T127" s="1">
        <v>56</v>
      </c>
    </row>
    <row r="128" spans="1:26" ht="28.8" x14ac:dyDescent="0.3">
      <c r="A128" s="43">
        <v>113</v>
      </c>
      <c r="B128" s="4"/>
      <c r="C128" s="6" t="s">
        <v>124</v>
      </c>
      <c r="D128" s="5"/>
      <c r="E128" s="5" t="s">
        <v>72</v>
      </c>
      <c r="F128" s="5" t="s">
        <v>56</v>
      </c>
      <c r="G128" s="5" t="s">
        <v>63</v>
      </c>
      <c r="H128" s="5" t="s">
        <v>207</v>
      </c>
      <c r="I128" s="5" t="s">
        <v>64</v>
      </c>
      <c r="J128" s="5" t="s">
        <v>58</v>
      </c>
      <c r="K128" s="5" t="s">
        <v>59</v>
      </c>
      <c r="L128" s="5" t="s">
        <v>53</v>
      </c>
      <c r="M128" s="5" t="s">
        <v>65</v>
      </c>
      <c r="N128" s="5" t="s">
        <v>74</v>
      </c>
      <c r="O128" s="5" t="s">
        <v>70</v>
      </c>
      <c r="P128" s="5" t="s">
        <v>57</v>
      </c>
      <c r="Q128" s="5" t="s">
        <v>209</v>
      </c>
      <c r="R128" s="1">
        <v>6</v>
      </c>
      <c r="S128" s="1">
        <v>57</v>
      </c>
      <c r="T128" s="1">
        <v>59</v>
      </c>
    </row>
    <row r="129" spans="1:20" x14ac:dyDescent="0.3">
      <c r="A129" s="43">
        <v>114</v>
      </c>
      <c r="B129" s="4"/>
      <c r="C129" s="45" t="s">
        <v>152</v>
      </c>
      <c r="D129" s="5"/>
      <c r="E129" s="5" t="s">
        <v>68</v>
      </c>
      <c r="F129" s="5" t="s">
        <v>50</v>
      </c>
      <c r="G129" s="5" t="s">
        <v>63</v>
      </c>
      <c r="H129" s="5" t="s">
        <v>51</v>
      </c>
      <c r="I129" s="5" t="s">
        <v>210</v>
      </c>
      <c r="J129" s="5" t="s">
        <v>58</v>
      </c>
      <c r="K129" s="5" t="s">
        <v>59</v>
      </c>
      <c r="L129" s="5" t="s">
        <v>53</v>
      </c>
      <c r="M129" s="5" t="s">
        <v>65</v>
      </c>
      <c r="N129" s="5" t="s">
        <v>55</v>
      </c>
      <c r="O129" s="5" t="s">
        <v>70</v>
      </c>
      <c r="P129" s="5" t="s">
        <v>57</v>
      </c>
      <c r="Q129" s="5" t="s">
        <v>209</v>
      </c>
      <c r="R129" s="1">
        <v>5</v>
      </c>
      <c r="S129" s="1">
        <v>81</v>
      </c>
      <c r="T129" s="1">
        <v>38</v>
      </c>
    </row>
    <row r="130" spans="1:20" x14ac:dyDescent="0.3">
      <c r="A130" s="43">
        <v>115</v>
      </c>
      <c r="B130" s="4"/>
      <c r="C130" s="45" t="s">
        <v>86</v>
      </c>
      <c r="D130" s="5"/>
      <c r="E130" s="5" t="s">
        <v>68</v>
      </c>
      <c r="F130" s="5" t="s">
        <v>50</v>
      </c>
      <c r="G130" s="5" t="s">
        <v>63</v>
      </c>
      <c r="H130" s="5" t="s">
        <v>51</v>
      </c>
      <c r="I130" s="5" t="s">
        <v>210</v>
      </c>
      <c r="J130" s="5" t="s">
        <v>58</v>
      </c>
      <c r="K130" s="5" t="s">
        <v>59</v>
      </c>
      <c r="L130" s="5" t="s">
        <v>53</v>
      </c>
      <c r="M130" s="5" t="s">
        <v>65</v>
      </c>
      <c r="N130" s="5" t="s">
        <v>55</v>
      </c>
      <c r="O130" s="5" t="s">
        <v>70</v>
      </c>
      <c r="P130" s="5" t="s">
        <v>57</v>
      </c>
      <c r="Q130" s="5" t="s">
        <v>209</v>
      </c>
      <c r="R130" s="1">
        <v>5</v>
      </c>
      <c r="S130" s="1">
        <v>69</v>
      </c>
      <c r="T130" s="1">
        <v>39</v>
      </c>
    </row>
    <row r="131" spans="1:20" ht="28.8" x14ac:dyDescent="0.3">
      <c r="A131" s="43">
        <v>116</v>
      </c>
      <c r="B131" s="4"/>
      <c r="C131" s="45" t="s">
        <v>137</v>
      </c>
      <c r="D131" s="5"/>
      <c r="E131" s="5" t="s">
        <v>68</v>
      </c>
      <c r="F131" s="5" t="s">
        <v>50</v>
      </c>
      <c r="G131" s="5" t="s">
        <v>63</v>
      </c>
      <c r="H131" s="5" t="s">
        <v>51</v>
      </c>
      <c r="I131" s="5" t="s">
        <v>210</v>
      </c>
      <c r="J131" s="5" t="s">
        <v>58</v>
      </c>
      <c r="K131" s="5" t="s">
        <v>59</v>
      </c>
      <c r="L131" s="5" t="s">
        <v>53</v>
      </c>
      <c r="M131" s="5" t="s">
        <v>65</v>
      </c>
      <c r="N131" s="5" t="s">
        <v>55</v>
      </c>
      <c r="O131" s="5" t="s">
        <v>70</v>
      </c>
      <c r="P131" s="5" t="s">
        <v>57</v>
      </c>
      <c r="Q131" s="5" t="s">
        <v>209</v>
      </c>
      <c r="R131" s="1">
        <v>5</v>
      </c>
      <c r="S131" s="1">
        <v>67</v>
      </c>
      <c r="T131" s="1">
        <v>39</v>
      </c>
    </row>
    <row r="132" spans="1:20" ht="28.8" x14ac:dyDescent="0.3">
      <c r="A132" s="43">
        <v>117</v>
      </c>
      <c r="B132" s="4"/>
      <c r="C132" s="6" t="s">
        <v>34</v>
      </c>
      <c r="D132" s="5"/>
      <c r="E132" s="5" t="s">
        <v>72</v>
      </c>
      <c r="F132" s="5" t="s">
        <v>50</v>
      </c>
      <c r="G132" s="5" t="s">
        <v>75</v>
      </c>
      <c r="H132" s="5" t="s">
        <v>207</v>
      </c>
      <c r="I132" s="5" t="s">
        <v>210</v>
      </c>
      <c r="J132" s="5" t="s">
        <v>69</v>
      </c>
      <c r="K132" s="5" t="s">
        <v>48</v>
      </c>
      <c r="L132" s="5" t="s">
        <v>53</v>
      </c>
      <c r="M132" s="5" t="s">
        <v>65</v>
      </c>
      <c r="N132" s="5" t="s">
        <v>74</v>
      </c>
      <c r="O132" s="5" t="s">
        <v>60</v>
      </c>
      <c r="P132" s="5" t="s">
        <v>71</v>
      </c>
      <c r="Q132" s="5" t="s">
        <v>208</v>
      </c>
      <c r="R132" s="1">
        <v>5</v>
      </c>
      <c r="S132" s="1">
        <v>67</v>
      </c>
      <c r="T132" s="1">
        <v>36</v>
      </c>
    </row>
    <row r="133" spans="1:20" ht="28.8" x14ac:dyDescent="0.3">
      <c r="A133" s="43">
        <v>118</v>
      </c>
      <c r="B133" s="4"/>
      <c r="C133" s="6" t="s">
        <v>162</v>
      </c>
      <c r="D133" s="5"/>
      <c r="E133" s="5" t="s">
        <v>72</v>
      </c>
      <c r="F133" s="5" t="s">
        <v>50</v>
      </c>
      <c r="G133" s="5" t="s">
        <v>63</v>
      </c>
      <c r="H133" s="5" t="s">
        <v>51</v>
      </c>
      <c r="I133" s="5" t="s">
        <v>64</v>
      </c>
      <c r="J133" s="5" t="s">
        <v>69</v>
      </c>
      <c r="K133" s="5" t="s">
        <v>59</v>
      </c>
      <c r="L133" s="5" t="s">
        <v>67</v>
      </c>
      <c r="M133" s="5" t="s">
        <v>65</v>
      </c>
      <c r="N133" s="5" t="s">
        <v>74</v>
      </c>
      <c r="O133" s="5" t="s">
        <v>70</v>
      </c>
      <c r="P133" s="5" t="s">
        <v>71</v>
      </c>
      <c r="Q133" s="5" t="s">
        <v>208</v>
      </c>
      <c r="R133" s="1">
        <v>5</v>
      </c>
      <c r="S133" s="1">
        <v>73</v>
      </c>
      <c r="T133" s="1">
        <v>41</v>
      </c>
    </row>
    <row r="134" spans="1:20" ht="28.8" x14ac:dyDescent="0.3">
      <c r="A134" s="43">
        <v>119</v>
      </c>
      <c r="B134" s="4"/>
      <c r="C134" s="6" t="s">
        <v>20</v>
      </c>
      <c r="D134" s="5"/>
      <c r="E134" s="5" t="s">
        <v>72</v>
      </c>
      <c r="F134" s="5" t="s">
        <v>50</v>
      </c>
      <c r="G134" s="5" t="s">
        <v>75</v>
      </c>
      <c r="H134" s="5" t="s">
        <v>207</v>
      </c>
      <c r="I134" s="5" t="s">
        <v>210</v>
      </c>
      <c r="J134" s="5" t="s">
        <v>69</v>
      </c>
      <c r="K134" s="5" t="s">
        <v>59</v>
      </c>
      <c r="L134" s="5" t="s">
        <v>53</v>
      </c>
      <c r="M134" s="5" t="s">
        <v>65</v>
      </c>
      <c r="N134" s="5" t="s">
        <v>74</v>
      </c>
      <c r="O134" s="5" t="s">
        <v>60</v>
      </c>
      <c r="P134" s="5" t="s">
        <v>71</v>
      </c>
      <c r="Q134" s="5" t="s">
        <v>209</v>
      </c>
      <c r="R134" s="1">
        <v>5</v>
      </c>
      <c r="S134" s="1">
        <v>71</v>
      </c>
      <c r="T134" s="1">
        <v>42</v>
      </c>
    </row>
    <row r="135" spans="1:20" x14ac:dyDescent="0.3">
      <c r="A135" s="43">
        <v>120</v>
      </c>
      <c r="B135" s="4"/>
      <c r="C135" s="6" t="s">
        <v>44</v>
      </c>
      <c r="D135" s="5"/>
      <c r="E135" s="5" t="s">
        <v>72</v>
      </c>
      <c r="F135" s="5" t="s">
        <v>56</v>
      </c>
      <c r="G135" s="5" t="s">
        <v>75</v>
      </c>
      <c r="H135" s="5" t="s">
        <v>207</v>
      </c>
      <c r="I135" s="5" t="s">
        <v>210</v>
      </c>
      <c r="J135" s="5" t="s">
        <v>69</v>
      </c>
      <c r="K135" s="5" t="s">
        <v>48</v>
      </c>
      <c r="L135" s="5" t="s">
        <v>53</v>
      </c>
      <c r="M135" s="5" t="s">
        <v>62</v>
      </c>
      <c r="N135" s="5" t="s">
        <v>55</v>
      </c>
      <c r="O135" s="5" t="s">
        <v>60</v>
      </c>
      <c r="P135" s="5" t="s">
        <v>71</v>
      </c>
      <c r="Q135" s="5" t="s">
        <v>209</v>
      </c>
      <c r="R135" s="1">
        <v>5</v>
      </c>
      <c r="S135" s="1">
        <v>82</v>
      </c>
      <c r="T135" s="1">
        <v>42</v>
      </c>
    </row>
    <row r="136" spans="1:20" x14ac:dyDescent="0.3">
      <c r="A136" s="43">
        <v>121</v>
      </c>
      <c r="B136" s="4"/>
      <c r="C136" s="6" t="s">
        <v>105</v>
      </c>
      <c r="D136" s="5"/>
      <c r="E136" s="5" t="s">
        <v>72</v>
      </c>
      <c r="F136" s="5" t="s">
        <v>50</v>
      </c>
      <c r="G136" s="5" t="s">
        <v>63</v>
      </c>
      <c r="H136" s="5" t="s">
        <v>207</v>
      </c>
      <c r="I136" s="5" t="s">
        <v>210</v>
      </c>
      <c r="J136" s="5" t="s">
        <v>58</v>
      </c>
      <c r="K136" s="5" t="s">
        <v>48</v>
      </c>
      <c r="L136" s="5" t="s">
        <v>67</v>
      </c>
      <c r="M136" s="5" t="s">
        <v>65</v>
      </c>
      <c r="N136" s="5" t="s">
        <v>55</v>
      </c>
      <c r="O136" s="5" t="s">
        <v>70</v>
      </c>
      <c r="P136" s="5" t="s">
        <v>57</v>
      </c>
      <c r="Q136" s="5" t="s">
        <v>209</v>
      </c>
      <c r="R136" s="1">
        <v>5</v>
      </c>
      <c r="S136" s="1">
        <v>74</v>
      </c>
      <c r="T136" s="1">
        <v>42</v>
      </c>
    </row>
    <row r="137" spans="1:20" ht="28.8" x14ac:dyDescent="0.3">
      <c r="A137" s="43">
        <v>122</v>
      </c>
      <c r="B137" s="4"/>
      <c r="C137" s="6" t="s">
        <v>117</v>
      </c>
      <c r="D137" s="5"/>
      <c r="E137" s="5" t="s">
        <v>72</v>
      </c>
      <c r="F137" s="5" t="s">
        <v>50</v>
      </c>
      <c r="G137" s="5" t="s">
        <v>75</v>
      </c>
      <c r="H137" s="5" t="s">
        <v>207</v>
      </c>
      <c r="I137" s="5" t="s">
        <v>64</v>
      </c>
      <c r="J137" s="5" t="s">
        <v>69</v>
      </c>
      <c r="K137" s="5" t="s">
        <v>48</v>
      </c>
      <c r="L137" s="5" t="s">
        <v>53</v>
      </c>
      <c r="M137" s="5" t="s">
        <v>65</v>
      </c>
      <c r="N137" s="5" t="s">
        <v>74</v>
      </c>
      <c r="O137" s="5" t="s">
        <v>60</v>
      </c>
      <c r="P137" s="5" t="s">
        <v>71</v>
      </c>
      <c r="Q137" s="5" t="s">
        <v>209</v>
      </c>
      <c r="R137" s="1">
        <v>5</v>
      </c>
      <c r="S137" s="1">
        <v>80</v>
      </c>
      <c r="T137" s="1">
        <v>34</v>
      </c>
    </row>
    <row r="138" spans="1:20" x14ac:dyDescent="0.3">
      <c r="A138" s="43">
        <v>123</v>
      </c>
      <c r="B138" s="4"/>
      <c r="C138" s="6" t="s">
        <v>42</v>
      </c>
      <c r="D138" s="5"/>
      <c r="E138" s="5" t="s">
        <v>72</v>
      </c>
      <c r="F138" s="5" t="s">
        <v>50</v>
      </c>
      <c r="G138" s="5" t="s">
        <v>75</v>
      </c>
      <c r="H138" s="5" t="s">
        <v>207</v>
      </c>
      <c r="I138" s="5" t="s">
        <v>210</v>
      </c>
      <c r="J138" s="5" t="s">
        <v>69</v>
      </c>
      <c r="K138" s="5" t="s">
        <v>48</v>
      </c>
      <c r="L138" s="5" t="s">
        <v>53</v>
      </c>
      <c r="M138" s="5" t="s">
        <v>65</v>
      </c>
      <c r="N138" s="5" t="s">
        <v>55</v>
      </c>
      <c r="O138" s="5" t="s">
        <v>60</v>
      </c>
      <c r="P138" s="5" t="s">
        <v>71</v>
      </c>
      <c r="Q138" s="5" t="s">
        <v>209</v>
      </c>
      <c r="R138" s="1">
        <v>5</v>
      </c>
      <c r="S138" s="1">
        <v>72</v>
      </c>
      <c r="T138" s="1">
        <v>34</v>
      </c>
    </row>
    <row r="139" spans="1:20" ht="28.8" x14ac:dyDescent="0.3">
      <c r="A139" s="43">
        <v>124</v>
      </c>
      <c r="B139" s="4"/>
      <c r="C139" s="6" t="s">
        <v>36</v>
      </c>
      <c r="D139" s="5"/>
      <c r="E139" s="5" t="s">
        <v>72</v>
      </c>
      <c r="F139" s="5" t="s">
        <v>50</v>
      </c>
      <c r="G139" s="5" t="s">
        <v>75</v>
      </c>
      <c r="H139" s="5" t="s">
        <v>207</v>
      </c>
      <c r="I139" s="5" t="s">
        <v>210</v>
      </c>
      <c r="J139" s="5" t="s">
        <v>58</v>
      </c>
      <c r="K139" s="5" t="s">
        <v>59</v>
      </c>
      <c r="L139" s="5" t="s">
        <v>53</v>
      </c>
      <c r="M139" s="5" t="s">
        <v>65</v>
      </c>
      <c r="N139" s="5" t="s">
        <v>74</v>
      </c>
      <c r="O139" s="5" t="s">
        <v>70</v>
      </c>
      <c r="P139" s="5" t="s">
        <v>71</v>
      </c>
      <c r="Q139" s="5" t="s">
        <v>209</v>
      </c>
      <c r="R139" s="1">
        <v>5</v>
      </c>
      <c r="S139" s="1">
        <v>70</v>
      </c>
      <c r="T139" s="1">
        <v>42</v>
      </c>
    </row>
    <row r="140" spans="1:20" ht="28.8" x14ac:dyDescent="0.3">
      <c r="A140" s="43">
        <v>125</v>
      </c>
      <c r="B140" s="4"/>
      <c r="C140" s="45" t="s">
        <v>6</v>
      </c>
      <c r="D140" s="5"/>
      <c r="E140" s="5" t="s">
        <v>68</v>
      </c>
      <c r="F140" s="5" t="s">
        <v>50</v>
      </c>
      <c r="G140" s="5" t="s">
        <v>63</v>
      </c>
      <c r="H140" s="5" t="s">
        <v>51</v>
      </c>
      <c r="I140" s="5" t="s">
        <v>210</v>
      </c>
      <c r="J140" s="5" t="s">
        <v>58</v>
      </c>
      <c r="K140" s="5" t="s">
        <v>59</v>
      </c>
      <c r="L140" s="5" t="s">
        <v>53</v>
      </c>
      <c r="M140" s="5" t="s">
        <v>65</v>
      </c>
      <c r="N140" s="5" t="s">
        <v>55</v>
      </c>
      <c r="O140" s="5" t="s">
        <v>70</v>
      </c>
      <c r="P140" s="5" t="s">
        <v>57</v>
      </c>
      <c r="Q140" s="5" t="s">
        <v>209</v>
      </c>
      <c r="R140" s="1">
        <v>5</v>
      </c>
      <c r="S140" s="1">
        <v>67</v>
      </c>
      <c r="T140" s="1">
        <v>43</v>
      </c>
    </row>
    <row r="141" spans="1:20" ht="28.8" x14ac:dyDescent="0.3">
      <c r="A141" s="43">
        <v>126</v>
      </c>
      <c r="B141" s="4"/>
      <c r="C141" s="6" t="s">
        <v>179</v>
      </c>
      <c r="D141" s="5"/>
      <c r="E141" s="5" t="s">
        <v>72</v>
      </c>
      <c r="F141" s="5" t="s">
        <v>50</v>
      </c>
      <c r="G141" s="5" t="s">
        <v>63</v>
      </c>
      <c r="H141" s="5" t="s">
        <v>51</v>
      </c>
      <c r="I141" s="5" t="s">
        <v>64</v>
      </c>
      <c r="J141" s="5" t="s">
        <v>69</v>
      </c>
      <c r="K141" s="5" t="s">
        <v>48</v>
      </c>
      <c r="L141" s="5" t="s">
        <v>67</v>
      </c>
      <c r="M141" s="5" t="s">
        <v>65</v>
      </c>
      <c r="N141" s="5" t="s">
        <v>55</v>
      </c>
      <c r="O141" s="5" t="s">
        <v>60</v>
      </c>
      <c r="P141" s="5" t="s">
        <v>57</v>
      </c>
      <c r="Q141" s="5" t="s">
        <v>209</v>
      </c>
      <c r="R141" s="1">
        <v>5</v>
      </c>
      <c r="S141" s="1">
        <v>71</v>
      </c>
      <c r="T141" s="1">
        <v>44</v>
      </c>
    </row>
    <row r="142" spans="1:20" ht="28.8" x14ac:dyDescent="0.3">
      <c r="A142" s="43">
        <v>127</v>
      </c>
      <c r="B142" s="4"/>
      <c r="C142" s="6" t="s">
        <v>177</v>
      </c>
      <c r="D142" s="5"/>
      <c r="E142" s="5" t="s">
        <v>72</v>
      </c>
      <c r="F142" s="5" t="s">
        <v>50</v>
      </c>
      <c r="G142" s="5" t="s">
        <v>75</v>
      </c>
      <c r="H142" s="5" t="s">
        <v>207</v>
      </c>
      <c r="I142" s="5" t="s">
        <v>210</v>
      </c>
      <c r="J142" s="5" t="s">
        <v>69</v>
      </c>
      <c r="K142" s="5" t="s">
        <v>48</v>
      </c>
      <c r="L142" s="5" t="s">
        <v>53</v>
      </c>
      <c r="M142" s="5" t="s">
        <v>65</v>
      </c>
      <c r="N142" s="5" t="s">
        <v>55</v>
      </c>
      <c r="O142" s="5" t="s">
        <v>60</v>
      </c>
      <c r="P142" s="5" t="s">
        <v>71</v>
      </c>
      <c r="Q142" s="5" t="s">
        <v>209</v>
      </c>
      <c r="R142" s="1">
        <v>5</v>
      </c>
      <c r="S142" s="1">
        <v>78</v>
      </c>
      <c r="T142" s="1">
        <v>45</v>
      </c>
    </row>
    <row r="143" spans="1:20" ht="28.8" x14ac:dyDescent="0.3">
      <c r="A143" s="43">
        <v>128</v>
      </c>
      <c r="B143" s="4"/>
      <c r="C143" s="6" t="s">
        <v>89</v>
      </c>
      <c r="D143" s="5"/>
      <c r="E143" s="5" t="s">
        <v>72</v>
      </c>
      <c r="F143" s="5" t="s">
        <v>56</v>
      </c>
      <c r="G143" s="5" t="s">
        <v>75</v>
      </c>
      <c r="H143" s="5" t="s">
        <v>51</v>
      </c>
      <c r="I143" s="5" t="s">
        <v>210</v>
      </c>
      <c r="J143" s="5" t="s">
        <v>69</v>
      </c>
      <c r="K143" s="5" t="s">
        <v>48</v>
      </c>
      <c r="L143" s="5" t="s">
        <v>53</v>
      </c>
      <c r="M143" s="5" t="s">
        <v>65</v>
      </c>
      <c r="N143" s="5" t="s">
        <v>55</v>
      </c>
      <c r="O143" s="5" t="s">
        <v>60</v>
      </c>
      <c r="P143" s="5" t="s">
        <v>71</v>
      </c>
      <c r="Q143" s="5" t="s">
        <v>209</v>
      </c>
      <c r="R143" s="1">
        <v>5</v>
      </c>
      <c r="S143" s="1">
        <v>74</v>
      </c>
      <c r="T143" s="1">
        <v>45</v>
      </c>
    </row>
    <row r="144" spans="1:20" ht="43.2" x14ac:dyDescent="0.3">
      <c r="A144" s="43">
        <v>129</v>
      </c>
      <c r="B144" s="4"/>
      <c r="C144" s="6" t="s">
        <v>171</v>
      </c>
      <c r="D144" s="5"/>
      <c r="E144" s="5" t="s">
        <v>68</v>
      </c>
      <c r="F144" s="5" t="s">
        <v>50</v>
      </c>
      <c r="G144" s="5" t="s">
        <v>75</v>
      </c>
      <c r="H144" s="5" t="s">
        <v>207</v>
      </c>
      <c r="I144" s="5" t="s">
        <v>210</v>
      </c>
      <c r="J144" s="5" t="s">
        <v>69</v>
      </c>
      <c r="K144" s="5" t="s">
        <v>59</v>
      </c>
      <c r="L144" s="5" t="s">
        <v>67</v>
      </c>
      <c r="M144" s="5" t="s">
        <v>62</v>
      </c>
      <c r="N144" s="5" t="s">
        <v>74</v>
      </c>
      <c r="O144" s="5" t="s">
        <v>70</v>
      </c>
      <c r="P144" s="5" t="s">
        <v>71</v>
      </c>
      <c r="Q144" s="5" t="s">
        <v>209</v>
      </c>
      <c r="R144" s="1">
        <v>5</v>
      </c>
      <c r="S144" s="1">
        <v>70</v>
      </c>
      <c r="T144" s="1">
        <v>45</v>
      </c>
    </row>
    <row r="145" spans="1:20" ht="28.8" x14ac:dyDescent="0.3">
      <c r="A145" s="43">
        <v>130</v>
      </c>
      <c r="B145" s="4"/>
      <c r="C145" s="6" t="s">
        <v>22</v>
      </c>
      <c r="D145" s="5"/>
      <c r="E145" s="5" t="s">
        <v>72</v>
      </c>
      <c r="F145" s="5" t="s">
        <v>50</v>
      </c>
      <c r="G145" s="5" t="s">
        <v>75</v>
      </c>
      <c r="H145" s="5" t="s">
        <v>207</v>
      </c>
      <c r="I145" s="5" t="s">
        <v>210</v>
      </c>
      <c r="J145" s="5" t="s">
        <v>69</v>
      </c>
      <c r="K145" s="5" t="s">
        <v>48</v>
      </c>
      <c r="L145" s="5" t="s">
        <v>53</v>
      </c>
      <c r="M145" s="5" t="s">
        <v>65</v>
      </c>
      <c r="N145" s="5" t="s">
        <v>74</v>
      </c>
      <c r="O145" s="5" t="s">
        <v>60</v>
      </c>
      <c r="P145" s="5" t="s">
        <v>71</v>
      </c>
      <c r="Q145" s="5" t="s">
        <v>208</v>
      </c>
      <c r="R145" s="1">
        <v>5</v>
      </c>
      <c r="S145" s="1">
        <v>80</v>
      </c>
      <c r="T145" s="1">
        <v>45</v>
      </c>
    </row>
    <row r="146" spans="1:20" ht="28.8" x14ac:dyDescent="0.3">
      <c r="A146" s="43">
        <v>131</v>
      </c>
      <c r="B146" s="4"/>
      <c r="C146" s="6" t="s">
        <v>193</v>
      </c>
      <c r="D146" s="5"/>
      <c r="E146" s="5" t="s">
        <v>68</v>
      </c>
      <c r="F146" s="5" t="s">
        <v>50</v>
      </c>
      <c r="G146" s="5" t="s">
        <v>75</v>
      </c>
      <c r="H146" s="5" t="s">
        <v>207</v>
      </c>
      <c r="I146" s="5" t="s">
        <v>210</v>
      </c>
      <c r="J146" s="5" t="s">
        <v>69</v>
      </c>
      <c r="K146" s="5" t="s">
        <v>48</v>
      </c>
      <c r="L146" s="5" t="s">
        <v>53</v>
      </c>
      <c r="M146" s="5" t="s">
        <v>65</v>
      </c>
      <c r="N146" s="5" t="s">
        <v>74</v>
      </c>
      <c r="O146" s="5" t="s">
        <v>60</v>
      </c>
      <c r="P146" s="5" t="s">
        <v>71</v>
      </c>
      <c r="Q146" s="5" t="s">
        <v>209</v>
      </c>
      <c r="R146" s="1">
        <v>5</v>
      </c>
      <c r="S146" s="1">
        <v>69</v>
      </c>
      <c r="T146" s="1">
        <v>46</v>
      </c>
    </row>
    <row r="147" spans="1:20" x14ac:dyDescent="0.3">
      <c r="A147" s="43">
        <v>132</v>
      </c>
      <c r="B147" s="4"/>
      <c r="C147" s="6" t="s">
        <v>169</v>
      </c>
      <c r="D147" s="5"/>
      <c r="E147" s="5" t="s">
        <v>72</v>
      </c>
      <c r="F147" s="5" t="s">
        <v>50</v>
      </c>
      <c r="G147" s="5" t="s">
        <v>75</v>
      </c>
      <c r="H147" s="5" t="s">
        <v>207</v>
      </c>
      <c r="I147" s="5" t="s">
        <v>64</v>
      </c>
      <c r="J147" s="5" t="s">
        <v>69</v>
      </c>
      <c r="K147" s="5" t="s">
        <v>48</v>
      </c>
      <c r="L147" s="5" t="s">
        <v>53</v>
      </c>
      <c r="M147" s="5" t="s">
        <v>62</v>
      </c>
      <c r="N147" s="5" t="s">
        <v>74</v>
      </c>
      <c r="O147" s="5" t="s">
        <v>60</v>
      </c>
      <c r="P147" s="5" t="s">
        <v>71</v>
      </c>
      <c r="Q147" s="5" t="s">
        <v>208</v>
      </c>
      <c r="R147" s="1">
        <v>5</v>
      </c>
      <c r="S147" s="1">
        <v>68</v>
      </c>
      <c r="T147" s="1">
        <v>47</v>
      </c>
    </row>
    <row r="148" spans="1:20" x14ac:dyDescent="0.3">
      <c r="A148" s="43">
        <v>133</v>
      </c>
      <c r="B148" s="4"/>
      <c r="C148" s="6" t="s">
        <v>178</v>
      </c>
      <c r="D148" s="5"/>
      <c r="E148" s="5" t="s">
        <v>72</v>
      </c>
      <c r="F148" s="5" t="s">
        <v>50</v>
      </c>
      <c r="G148" s="5" t="s">
        <v>63</v>
      </c>
      <c r="H148" s="5" t="s">
        <v>207</v>
      </c>
      <c r="I148" s="5" t="s">
        <v>64</v>
      </c>
      <c r="J148" s="5" t="s">
        <v>69</v>
      </c>
      <c r="K148" s="5" t="s">
        <v>59</v>
      </c>
      <c r="L148" s="5" t="s">
        <v>53</v>
      </c>
      <c r="M148" s="5" t="s">
        <v>65</v>
      </c>
      <c r="N148" s="5" t="s">
        <v>74</v>
      </c>
      <c r="O148" s="5" t="s">
        <v>70</v>
      </c>
      <c r="P148" s="5" t="s">
        <v>71</v>
      </c>
      <c r="Q148" s="5" t="s">
        <v>208</v>
      </c>
      <c r="R148" s="1">
        <v>5</v>
      </c>
      <c r="S148" s="1">
        <v>70</v>
      </c>
      <c r="T148" s="1">
        <v>47</v>
      </c>
    </row>
    <row r="149" spans="1:20" ht="28.8" x14ac:dyDescent="0.3">
      <c r="A149" s="43">
        <v>134</v>
      </c>
      <c r="B149" s="4"/>
      <c r="C149" s="6" t="s">
        <v>154</v>
      </c>
      <c r="D149" s="5"/>
      <c r="E149" s="5" t="s">
        <v>72</v>
      </c>
      <c r="F149" s="5" t="s">
        <v>50</v>
      </c>
      <c r="G149" s="5" t="s">
        <v>63</v>
      </c>
      <c r="H149" s="5" t="s">
        <v>207</v>
      </c>
      <c r="I149" s="5" t="s">
        <v>64</v>
      </c>
      <c r="J149" s="5" t="s">
        <v>69</v>
      </c>
      <c r="K149" s="5" t="s">
        <v>48</v>
      </c>
      <c r="L149" s="5" t="s">
        <v>67</v>
      </c>
      <c r="M149" s="5" t="s">
        <v>65</v>
      </c>
      <c r="N149" s="5" t="s">
        <v>74</v>
      </c>
      <c r="O149" s="5" t="s">
        <v>60</v>
      </c>
      <c r="P149" s="5" t="s">
        <v>71</v>
      </c>
      <c r="Q149" s="5" t="s">
        <v>209</v>
      </c>
      <c r="R149" s="1">
        <v>5</v>
      </c>
      <c r="S149" s="1">
        <v>77</v>
      </c>
      <c r="T149" s="1">
        <v>47</v>
      </c>
    </row>
    <row r="150" spans="1:20" ht="28.8" x14ac:dyDescent="0.3">
      <c r="A150" s="43">
        <v>135</v>
      </c>
      <c r="B150" s="4"/>
      <c r="C150" s="6" t="s">
        <v>104</v>
      </c>
      <c r="D150" s="5"/>
      <c r="E150" s="5" t="s">
        <v>72</v>
      </c>
      <c r="F150" s="5" t="s">
        <v>50</v>
      </c>
      <c r="G150" s="5" t="s">
        <v>75</v>
      </c>
      <c r="H150" s="5" t="s">
        <v>207</v>
      </c>
      <c r="I150" s="5" t="s">
        <v>210</v>
      </c>
      <c r="J150" s="5" t="s">
        <v>69</v>
      </c>
      <c r="K150" s="5" t="s">
        <v>48</v>
      </c>
      <c r="L150" s="5" t="s">
        <v>53</v>
      </c>
      <c r="M150" s="5" t="s">
        <v>65</v>
      </c>
      <c r="N150" s="5" t="s">
        <v>74</v>
      </c>
      <c r="O150" s="5" t="s">
        <v>60</v>
      </c>
      <c r="P150" s="5" t="s">
        <v>71</v>
      </c>
      <c r="Q150" s="5" t="s">
        <v>208</v>
      </c>
      <c r="R150" s="1">
        <v>5</v>
      </c>
      <c r="S150" s="1">
        <v>71</v>
      </c>
      <c r="T150" s="1">
        <v>47</v>
      </c>
    </row>
    <row r="151" spans="1:20" x14ac:dyDescent="0.3">
      <c r="A151" s="43">
        <v>136</v>
      </c>
      <c r="B151" s="4"/>
      <c r="C151" s="45" t="s">
        <v>33</v>
      </c>
      <c r="D151" s="5"/>
      <c r="E151" s="5" t="s">
        <v>68</v>
      </c>
      <c r="F151" s="5" t="s">
        <v>50</v>
      </c>
      <c r="G151" s="5" t="s">
        <v>63</v>
      </c>
      <c r="H151" s="5" t="s">
        <v>51</v>
      </c>
      <c r="I151" s="5" t="s">
        <v>210</v>
      </c>
      <c r="J151" s="5" t="s">
        <v>58</v>
      </c>
      <c r="K151" s="5" t="s">
        <v>59</v>
      </c>
      <c r="L151" s="5" t="s">
        <v>53</v>
      </c>
      <c r="M151" s="5" t="s">
        <v>65</v>
      </c>
      <c r="N151" s="5" t="s">
        <v>55</v>
      </c>
      <c r="O151" s="5" t="s">
        <v>70</v>
      </c>
      <c r="P151" s="5" t="s">
        <v>57</v>
      </c>
      <c r="Q151" s="5" t="s">
        <v>209</v>
      </c>
      <c r="R151" s="1">
        <v>5</v>
      </c>
      <c r="S151" s="1">
        <v>70</v>
      </c>
      <c r="T151" s="1">
        <v>29</v>
      </c>
    </row>
    <row r="152" spans="1:20" ht="28.8" x14ac:dyDescent="0.3">
      <c r="A152" s="43">
        <v>137</v>
      </c>
      <c r="B152" s="4"/>
      <c r="C152" s="6" t="s">
        <v>167</v>
      </c>
      <c r="D152" s="5"/>
      <c r="E152" s="5" t="s">
        <v>68</v>
      </c>
      <c r="F152" s="5" t="s">
        <v>50</v>
      </c>
      <c r="G152" s="5" t="s">
        <v>63</v>
      </c>
      <c r="H152" s="5" t="s">
        <v>51</v>
      </c>
      <c r="I152" s="5" t="s">
        <v>64</v>
      </c>
      <c r="J152" s="5" t="s">
        <v>69</v>
      </c>
      <c r="K152" s="5" t="s">
        <v>59</v>
      </c>
      <c r="L152" s="5" t="s">
        <v>67</v>
      </c>
      <c r="M152" s="5" t="s">
        <v>65</v>
      </c>
      <c r="N152" s="5" t="s">
        <v>74</v>
      </c>
      <c r="O152" s="5" t="s">
        <v>70</v>
      </c>
      <c r="P152" s="5" t="s">
        <v>71</v>
      </c>
      <c r="Q152" s="5" t="s">
        <v>209</v>
      </c>
      <c r="R152" s="1">
        <v>5</v>
      </c>
      <c r="S152" s="1">
        <v>64</v>
      </c>
      <c r="T152" s="1">
        <v>48</v>
      </c>
    </row>
    <row r="153" spans="1:20" x14ac:dyDescent="0.3">
      <c r="A153" s="43">
        <v>138</v>
      </c>
      <c r="B153" s="4"/>
      <c r="C153" s="45" t="s">
        <v>93</v>
      </c>
      <c r="D153" s="5"/>
      <c r="E153" s="5" t="s">
        <v>68</v>
      </c>
      <c r="F153" s="5" t="s">
        <v>50</v>
      </c>
      <c r="G153" s="5" t="s">
        <v>63</v>
      </c>
      <c r="H153" s="5" t="s">
        <v>51</v>
      </c>
      <c r="I153" s="5" t="s">
        <v>210</v>
      </c>
      <c r="J153" s="5" t="s">
        <v>58</v>
      </c>
      <c r="K153" s="5" t="s">
        <v>59</v>
      </c>
      <c r="L153" s="5" t="s">
        <v>53</v>
      </c>
      <c r="M153" s="5" t="s">
        <v>65</v>
      </c>
      <c r="N153" s="5" t="s">
        <v>55</v>
      </c>
      <c r="O153" s="5" t="s">
        <v>70</v>
      </c>
      <c r="P153" s="5" t="s">
        <v>57</v>
      </c>
      <c r="Q153" s="5" t="s">
        <v>209</v>
      </c>
      <c r="R153" s="1">
        <v>5</v>
      </c>
      <c r="S153" s="1">
        <v>74</v>
      </c>
      <c r="T153" s="1">
        <v>48</v>
      </c>
    </row>
    <row r="154" spans="1:20" x14ac:dyDescent="0.3">
      <c r="A154" s="43">
        <v>139</v>
      </c>
      <c r="B154" s="4"/>
      <c r="C154" s="6" t="s">
        <v>85</v>
      </c>
      <c r="D154" s="5"/>
      <c r="E154" s="5" t="s">
        <v>72</v>
      </c>
      <c r="F154" s="5" t="s">
        <v>56</v>
      </c>
      <c r="G154" s="5" t="s">
        <v>63</v>
      </c>
      <c r="H154" s="5" t="s">
        <v>207</v>
      </c>
      <c r="I154" s="5" t="s">
        <v>210</v>
      </c>
      <c r="J154" s="5" t="s">
        <v>69</v>
      </c>
      <c r="K154" s="5" t="s">
        <v>59</v>
      </c>
      <c r="L154" s="5" t="s">
        <v>53</v>
      </c>
      <c r="M154" s="5" t="s">
        <v>62</v>
      </c>
      <c r="N154" s="5" t="s">
        <v>55</v>
      </c>
      <c r="O154" s="5" t="s">
        <v>60</v>
      </c>
      <c r="P154" s="5" t="s">
        <v>71</v>
      </c>
      <c r="Q154" s="5" t="s">
        <v>209</v>
      </c>
      <c r="R154" s="1">
        <v>5</v>
      </c>
      <c r="S154" s="1">
        <v>77</v>
      </c>
      <c r="T154" s="1">
        <v>49</v>
      </c>
    </row>
    <row r="155" spans="1:20" x14ac:dyDescent="0.3">
      <c r="A155" s="43">
        <v>140</v>
      </c>
      <c r="B155" s="4"/>
      <c r="C155" s="6" t="s">
        <v>144</v>
      </c>
      <c r="D155" s="5"/>
      <c r="E155" s="5" t="s">
        <v>72</v>
      </c>
      <c r="F155" s="5" t="s">
        <v>56</v>
      </c>
      <c r="G155" s="5" t="s">
        <v>75</v>
      </c>
      <c r="H155" s="5" t="s">
        <v>207</v>
      </c>
      <c r="I155" s="5" t="s">
        <v>64</v>
      </c>
      <c r="J155" s="5" t="s">
        <v>69</v>
      </c>
      <c r="K155" s="5" t="s">
        <v>48</v>
      </c>
      <c r="L155" s="5" t="s">
        <v>53</v>
      </c>
      <c r="M155" s="5" t="s">
        <v>65</v>
      </c>
      <c r="N155" s="5" t="s">
        <v>74</v>
      </c>
      <c r="O155" s="5" t="s">
        <v>70</v>
      </c>
      <c r="P155" s="5" t="s">
        <v>71</v>
      </c>
      <c r="Q155" s="5" t="s">
        <v>209</v>
      </c>
      <c r="R155" s="1">
        <v>5</v>
      </c>
      <c r="S155" s="1">
        <v>74</v>
      </c>
      <c r="T155" s="1">
        <v>49</v>
      </c>
    </row>
    <row r="156" spans="1:20" ht="28.8" x14ac:dyDescent="0.3">
      <c r="A156" s="43">
        <v>141</v>
      </c>
      <c r="B156" s="4"/>
      <c r="C156" s="6" t="s">
        <v>108</v>
      </c>
      <c r="D156" s="5"/>
      <c r="E156" s="5" t="s">
        <v>72</v>
      </c>
      <c r="F156" s="5" t="s">
        <v>50</v>
      </c>
      <c r="G156" s="5" t="s">
        <v>75</v>
      </c>
      <c r="H156" s="5" t="s">
        <v>207</v>
      </c>
      <c r="I156" s="5" t="s">
        <v>64</v>
      </c>
      <c r="J156" s="5" t="s">
        <v>69</v>
      </c>
      <c r="K156" s="5" t="s">
        <v>48</v>
      </c>
      <c r="L156" s="5" t="s">
        <v>53</v>
      </c>
      <c r="M156" s="5" t="s">
        <v>65</v>
      </c>
      <c r="N156" s="5" t="s">
        <v>55</v>
      </c>
      <c r="O156" s="5" t="s">
        <v>70</v>
      </c>
      <c r="P156" s="5" t="s">
        <v>71</v>
      </c>
      <c r="Q156" s="5" t="s">
        <v>209</v>
      </c>
      <c r="R156" s="1">
        <v>5</v>
      </c>
      <c r="S156" s="1">
        <v>75</v>
      </c>
      <c r="T156" s="1">
        <v>51</v>
      </c>
    </row>
    <row r="157" spans="1:20" x14ac:dyDescent="0.3">
      <c r="A157" s="43">
        <v>142</v>
      </c>
      <c r="B157" s="4"/>
      <c r="C157" s="45" t="s">
        <v>18</v>
      </c>
      <c r="D157" s="5"/>
      <c r="E157" s="5" t="s">
        <v>68</v>
      </c>
      <c r="F157" s="5" t="s">
        <v>50</v>
      </c>
      <c r="G157" s="5" t="s">
        <v>63</v>
      </c>
      <c r="H157" s="5" t="s">
        <v>51</v>
      </c>
      <c r="I157" s="5" t="s">
        <v>210</v>
      </c>
      <c r="J157" s="5" t="s">
        <v>58</v>
      </c>
      <c r="K157" s="5" t="s">
        <v>59</v>
      </c>
      <c r="L157" s="5" t="s">
        <v>53</v>
      </c>
      <c r="M157" s="5" t="s">
        <v>65</v>
      </c>
      <c r="N157" s="5" t="s">
        <v>55</v>
      </c>
      <c r="O157" s="5" t="s">
        <v>70</v>
      </c>
      <c r="P157" s="5" t="s">
        <v>57</v>
      </c>
      <c r="Q157" s="5" t="s">
        <v>209</v>
      </c>
      <c r="R157" s="1">
        <v>5</v>
      </c>
      <c r="S157" s="1">
        <v>62</v>
      </c>
      <c r="T157" s="1">
        <v>23</v>
      </c>
    </row>
    <row r="158" spans="1:20" x14ac:dyDescent="0.3">
      <c r="A158" s="43">
        <v>143</v>
      </c>
      <c r="B158" s="4"/>
      <c r="C158" s="45" t="s">
        <v>106</v>
      </c>
      <c r="D158" s="5"/>
      <c r="E158" s="5" t="s">
        <v>68</v>
      </c>
      <c r="F158" s="5" t="s">
        <v>50</v>
      </c>
      <c r="G158" s="5" t="s">
        <v>63</v>
      </c>
      <c r="H158" s="5" t="s">
        <v>51</v>
      </c>
      <c r="I158" s="5" t="s">
        <v>210</v>
      </c>
      <c r="J158" s="5" t="s">
        <v>58</v>
      </c>
      <c r="K158" s="5" t="s">
        <v>59</v>
      </c>
      <c r="L158" s="5" t="s">
        <v>53</v>
      </c>
      <c r="M158" s="5" t="s">
        <v>65</v>
      </c>
      <c r="N158" s="5" t="s">
        <v>55</v>
      </c>
      <c r="O158" s="5" t="s">
        <v>70</v>
      </c>
      <c r="P158" s="5" t="s">
        <v>57</v>
      </c>
      <c r="Q158" s="5" t="s">
        <v>209</v>
      </c>
      <c r="R158" s="1">
        <v>5</v>
      </c>
      <c r="S158" s="1">
        <v>72</v>
      </c>
      <c r="T158" s="1">
        <v>21</v>
      </c>
    </row>
    <row r="159" spans="1:20" x14ac:dyDescent="0.3">
      <c r="A159" s="43">
        <v>144</v>
      </c>
      <c r="B159" s="4"/>
      <c r="C159" s="6" t="s">
        <v>181</v>
      </c>
      <c r="D159" s="5"/>
      <c r="E159" s="5" t="s">
        <v>72</v>
      </c>
      <c r="F159" s="5" t="s">
        <v>50</v>
      </c>
      <c r="G159" s="5" t="s">
        <v>75</v>
      </c>
      <c r="H159" s="5" t="s">
        <v>207</v>
      </c>
      <c r="I159" s="5" t="s">
        <v>210</v>
      </c>
      <c r="J159" s="5" t="s">
        <v>69</v>
      </c>
      <c r="K159" s="5" t="s">
        <v>59</v>
      </c>
      <c r="L159" s="5" t="s">
        <v>53</v>
      </c>
      <c r="M159" s="5" t="s">
        <v>65</v>
      </c>
      <c r="N159" s="5" t="s">
        <v>74</v>
      </c>
      <c r="O159" s="5" t="s">
        <v>60</v>
      </c>
      <c r="P159" s="5" t="s">
        <v>57</v>
      </c>
      <c r="Q159" s="5" t="s">
        <v>209</v>
      </c>
      <c r="R159" s="1">
        <v>5</v>
      </c>
      <c r="S159" s="1">
        <v>72</v>
      </c>
      <c r="T159" s="1">
        <v>56</v>
      </c>
    </row>
    <row r="160" spans="1:20" ht="28.8" x14ac:dyDescent="0.3">
      <c r="A160" s="43">
        <v>145</v>
      </c>
      <c r="B160" s="4"/>
      <c r="C160" s="45" t="s">
        <v>139</v>
      </c>
      <c r="D160" s="5"/>
      <c r="E160" s="5" t="s">
        <v>68</v>
      </c>
      <c r="F160" s="5" t="s">
        <v>50</v>
      </c>
      <c r="G160" s="5" t="s">
        <v>63</v>
      </c>
      <c r="H160" s="5" t="s">
        <v>51</v>
      </c>
      <c r="I160" s="5" t="s">
        <v>210</v>
      </c>
      <c r="J160" s="5" t="s">
        <v>58</v>
      </c>
      <c r="K160" s="5" t="s">
        <v>59</v>
      </c>
      <c r="L160" s="5" t="s">
        <v>53</v>
      </c>
      <c r="M160" s="5" t="s">
        <v>65</v>
      </c>
      <c r="N160" s="5" t="s">
        <v>55</v>
      </c>
      <c r="O160" s="5" t="s">
        <v>70</v>
      </c>
      <c r="P160" s="5" t="s">
        <v>57</v>
      </c>
      <c r="Q160" s="5" t="s">
        <v>209</v>
      </c>
      <c r="R160" s="1">
        <v>5</v>
      </c>
      <c r="S160" s="1">
        <v>78</v>
      </c>
      <c r="T160" s="1">
        <v>56</v>
      </c>
    </row>
    <row r="161" spans="1:20" ht="28.8" x14ac:dyDescent="0.3">
      <c r="A161" s="43">
        <v>146</v>
      </c>
      <c r="B161" s="4"/>
      <c r="C161" s="6" t="s">
        <v>123</v>
      </c>
      <c r="D161" s="5"/>
      <c r="E161" s="5" t="s">
        <v>72</v>
      </c>
      <c r="F161" s="5" t="s">
        <v>50</v>
      </c>
      <c r="G161" s="5" t="s">
        <v>75</v>
      </c>
      <c r="H161" s="5" t="s">
        <v>207</v>
      </c>
      <c r="I161" s="5" t="s">
        <v>210</v>
      </c>
      <c r="J161" s="5" t="s">
        <v>69</v>
      </c>
      <c r="K161" s="5" t="s">
        <v>48</v>
      </c>
      <c r="L161" s="5" t="s">
        <v>67</v>
      </c>
      <c r="M161" s="5" t="s">
        <v>65</v>
      </c>
      <c r="N161" s="5" t="s">
        <v>55</v>
      </c>
      <c r="O161" s="5" t="s">
        <v>70</v>
      </c>
      <c r="P161" s="5" t="s">
        <v>71</v>
      </c>
      <c r="Q161" s="5" t="s">
        <v>209</v>
      </c>
      <c r="R161" s="1">
        <v>5</v>
      </c>
      <c r="S161" s="1">
        <v>75</v>
      </c>
      <c r="T161" s="1">
        <v>57</v>
      </c>
    </row>
    <row r="162" spans="1:20" ht="28.8" x14ac:dyDescent="0.3">
      <c r="A162" s="43">
        <v>147</v>
      </c>
      <c r="B162" s="4"/>
      <c r="C162" s="45" t="s">
        <v>25</v>
      </c>
      <c r="D162" s="5"/>
      <c r="E162" s="5" t="s">
        <v>68</v>
      </c>
      <c r="F162" s="5" t="s">
        <v>50</v>
      </c>
      <c r="G162" s="5" t="s">
        <v>63</v>
      </c>
      <c r="H162" s="5" t="s">
        <v>51</v>
      </c>
      <c r="I162" s="5" t="s">
        <v>210</v>
      </c>
      <c r="J162" s="5" t="s">
        <v>58</v>
      </c>
      <c r="K162" s="5" t="s">
        <v>59</v>
      </c>
      <c r="L162" s="5" t="s">
        <v>53</v>
      </c>
      <c r="M162" s="5" t="s">
        <v>65</v>
      </c>
      <c r="N162" s="5" t="s">
        <v>55</v>
      </c>
      <c r="O162" s="5" t="s">
        <v>70</v>
      </c>
      <c r="P162" s="5" t="s">
        <v>57</v>
      </c>
      <c r="Q162" s="5" t="s">
        <v>209</v>
      </c>
      <c r="R162" s="1">
        <v>5</v>
      </c>
      <c r="S162" s="1">
        <v>75</v>
      </c>
      <c r="T162" s="1">
        <v>15</v>
      </c>
    </row>
    <row r="163" spans="1:20" ht="28.8" x14ac:dyDescent="0.3">
      <c r="A163" s="43">
        <v>148</v>
      </c>
      <c r="B163" s="4"/>
      <c r="C163" s="45" t="s">
        <v>182</v>
      </c>
      <c r="D163" s="5"/>
      <c r="E163" s="5" t="s">
        <v>68</v>
      </c>
      <c r="F163" s="5" t="s">
        <v>50</v>
      </c>
      <c r="G163" s="5" t="s">
        <v>63</v>
      </c>
      <c r="H163" s="5" t="s">
        <v>51</v>
      </c>
      <c r="I163" s="5" t="s">
        <v>210</v>
      </c>
      <c r="J163" s="5" t="s">
        <v>58</v>
      </c>
      <c r="K163" s="5" t="s">
        <v>59</v>
      </c>
      <c r="L163" s="5" t="s">
        <v>53</v>
      </c>
      <c r="M163" s="5" t="s">
        <v>65</v>
      </c>
      <c r="N163" s="5" t="s">
        <v>55</v>
      </c>
      <c r="O163" s="5" t="s">
        <v>70</v>
      </c>
      <c r="P163" s="5" t="s">
        <v>57</v>
      </c>
      <c r="Q163" s="5" t="s">
        <v>209</v>
      </c>
      <c r="R163" s="1">
        <v>5</v>
      </c>
      <c r="S163" s="1">
        <v>63</v>
      </c>
      <c r="T163" s="1">
        <v>15</v>
      </c>
    </row>
    <row r="164" spans="1:20" ht="28.8" x14ac:dyDescent="0.3">
      <c r="A164" s="43">
        <v>149</v>
      </c>
      <c r="B164" s="4"/>
      <c r="C164" s="45" t="s">
        <v>92</v>
      </c>
      <c r="D164" s="5"/>
      <c r="E164" s="5" t="s">
        <v>68</v>
      </c>
      <c r="F164" s="5" t="s">
        <v>50</v>
      </c>
      <c r="G164" s="5" t="s">
        <v>63</v>
      </c>
      <c r="H164" s="5" t="s">
        <v>51</v>
      </c>
      <c r="I164" s="5" t="s">
        <v>210</v>
      </c>
      <c r="J164" s="5" t="s">
        <v>58</v>
      </c>
      <c r="K164" s="5" t="s">
        <v>59</v>
      </c>
      <c r="L164" s="5" t="s">
        <v>53</v>
      </c>
      <c r="M164" s="5" t="s">
        <v>65</v>
      </c>
      <c r="N164" s="5" t="s">
        <v>55</v>
      </c>
      <c r="O164" s="5" t="s">
        <v>70</v>
      </c>
      <c r="P164" s="5" t="s">
        <v>57</v>
      </c>
      <c r="Q164" s="5" t="s">
        <v>209</v>
      </c>
      <c r="R164" s="1">
        <v>5</v>
      </c>
      <c r="S164" s="1">
        <v>73</v>
      </c>
      <c r="T164" s="1">
        <v>11</v>
      </c>
    </row>
    <row r="165" spans="1:20" x14ac:dyDescent="0.3">
      <c r="A165" s="43">
        <v>150</v>
      </c>
      <c r="B165" s="4"/>
      <c r="C165" s="6" t="s">
        <v>130</v>
      </c>
      <c r="D165" s="5"/>
      <c r="E165" s="5" t="s">
        <v>68</v>
      </c>
      <c r="F165" s="5" t="s">
        <v>50</v>
      </c>
      <c r="G165" s="5" t="s">
        <v>63</v>
      </c>
      <c r="H165" s="5" t="s">
        <v>207</v>
      </c>
      <c r="I165" s="5" t="s">
        <v>64</v>
      </c>
      <c r="J165" s="5" t="s">
        <v>69</v>
      </c>
      <c r="K165" s="5" t="s">
        <v>48</v>
      </c>
      <c r="L165" s="5" t="s">
        <v>53</v>
      </c>
      <c r="M165" s="5" t="s">
        <v>62</v>
      </c>
      <c r="N165" s="5" t="s">
        <v>74</v>
      </c>
      <c r="O165" s="5" t="s">
        <v>60</v>
      </c>
      <c r="P165" s="5" t="s">
        <v>71</v>
      </c>
      <c r="Q165" s="5" t="s">
        <v>209</v>
      </c>
      <c r="R165" s="1">
        <v>4</v>
      </c>
      <c r="S165" s="1">
        <v>71</v>
      </c>
      <c r="T165" s="1">
        <v>37</v>
      </c>
    </row>
    <row r="166" spans="1:20" ht="28.8" x14ac:dyDescent="0.3">
      <c r="A166" s="43">
        <v>151</v>
      </c>
      <c r="B166" s="4"/>
      <c r="C166" s="6" t="s">
        <v>8</v>
      </c>
      <c r="D166" s="5"/>
      <c r="E166" s="5" t="s">
        <v>68</v>
      </c>
      <c r="F166" s="5" t="s">
        <v>50</v>
      </c>
      <c r="G166" s="5" t="s">
        <v>75</v>
      </c>
      <c r="H166" s="5" t="s">
        <v>207</v>
      </c>
      <c r="I166" s="5" t="s">
        <v>210</v>
      </c>
      <c r="J166" s="5" t="s">
        <v>69</v>
      </c>
      <c r="K166" s="5" t="s">
        <v>48</v>
      </c>
      <c r="L166" s="5" t="s">
        <v>67</v>
      </c>
      <c r="M166" s="5" t="s">
        <v>62</v>
      </c>
      <c r="N166" s="5" t="s">
        <v>74</v>
      </c>
      <c r="O166" s="5" t="s">
        <v>70</v>
      </c>
      <c r="P166" s="5" t="s">
        <v>71</v>
      </c>
      <c r="Q166" s="5" t="s">
        <v>209</v>
      </c>
      <c r="R166" s="1">
        <v>4</v>
      </c>
      <c r="S166" s="1">
        <v>73</v>
      </c>
      <c r="T166" s="1">
        <v>34</v>
      </c>
    </row>
    <row r="167" spans="1:20" x14ac:dyDescent="0.3">
      <c r="A167" s="43">
        <v>152</v>
      </c>
      <c r="B167" s="4"/>
      <c r="C167" s="6" t="s">
        <v>161</v>
      </c>
      <c r="D167" s="5"/>
      <c r="E167" s="5" t="s">
        <v>72</v>
      </c>
      <c r="F167" s="5" t="s">
        <v>50</v>
      </c>
      <c r="G167" s="5" t="s">
        <v>75</v>
      </c>
      <c r="H167" s="5" t="s">
        <v>51</v>
      </c>
      <c r="I167" s="5" t="s">
        <v>210</v>
      </c>
      <c r="J167" s="5" t="s">
        <v>69</v>
      </c>
      <c r="K167" s="5" t="s">
        <v>48</v>
      </c>
      <c r="L167" s="5" t="s">
        <v>67</v>
      </c>
      <c r="M167" s="5" t="s">
        <v>62</v>
      </c>
      <c r="N167" s="5" t="s">
        <v>55</v>
      </c>
      <c r="O167" s="5" t="s">
        <v>60</v>
      </c>
      <c r="P167" s="5" t="s">
        <v>57</v>
      </c>
      <c r="Q167" s="5" t="s">
        <v>209</v>
      </c>
      <c r="R167" s="1">
        <v>4</v>
      </c>
      <c r="S167" s="1">
        <v>71</v>
      </c>
      <c r="T167" s="1">
        <v>42</v>
      </c>
    </row>
    <row r="168" spans="1:20" x14ac:dyDescent="0.3">
      <c r="A168" s="43">
        <v>153</v>
      </c>
      <c r="B168" s="4"/>
      <c r="C168" s="6" t="s">
        <v>168</v>
      </c>
      <c r="D168" s="5"/>
      <c r="E168" s="5" t="s">
        <v>72</v>
      </c>
      <c r="F168" s="5" t="s">
        <v>50</v>
      </c>
      <c r="G168" s="5" t="s">
        <v>63</v>
      </c>
      <c r="H168" s="5" t="s">
        <v>51</v>
      </c>
      <c r="I168" s="5" t="s">
        <v>210</v>
      </c>
      <c r="J168" s="5" t="s">
        <v>58</v>
      </c>
      <c r="K168" s="5" t="s">
        <v>59</v>
      </c>
      <c r="L168" s="5" t="s">
        <v>53</v>
      </c>
      <c r="M168" s="5" t="s">
        <v>65</v>
      </c>
      <c r="N168" s="5" t="s">
        <v>55</v>
      </c>
      <c r="O168" s="5" t="s">
        <v>70</v>
      </c>
      <c r="P168" s="5" t="s">
        <v>71</v>
      </c>
      <c r="Q168" s="5" t="s">
        <v>209</v>
      </c>
      <c r="R168" s="1">
        <v>4</v>
      </c>
      <c r="S168" s="1">
        <v>72</v>
      </c>
      <c r="T168" s="1">
        <v>48</v>
      </c>
    </row>
    <row r="169" spans="1:20" x14ac:dyDescent="0.3">
      <c r="A169" s="43">
        <v>154</v>
      </c>
      <c r="B169" s="4"/>
      <c r="C169" s="6" t="s">
        <v>111</v>
      </c>
      <c r="D169" s="5"/>
      <c r="E169" s="5" t="s">
        <v>68</v>
      </c>
      <c r="F169" s="5" t="s">
        <v>50</v>
      </c>
      <c r="G169" s="5" t="s">
        <v>63</v>
      </c>
      <c r="H169" s="5" t="s">
        <v>51</v>
      </c>
      <c r="I169" s="5" t="s">
        <v>64</v>
      </c>
      <c r="J169" s="5" t="s">
        <v>58</v>
      </c>
      <c r="K169" s="5" t="s">
        <v>48</v>
      </c>
      <c r="L169" s="5" t="s">
        <v>53</v>
      </c>
      <c r="M169" s="5" t="s">
        <v>62</v>
      </c>
      <c r="N169" s="5" t="s">
        <v>74</v>
      </c>
      <c r="O169" s="5" t="s">
        <v>70</v>
      </c>
      <c r="P169" s="5" t="s">
        <v>71</v>
      </c>
      <c r="Q169" s="5" t="s">
        <v>208</v>
      </c>
      <c r="R169" s="1">
        <v>4</v>
      </c>
      <c r="S169" s="1">
        <v>66</v>
      </c>
      <c r="T169" s="1">
        <v>14</v>
      </c>
    </row>
    <row r="170" spans="1:20" x14ac:dyDescent="0.3">
      <c r="A170" s="43">
        <v>155</v>
      </c>
      <c r="B170" s="4"/>
      <c r="C170" s="6" t="s">
        <v>128</v>
      </c>
      <c r="D170" s="5"/>
      <c r="E170" s="5" t="s">
        <v>72</v>
      </c>
      <c r="F170" s="5" t="s">
        <v>56</v>
      </c>
      <c r="G170" s="5" t="s">
        <v>63</v>
      </c>
      <c r="H170" s="5" t="s">
        <v>51</v>
      </c>
      <c r="I170" s="5" t="s">
        <v>210</v>
      </c>
      <c r="J170" s="5" t="s">
        <v>69</v>
      </c>
      <c r="K170" s="5" t="s">
        <v>59</v>
      </c>
      <c r="L170" s="5" t="s">
        <v>53</v>
      </c>
      <c r="M170" s="5" t="s">
        <v>62</v>
      </c>
      <c r="N170" s="5" t="s">
        <v>74</v>
      </c>
      <c r="O170" s="5" t="s">
        <v>60</v>
      </c>
      <c r="P170" s="5" t="s">
        <v>71</v>
      </c>
      <c r="Q170" s="5" t="s">
        <v>209</v>
      </c>
      <c r="R170" s="1">
        <v>3</v>
      </c>
      <c r="S170" s="1">
        <v>63</v>
      </c>
      <c r="T170" s="1">
        <v>51</v>
      </c>
    </row>
    <row r="171" spans="1:20" ht="28.8" x14ac:dyDescent="0.3">
      <c r="A171" s="43">
        <v>156</v>
      </c>
      <c r="B171" s="4"/>
      <c r="C171" s="6" t="s">
        <v>28</v>
      </c>
      <c r="D171" s="5"/>
      <c r="E171" s="5" t="s">
        <v>72</v>
      </c>
      <c r="F171" s="5" t="s">
        <v>50</v>
      </c>
      <c r="G171" s="5" t="s">
        <v>63</v>
      </c>
      <c r="H171" s="5" t="s">
        <v>207</v>
      </c>
      <c r="I171" s="5" t="s">
        <v>210</v>
      </c>
      <c r="J171" s="5" t="s">
        <v>69</v>
      </c>
      <c r="K171" s="5" t="s">
        <v>59</v>
      </c>
      <c r="L171" s="5" t="s">
        <v>53</v>
      </c>
      <c r="M171" s="5" t="s">
        <v>65</v>
      </c>
      <c r="N171" s="5" t="s">
        <v>74</v>
      </c>
      <c r="O171" s="5" t="s">
        <v>70</v>
      </c>
      <c r="P171" s="5" t="s">
        <v>57</v>
      </c>
      <c r="Q171" s="5" t="s">
        <v>209</v>
      </c>
      <c r="R171" s="1">
        <v>3</v>
      </c>
      <c r="S171" s="1">
        <v>62</v>
      </c>
      <c r="T171" s="1">
        <v>53</v>
      </c>
    </row>
    <row r="172" spans="1:20" ht="28.8" x14ac:dyDescent="0.3">
      <c r="A172" s="43">
        <v>157</v>
      </c>
      <c r="B172" s="4"/>
      <c r="C172" s="6" t="s">
        <v>160</v>
      </c>
      <c r="D172" s="5"/>
      <c r="E172" s="5" t="s">
        <v>72</v>
      </c>
      <c r="F172" s="5" t="s">
        <v>56</v>
      </c>
      <c r="G172" s="5" t="s">
        <v>63</v>
      </c>
      <c r="H172" s="5" t="s">
        <v>51</v>
      </c>
      <c r="I172" s="5" t="s">
        <v>210</v>
      </c>
      <c r="J172" s="5" t="s">
        <v>69</v>
      </c>
      <c r="K172" s="5" t="s">
        <v>59</v>
      </c>
      <c r="L172" s="5" t="s">
        <v>53</v>
      </c>
      <c r="M172" s="5" t="s">
        <v>62</v>
      </c>
      <c r="N172" s="5" t="s">
        <v>74</v>
      </c>
      <c r="O172" s="5" t="s">
        <v>70</v>
      </c>
      <c r="P172" s="5" t="s">
        <v>57</v>
      </c>
      <c r="Q172" s="5" t="s">
        <v>209</v>
      </c>
      <c r="R172" s="1">
        <v>2</v>
      </c>
      <c r="S172" s="1">
        <v>43</v>
      </c>
      <c r="T172" s="1">
        <v>42</v>
      </c>
    </row>
    <row r="173" spans="1:20" ht="28.8" x14ac:dyDescent="0.3">
      <c r="A173" s="43">
        <v>158</v>
      </c>
      <c r="B173" s="4"/>
      <c r="C173" s="6" t="s">
        <v>170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1">
        <v>0</v>
      </c>
      <c r="S173" s="1">
        <v>52</v>
      </c>
      <c r="T173" s="1"/>
    </row>
    <row r="174" spans="1:20" x14ac:dyDescent="0.3">
      <c r="A174" s="43">
        <v>159</v>
      </c>
      <c r="B174" s="4"/>
      <c r="C174" s="6" t="s">
        <v>195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1">
        <v>0</v>
      </c>
      <c r="S174" s="1">
        <v>52</v>
      </c>
      <c r="T174" s="1"/>
    </row>
    <row r="175" spans="1:20" ht="28.8" x14ac:dyDescent="0.3">
      <c r="A175" s="43">
        <v>160</v>
      </c>
      <c r="B175" s="4"/>
      <c r="C175" s="6" t="s">
        <v>90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1">
        <v>0</v>
      </c>
      <c r="S175" s="1">
        <v>70</v>
      </c>
      <c r="T175" s="1"/>
    </row>
    <row r="176" spans="1:20" x14ac:dyDescent="0.3">
      <c r="A176" s="43">
        <v>161</v>
      </c>
      <c r="B176" s="4"/>
      <c r="C176" s="6" t="s">
        <v>131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1">
        <v>0</v>
      </c>
      <c r="S176" s="1">
        <v>51</v>
      </c>
      <c r="T176" s="1"/>
    </row>
    <row r="177" spans="1:20" x14ac:dyDescent="0.3">
      <c r="A177" s="43">
        <v>162</v>
      </c>
      <c r="B177" s="4"/>
      <c r="C177" s="6" t="s">
        <v>145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1">
        <v>0</v>
      </c>
      <c r="S177" s="1">
        <v>65</v>
      </c>
      <c r="T177" s="1"/>
    </row>
    <row r="178" spans="1:20" ht="28.8" x14ac:dyDescent="0.3">
      <c r="A178" s="43">
        <v>163</v>
      </c>
      <c r="B178" s="4"/>
      <c r="C178" s="6" t="s">
        <v>41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1">
        <v>0</v>
      </c>
      <c r="S178" s="1">
        <v>66</v>
      </c>
      <c r="T178" s="1"/>
    </row>
  </sheetData>
  <mergeCells count="4">
    <mergeCell ref="A9:A15"/>
    <mergeCell ref="B9:B15"/>
    <mergeCell ref="R9:R15"/>
    <mergeCell ref="S9:S15"/>
  </mergeCells>
  <conditionalFormatting sqref="Q2:Q3 Q7 E2:N3 E7:N7">
    <cfRule type="cellIs" dxfId="57" priority="19" operator="equal">
      <formula>"Y"</formula>
    </cfRule>
    <cfRule type="cellIs" dxfId="56" priority="20" operator="equal">
      <formula>"N"</formula>
    </cfRule>
  </conditionalFormatting>
  <conditionalFormatting sqref="S7">
    <cfRule type="cellIs" dxfId="55" priority="15" operator="equal">
      <formula>"Y"</formula>
    </cfRule>
    <cfRule type="cellIs" dxfId="54" priority="16" operator="equal">
      <formula>"N"</formula>
    </cfRule>
  </conditionalFormatting>
  <conditionalFormatting sqref="O4">
    <cfRule type="colorScale" priority="14">
      <colorScale>
        <cfvo type="min"/>
        <cfvo type="max"/>
        <color rgb="FFFF7128"/>
        <color rgb="FFFFEF9C"/>
      </colorScale>
    </cfRule>
  </conditionalFormatting>
  <conditionalFormatting sqref="O2:O3">
    <cfRule type="cellIs" dxfId="53" priority="12" operator="equal">
      <formula>"Y"</formula>
    </cfRule>
    <cfRule type="cellIs" dxfId="52" priority="13" operator="equal">
      <formula>"N"</formula>
    </cfRule>
  </conditionalFormatting>
  <conditionalFormatting sqref="O7">
    <cfRule type="cellIs" dxfId="51" priority="10" operator="equal">
      <formula>"Y"</formula>
    </cfRule>
    <cfRule type="cellIs" dxfId="50" priority="11" operator="equal">
      <formula>"N"</formula>
    </cfRule>
  </conditionalFormatting>
  <conditionalFormatting sqref="P4">
    <cfRule type="colorScale" priority="9">
      <colorScale>
        <cfvo type="min"/>
        <cfvo type="max"/>
        <color rgb="FFFF7128"/>
        <color rgb="FFFFEF9C"/>
      </colorScale>
    </cfRule>
  </conditionalFormatting>
  <conditionalFormatting sqref="E4:N4 Q4">
    <cfRule type="colorScale" priority="21">
      <colorScale>
        <cfvo type="min"/>
        <cfvo type="max"/>
        <color rgb="FFFF7128"/>
        <color rgb="FFFFEF9C"/>
      </colorScale>
    </cfRule>
  </conditionalFormatting>
  <conditionalFormatting sqref="P7">
    <cfRule type="cellIs" dxfId="49" priority="3" operator="equal">
      <formula>"Y"</formula>
    </cfRule>
    <cfRule type="cellIs" dxfId="48" priority="4" operator="equal">
      <formula>"N"</formula>
    </cfRule>
  </conditionalFormatting>
  <conditionalFormatting sqref="P2">
    <cfRule type="cellIs" dxfId="47" priority="1" operator="equal">
      <formula>"Y"</formula>
    </cfRule>
    <cfRule type="cellIs" dxfId="46" priority="2" operator="equal">
      <formula>"N"</formula>
    </cfRule>
  </conditionalFormatting>
  <hyperlinks>
    <hyperlink ref="C16" r:id="rId1" display="https://poolhost.com/profootball/playerstats/1705029"/>
    <hyperlink ref="C17" r:id="rId2" display="https://poolhost.com/profootball/playerstats/1665810"/>
    <hyperlink ref="C18" r:id="rId3" display="https://poolhost.com/profootball/playerstats/1667937"/>
    <hyperlink ref="C19" r:id="rId4" display="https://poolhost.com/profootball/playerstats/1654623"/>
    <hyperlink ref="C20" r:id="rId5" display="https://poolhost.com/profootball/playerstats/1683531"/>
    <hyperlink ref="C21" r:id="rId6" display="https://poolhost.com/profootball/playerstats/1724223"/>
    <hyperlink ref="C22" r:id="rId7" display="https://poolhost.com/profootball/playerstats/1728787"/>
    <hyperlink ref="C23" r:id="rId8" display="https://poolhost.com/profootball/playerstats/1708805"/>
    <hyperlink ref="C24" r:id="rId9" display="https://poolhost.com/profootball/playerstats/1665614"/>
    <hyperlink ref="C25" r:id="rId10" display="https://poolhost.com/profootball/playerstats/1685256"/>
    <hyperlink ref="C26" r:id="rId11" display="https://poolhost.com/profootball/playerstats/1678377"/>
    <hyperlink ref="C27" r:id="rId12" display="https://poolhost.com/profootball/playerstats/1657024"/>
    <hyperlink ref="C28" r:id="rId13" display="https://poolhost.com/profootball/playerstats/1654791"/>
    <hyperlink ref="C29" r:id="rId14" display="https://poolhost.com/profootball/playerstats/1684491"/>
    <hyperlink ref="C30" r:id="rId15" display="https://poolhost.com/profootball/playerstats/1679667"/>
    <hyperlink ref="C31" r:id="rId16" display="https://poolhost.com/profootball/playerstats/1722206"/>
    <hyperlink ref="C32" r:id="rId17" display="https://poolhost.com/profootball/playerstats/1694354"/>
    <hyperlink ref="C33" r:id="rId18" display="https://poolhost.com/profootball/playerstats/1741250"/>
    <hyperlink ref="C34" r:id="rId19" display="https://poolhost.com/profootball/playerstats/1731755"/>
    <hyperlink ref="C35" r:id="rId20" display="https://poolhost.com/profootball/playerstats/1666092"/>
    <hyperlink ref="C36" r:id="rId21" display="https://poolhost.com/profootball/playerstats/1702170"/>
    <hyperlink ref="C37" r:id="rId22" display="https://poolhost.com/profootball/playerstats/1728782"/>
    <hyperlink ref="C38" r:id="rId23" display="https://poolhost.com/profootball/playerstats/1657103"/>
    <hyperlink ref="C39" r:id="rId24" display="https://poolhost.com/profootball/playerstats/1730676"/>
    <hyperlink ref="C40" r:id="rId25" display="https://poolhost.com/profootball/playerstats/1705049"/>
    <hyperlink ref="C41" r:id="rId26" display="https://poolhost.com/profootball/playerstats/1682884"/>
    <hyperlink ref="C42" r:id="rId27" display="https://poolhost.com/profootball/playerstats/1729314"/>
    <hyperlink ref="C43" r:id="rId28" display="https://poolhost.com/profootball/playerstats/1683389"/>
    <hyperlink ref="C44" r:id="rId29" display="https://poolhost.com/profootball/playerstats/1667866"/>
    <hyperlink ref="C45" r:id="rId30" display="https://poolhost.com/profootball/playerstats/1732788"/>
    <hyperlink ref="C46" r:id="rId31" display="https://poolhost.com/profootball/playerstats/1687892"/>
    <hyperlink ref="C47" r:id="rId32" display="https://poolhost.com/profootball/playerstats/1674022"/>
    <hyperlink ref="C48" r:id="rId33" display="https://poolhost.com/profootball/playerstats/1654649"/>
    <hyperlink ref="C49" r:id="rId34" display="https://poolhost.com/profootball/playerstats/1680041"/>
    <hyperlink ref="C50" r:id="rId35" display="https://poolhost.com/profootball/playerstats/1673248"/>
    <hyperlink ref="C51" r:id="rId36" display="https://poolhost.com/profootball/playerstats/1672298"/>
    <hyperlink ref="C52" r:id="rId37" display="https://poolhost.com/profootball/playerstats/1703435"/>
    <hyperlink ref="C53" r:id="rId38" display="https://poolhost.com/profootball/playerstats/1732411"/>
    <hyperlink ref="C54" r:id="rId39" display="https://poolhost.com/profootball/playerstats/1696717"/>
    <hyperlink ref="C55" r:id="rId40" display="https://poolhost.com/profootball/playerstats/1701354"/>
    <hyperlink ref="C56" r:id="rId41" display="https://poolhost.com/profootball/playerstats/1695716"/>
    <hyperlink ref="C57" r:id="rId42" display="https://poolhost.com/profootball/playerstats/1669212"/>
    <hyperlink ref="C58" r:id="rId43" display="https://poolhost.com/profootball/playerstats/1704294"/>
    <hyperlink ref="C59" r:id="rId44" display="https://poolhost.com/profootball/playerstats/1669305"/>
    <hyperlink ref="C60" r:id="rId45" display="https://poolhost.com/profootball/playerstats/1679156"/>
    <hyperlink ref="C61" r:id="rId46" display="https://poolhost.com/profootball/playerstats/1735486"/>
    <hyperlink ref="C62" r:id="rId47" display="https://poolhost.com/profootball/playerstats/1732996"/>
    <hyperlink ref="C63" r:id="rId48" display="https://poolhost.com/profootball/playerstats/1654485"/>
    <hyperlink ref="C64" r:id="rId49" display="https://poolhost.com/profootball/playerstats/1654448"/>
    <hyperlink ref="C65" r:id="rId50" display="https://poolhost.com/profootball/playerstats/1731690"/>
    <hyperlink ref="C66" r:id="rId51" display="https://poolhost.com/profootball/playerstats/1723980"/>
    <hyperlink ref="C67" r:id="rId52" display="https://poolhost.com/profootball/playerstats/1733218"/>
    <hyperlink ref="C68" r:id="rId53" display="https://poolhost.com/profootball/playerstats/1668628"/>
    <hyperlink ref="C69" r:id="rId54" display="https://poolhost.com/profootball/playerstats/1721401"/>
    <hyperlink ref="C70" r:id="rId55" display="https://poolhost.com/profootball/playerstats/1732254"/>
    <hyperlink ref="C71" r:id="rId56" display="https://poolhost.com/profootball/playerstats/1679300"/>
    <hyperlink ref="C72" r:id="rId57" display="https://poolhost.com/profootball/playerstats/1661711"/>
    <hyperlink ref="C73" r:id="rId58" display="https://poolhost.com/profootball/playerstats/1678632"/>
    <hyperlink ref="C74" r:id="rId59" display="https://poolhost.com/profootball/playerstats/1682523"/>
    <hyperlink ref="C75" r:id="rId60" display="https://poolhost.com/profootball/playerstats/1673234"/>
    <hyperlink ref="C76" r:id="rId61" display="https://poolhost.com/profootball/playerstats/1708505"/>
    <hyperlink ref="C77" r:id="rId62" display="https://poolhost.com/profootball/playerstats/1707988"/>
    <hyperlink ref="C78" r:id="rId63" display="https://poolhost.com/profootball/playerstats/1663101"/>
    <hyperlink ref="C79" r:id="rId64" display="https://poolhost.com/profootball/playerstats/1659558"/>
    <hyperlink ref="C80" r:id="rId65" display="https://poolhost.com/profootball/playerstats/1684290"/>
    <hyperlink ref="C81" r:id="rId66" display="https://poolhost.com/profootball/playerstats/1730347"/>
    <hyperlink ref="C82" r:id="rId67" display="https://poolhost.com/profootball/playerstats/1726326"/>
    <hyperlink ref="C83" r:id="rId68" display="https://poolhost.com/profootball/playerstats/1668461"/>
    <hyperlink ref="C84" r:id="rId69" display="https://poolhost.com/profootball/playerstats/1727170"/>
    <hyperlink ref="C85" r:id="rId70" display="https://poolhost.com/profootball/playerstats/1676654"/>
    <hyperlink ref="C86" r:id="rId71" display="https://poolhost.com/profootball/playerstats/1657214"/>
    <hyperlink ref="C87" r:id="rId72" display="https://poolhost.com/profootball/playerstats/1709552"/>
    <hyperlink ref="C88" r:id="rId73" display="https://poolhost.com/profootball/playerstats/1678667"/>
    <hyperlink ref="C89" r:id="rId74" display="https://poolhost.com/profootball/playerstats/1732953"/>
    <hyperlink ref="C90" r:id="rId75" display="https://poolhost.com/profootball/playerstats/1699810"/>
    <hyperlink ref="C91" r:id="rId76" display="https://poolhost.com/profootball/playerstats/1661981"/>
    <hyperlink ref="C92" r:id="rId77" display="https://poolhost.com/profootball/playerstats/1649126"/>
    <hyperlink ref="C93" r:id="rId78" display="https://poolhost.com/profootball/playerstats/1685066"/>
    <hyperlink ref="C94" r:id="rId79" display="https://poolhost.com/profootball/playerstats/1665910"/>
    <hyperlink ref="C95" r:id="rId80" display="https://poolhost.com/profootball/playerstats/1699660"/>
    <hyperlink ref="C96" r:id="rId81" display="https://poolhost.com/profootball/playerstats/1679009"/>
    <hyperlink ref="C97" r:id="rId82" display="https://poolhost.com/profootball/playerstats/1691673"/>
    <hyperlink ref="C98" r:id="rId83" display="https://poolhost.com/profootball/playerstats/1705249"/>
    <hyperlink ref="C99" r:id="rId84" display="https://poolhost.com/profootball/playerstats/1681958"/>
    <hyperlink ref="C100" r:id="rId85" display="https://poolhost.com/profootball/playerstats/1705346"/>
    <hyperlink ref="C101" r:id="rId86" display="https://poolhost.com/profootball/playerstats/1727817"/>
    <hyperlink ref="C102" r:id="rId87" display="https://poolhost.com/profootball/playerstats/1654603"/>
    <hyperlink ref="C103" r:id="rId88" display="https://poolhost.com/profootball/playerstats/1677049"/>
    <hyperlink ref="C104" r:id="rId89" display="https://poolhost.com/profootball/playerstats/1654500"/>
    <hyperlink ref="C105" r:id="rId90" display="https://poolhost.com/profootball/playerstats/1695492"/>
    <hyperlink ref="C106" r:id="rId91" display="https://poolhost.com/profootball/playerstats/1671748"/>
    <hyperlink ref="C107" r:id="rId92" display="https://poolhost.com/profootball/playerstats/1701053"/>
    <hyperlink ref="C108" r:id="rId93" display="https://poolhost.com/profootball/playerstats/1703401"/>
    <hyperlink ref="C109" r:id="rId94" display="https://poolhost.com/profootball/playerstats/1686727"/>
    <hyperlink ref="C110" r:id="rId95" display="https://poolhost.com/profootball/playerstats/1729491"/>
    <hyperlink ref="C111" r:id="rId96" display="https://poolhost.com/profootball/playerstats/1702449"/>
    <hyperlink ref="C112" r:id="rId97" display="https://poolhost.com/profootball/playerstats/1656464"/>
    <hyperlink ref="C113" r:id="rId98" display="https://poolhost.com/profootball/playerstats/1655488"/>
    <hyperlink ref="C114" r:id="rId99" display="https://poolhost.com/profootball/playerstats/1699295"/>
    <hyperlink ref="C115" r:id="rId100" display="https://poolhost.com/profootball/playerstats/1726632"/>
    <hyperlink ref="C116" r:id="rId101" display="https://poolhost.com/profootball/playerstats/1729617"/>
    <hyperlink ref="C117" r:id="rId102" display="https://poolhost.com/profootball/playerstats/1668687"/>
    <hyperlink ref="C118" r:id="rId103" display="https://poolhost.com/profootball/playerstats/1670484"/>
    <hyperlink ref="C119" r:id="rId104" display="https://poolhost.com/profootball/playerstats/1694017"/>
    <hyperlink ref="C120" r:id="rId105" display="https://poolhost.com/profootball/playerstats/1660811"/>
    <hyperlink ref="C121" r:id="rId106" display="https://poolhost.com/profootball/playerstats/1674086"/>
    <hyperlink ref="C122" r:id="rId107" display="https://poolhost.com/profootball/playerstats/1673222"/>
    <hyperlink ref="C123" r:id="rId108" display="https://poolhost.com/profootball/playerstats/1654484"/>
    <hyperlink ref="C124" r:id="rId109" display="https://poolhost.com/profootball/playerstats/1657583"/>
    <hyperlink ref="C125" r:id="rId110" display="https://poolhost.com/profootball/playerstats/1708448"/>
    <hyperlink ref="C126" r:id="rId111" display="https://poolhost.com/profootball/playerstats/1731780"/>
    <hyperlink ref="C127" r:id="rId112" display="https://poolhost.com/profootball/playerstats/1705272"/>
    <hyperlink ref="C128" r:id="rId113" display="https://poolhost.com/profootball/playerstats/1681897"/>
    <hyperlink ref="C129" r:id="rId114" display="https://poolhost.com/profootball/playerstats/1721307"/>
    <hyperlink ref="C130" r:id="rId115" display="https://poolhost.com/profootball/playerstats/1658459"/>
    <hyperlink ref="C131" r:id="rId116" display="https://poolhost.com/profootball/playerstats/1732290"/>
    <hyperlink ref="C132" r:id="rId117" display="https://poolhost.com/profootball/playerstats/1729262"/>
    <hyperlink ref="C133" r:id="rId118" display="https://poolhost.com/profootball/playerstats/1697912"/>
    <hyperlink ref="C134" r:id="rId119" display="https://poolhost.com/profootball/playerstats/1715552"/>
    <hyperlink ref="C135" r:id="rId120" display="https://poolhost.com/profootball/playerstats/1686915"/>
    <hyperlink ref="C136" r:id="rId121" display="https://poolhost.com/profootball/playerstats/1654634"/>
    <hyperlink ref="C137" r:id="rId122" display="https://poolhost.com/profootball/playerstats/1673761"/>
    <hyperlink ref="C138" r:id="rId123" display="https://poolhost.com/profootball/playerstats/1677370"/>
    <hyperlink ref="C139" r:id="rId124" display="https://poolhost.com/profootball/playerstats/1711169"/>
    <hyperlink ref="C140" r:id="rId125" display="https://poolhost.com/profootball/playerstats/1665979"/>
    <hyperlink ref="C141" r:id="rId126" display="https://poolhost.com/profootball/playerstats/1672167"/>
    <hyperlink ref="C142" r:id="rId127" display="https://poolhost.com/profootball/playerstats/1659875"/>
    <hyperlink ref="C143" r:id="rId128" display="https://poolhost.com/profootball/playerstats/1708312"/>
    <hyperlink ref="C144" r:id="rId129" display="https://poolhost.com/profootball/playerstats/1681946"/>
    <hyperlink ref="C145" r:id="rId130" display="https://poolhost.com/profootball/playerstats/1671837"/>
    <hyperlink ref="C146" r:id="rId131" display="https://poolhost.com/profootball/playerstats/1657801"/>
    <hyperlink ref="C147" r:id="rId132" display="https://poolhost.com/profootball/playerstats/1712780"/>
    <hyperlink ref="C148" r:id="rId133" display="https://poolhost.com/profootball/playerstats/1722286"/>
    <hyperlink ref="C149" r:id="rId134" display="https://poolhost.com/profootball/playerstats/1665631"/>
    <hyperlink ref="C150" r:id="rId135" display="https://poolhost.com/profootball/playerstats/1725535"/>
    <hyperlink ref="C151" r:id="rId136" display="https://poolhost.com/profootball/playerstats/1676125"/>
    <hyperlink ref="C152" r:id="rId137" display="https://poolhost.com/profootball/playerstats/1666027"/>
    <hyperlink ref="C153" r:id="rId138" display="https://poolhost.com/profootball/playerstats/1684266"/>
    <hyperlink ref="C154" r:id="rId139" display="https://poolhost.com/profootball/playerstats/1670226"/>
    <hyperlink ref="C155" r:id="rId140" display="https://poolhost.com/profootball/playerstats/1709781"/>
    <hyperlink ref="C156" r:id="rId141" display="https://poolhost.com/profootball/playerstats/1730270"/>
    <hyperlink ref="C157" r:id="rId142" display="https://poolhost.com/profootball/playerstats/1667376"/>
    <hyperlink ref="C158" r:id="rId143" display="https://poolhost.com/profootball/playerstats/1666473"/>
    <hyperlink ref="C159" r:id="rId144" display="https://poolhost.com/profootball/playerstats/1659846"/>
    <hyperlink ref="C160" r:id="rId145" display="https://poolhost.com/profootball/playerstats/1668682"/>
    <hyperlink ref="C161" r:id="rId146" display="https://poolhost.com/profootball/playerstats/1655447"/>
    <hyperlink ref="C162" r:id="rId147" display="https://poolhost.com/profootball/playerstats/1649341"/>
    <hyperlink ref="C163" r:id="rId148" display="https://poolhost.com/profootball/playerstats/1733415"/>
    <hyperlink ref="C164" r:id="rId149" display="https://poolhost.com/profootball/playerstats/1722233"/>
    <hyperlink ref="C165" r:id="rId150" display="https://poolhost.com/profootball/playerstats/1734363"/>
    <hyperlink ref="C166" r:id="rId151" display="https://poolhost.com/profootball/playerstats/1662306"/>
    <hyperlink ref="C167" r:id="rId152" display="https://poolhost.com/profootball/playerstats/1670025"/>
    <hyperlink ref="C168" r:id="rId153" display="https://poolhost.com/profootball/playerstats/1666034"/>
    <hyperlink ref="C169" r:id="rId154" display="https://poolhost.com/profootball/playerstats/1666449"/>
    <hyperlink ref="C170" r:id="rId155" display="https://poolhost.com/profootball/playerstats/1669323"/>
    <hyperlink ref="C171" r:id="rId156" display="https://poolhost.com/profootball/playerstats/1662606"/>
    <hyperlink ref="C172" r:id="rId157" display="https://poolhost.com/profootball/playerstats/1657241"/>
    <hyperlink ref="C173" r:id="rId158" display="https://poolhost.com/profootball/playerstats/1704026"/>
    <hyperlink ref="C174" r:id="rId159" display="https://poolhost.com/profootball/playerstats/1663641"/>
    <hyperlink ref="C175" r:id="rId160" display="https://poolhost.com/profootball/playerstats/1732851"/>
    <hyperlink ref="C176" r:id="rId161" display="https://poolhost.com/profootball/playerstats/1734172"/>
    <hyperlink ref="C177" r:id="rId162" display="https://poolhost.com/profootball/playerstats/1700157"/>
    <hyperlink ref="C178" r:id="rId163" display="https://poolhost.com/profootball/playerstats/170015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8"/>
  <sheetViews>
    <sheetView zoomScaleNormal="100" workbookViewId="0">
      <selection activeCell="V1" sqref="V1:V14"/>
    </sheetView>
  </sheetViews>
  <sheetFormatPr defaultRowHeight="14.4" x14ac:dyDescent="0.3"/>
  <sheetData>
    <row r="1" spans="1:26" ht="15" thickBot="1" x14ac:dyDescent="0.35">
      <c r="A1" s="2" t="s">
        <v>0</v>
      </c>
      <c r="D1">
        <v>2</v>
      </c>
      <c r="E1">
        <f>D1+1</f>
        <v>3</v>
      </c>
      <c r="F1">
        <f t="shared" ref="F1:S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 t="s">
        <v>226</v>
      </c>
      <c r="U1" s="16">
        <v>0</v>
      </c>
      <c r="V1" s="11">
        <f>COUNTIF(R$16:R$200,U1)</f>
        <v>7</v>
      </c>
      <c r="W1" s="20">
        <f t="shared" ref="W1:W14" si="1">V1/SUM(V$1:V$13)</f>
        <v>4.2944785276073622E-2</v>
      </c>
      <c r="X1" s="33"/>
      <c r="Y1" t="s">
        <v>227</v>
      </c>
    </row>
    <row r="2" spans="1:26" ht="15" thickBot="1" x14ac:dyDescent="0.35">
      <c r="A2" s="2" t="s">
        <v>1</v>
      </c>
      <c r="C2" t="s">
        <v>204</v>
      </c>
      <c r="E2" s="24" t="str">
        <f t="shared" ref="E2:P3" si="2">IF(VLOOKUP($C2,$C$16:$AA$192,E$1,FALSE)=E$8,"Y","N")</f>
        <v>Y</v>
      </c>
      <c r="F2" s="25" t="str">
        <f t="shared" si="2"/>
        <v>Y</v>
      </c>
      <c r="G2" s="25" t="str">
        <f t="shared" si="2"/>
        <v>Y</v>
      </c>
      <c r="H2" s="25" t="str">
        <f t="shared" si="2"/>
        <v>N</v>
      </c>
      <c r="I2" s="25" t="str">
        <f t="shared" si="2"/>
        <v>Y</v>
      </c>
      <c r="J2" s="25" t="str">
        <f t="shared" si="2"/>
        <v>N</v>
      </c>
      <c r="K2" s="25" t="str">
        <f t="shared" si="2"/>
        <v>N</v>
      </c>
      <c r="L2" s="25" t="str">
        <f t="shared" si="2"/>
        <v>Y</v>
      </c>
      <c r="M2" s="25" t="str">
        <f t="shared" si="2"/>
        <v>Y</v>
      </c>
      <c r="N2" s="25" t="str">
        <f t="shared" si="2"/>
        <v>N</v>
      </c>
      <c r="O2" s="25" t="str">
        <f t="shared" si="2"/>
        <v>Y</v>
      </c>
      <c r="P2" s="25" t="str">
        <f t="shared" si="2"/>
        <v>Y</v>
      </c>
      <c r="Q2" s="25" t="str">
        <f>IF(VLOOKUP($C2,$C$16:$AA$192,Q$1,FALSE)=Q$8,"Y","N")</f>
        <v>Y</v>
      </c>
      <c r="R2" s="19">
        <f>VLOOKUP($C2,$C$16:$AA$192,R$1,FALSE)</f>
        <v>9</v>
      </c>
      <c r="S2" s="19">
        <f>VLOOKUP($C2,$C$16:$AA$192,S$1,FALSE)</f>
        <v>89</v>
      </c>
      <c r="T2" s="44" t="str">
        <f>IF(COUNTIF($E2:Q2,"Y")=R2,"","check")</f>
        <v/>
      </c>
      <c r="U2" s="23">
        <f>U1+1</f>
        <v>1</v>
      </c>
      <c r="V2" s="12">
        <f t="shared" ref="V2:V14" si="3">COUNTIF(R$16:R$200,U2)</f>
        <v>0</v>
      </c>
      <c r="W2" s="21">
        <f t="shared" si="1"/>
        <v>0</v>
      </c>
      <c r="X2" s="33"/>
      <c r="Y2">
        <v>0</v>
      </c>
      <c r="Z2">
        <f>COUNTIF(T$16:T$179,Y2)</f>
        <v>0</v>
      </c>
    </row>
    <row r="3" spans="1:26" ht="15" thickBot="1" x14ac:dyDescent="0.35">
      <c r="A3" s="2" t="s">
        <v>2</v>
      </c>
      <c r="C3" t="s">
        <v>162</v>
      </c>
      <c r="E3" s="13" t="str">
        <f t="shared" si="2"/>
        <v>Y</v>
      </c>
      <c r="F3" s="14" t="str">
        <f t="shared" si="2"/>
        <v>N</v>
      </c>
      <c r="G3" s="14" t="str">
        <f t="shared" si="2"/>
        <v>N</v>
      </c>
      <c r="H3" s="14" t="str">
        <f t="shared" si="2"/>
        <v>Y</v>
      </c>
      <c r="I3" s="14" t="str">
        <f t="shared" si="2"/>
        <v>Y</v>
      </c>
      <c r="J3" s="14" t="str">
        <f t="shared" si="2"/>
        <v>Y</v>
      </c>
      <c r="K3" s="14" t="str">
        <f t="shared" si="2"/>
        <v>Y</v>
      </c>
      <c r="L3" s="14" t="str">
        <f t="shared" si="2"/>
        <v>Y</v>
      </c>
      <c r="M3" s="14" t="str">
        <f t="shared" si="2"/>
        <v>Y</v>
      </c>
      <c r="N3" s="14" t="str">
        <f t="shared" si="2"/>
        <v>Y</v>
      </c>
      <c r="O3" s="14" t="str">
        <f t="shared" si="2"/>
        <v>N</v>
      </c>
      <c r="P3" s="14" t="str">
        <f t="shared" si="2"/>
        <v>Y</v>
      </c>
      <c r="Q3" s="14" t="str">
        <f>IF(VLOOKUP($C3,$C$16:$AA$192,Q$1,FALSE)=Q$8,"Y","N")</f>
        <v>N</v>
      </c>
      <c r="R3" s="18">
        <f>VLOOKUP($C3,$C$16:$AA$192,R$1,FALSE)</f>
        <v>9</v>
      </c>
      <c r="S3" s="18">
        <f>VLOOKUP($C3,$C$16:$AA$192,S$1,FALSE)</f>
        <v>82</v>
      </c>
      <c r="T3" s="44" t="str">
        <f>IF(COUNTIF($E3:Q3,"Y")=R3,"","check")</f>
        <v/>
      </c>
      <c r="U3" s="23">
        <f t="shared" ref="U3:U14" si="4">U2+1</f>
        <v>2</v>
      </c>
      <c r="V3" s="12">
        <f t="shared" si="3"/>
        <v>1</v>
      </c>
      <c r="W3" s="21">
        <f t="shared" si="1"/>
        <v>6.1349693251533744E-3</v>
      </c>
      <c r="X3" s="33"/>
      <c r="Y3">
        <v>1</v>
      </c>
      <c r="Z3">
        <f t="shared" ref="Z3:Z66" si="5">COUNTIF(T$16:T$179,Y3)</f>
        <v>0</v>
      </c>
    </row>
    <row r="4" spans="1:26" x14ac:dyDescent="0.3">
      <c r="A4" s="2" t="s">
        <v>3</v>
      </c>
      <c r="C4" t="s">
        <v>205</v>
      </c>
      <c r="E4" s="9">
        <f>E5/SUM(E5:E6)</f>
        <v>0.37179487179487181</v>
      </c>
      <c r="F4" s="9">
        <f t="shared" ref="F4:Q4" si="6">F5/SUM(F5:F6)</f>
        <v>0.76282051282051277</v>
      </c>
      <c r="G4" s="9">
        <f t="shared" si="6"/>
        <v>0.61538461538461542</v>
      </c>
      <c r="H4" s="9">
        <f t="shared" si="6"/>
        <v>0.52564102564102566</v>
      </c>
      <c r="I4" s="9">
        <f t="shared" si="6"/>
        <v>0.51923076923076927</v>
      </c>
      <c r="J4" s="9">
        <f t="shared" si="6"/>
        <v>0.47435897435897434</v>
      </c>
      <c r="K4" s="9">
        <f t="shared" si="6"/>
        <v>0.25</v>
      </c>
      <c r="L4" s="9">
        <f t="shared" si="6"/>
        <v>0.5641025641025641</v>
      </c>
      <c r="M4" s="9">
        <f t="shared" si="6"/>
        <v>0.52564102564102566</v>
      </c>
      <c r="N4" s="9">
        <f t="shared" si="6"/>
        <v>0.69230769230769229</v>
      </c>
      <c r="O4" s="9">
        <f t="shared" si="6"/>
        <v>0.52564102564102566</v>
      </c>
      <c r="P4" s="9">
        <f t="shared" si="6"/>
        <v>0.41666666666666669</v>
      </c>
      <c r="Q4" s="9">
        <f t="shared" si="6"/>
        <v>0.28846153846153844</v>
      </c>
      <c r="R4" s="10" t="s">
        <v>217</v>
      </c>
      <c r="S4" s="10" t="s">
        <v>218</v>
      </c>
      <c r="U4" s="23">
        <f t="shared" si="4"/>
        <v>3</v>
      </c>
      <c r="V4" s="12">
        <f t="shared" si="3"/>
        <v>3</v>
      </c>
      <c r="W4" s="21">
        <f t="shared" si="1"/>
        <v>1.8404907975460124E-2</v>
      </c>
      <c r="X4" s="33"/>
      <c r="Y4">
        <v>2</v>
      </c>
      <c r="Z4">
        <f t="shared" si="5"/>
        <v>0</v>
      </c>
    </row>
    <row r="5" spans="1:26" x14ac:dyDescent="0.3">
      <c r="A5" s="2" t="s">
        <v>0</v>
      </c>
      <c r="C5" t="s">
        <v>202</v>
      </c>
      <c r="D5">
        <f t="shared" ref="D5:Q5" si="7">COUNTIF(D$16:D$197,D10)</f>
        <v>0</v>
      </c>
      <c r="E5">
        <f t="shared" si="7"/>
        <v>58</v>
      </c>
      <c r="F5">
        <f t="shared" si="7"/>
        <v>119</v>
      </c>
      <c r="G5">
        <f t="shared" si="7"/>
        <v>96</v>
      </c>
      <c r="H5">
        <f t="shared" si="7"/>
        <v>82</v>
      </c>
      <c r="I5">
        <f t="shared" si="7"/>
        <v>81</v>
      </c>
      <c r="J5">
        <f t="shared" si="7"/>
        <v>74</v>
      </c>
      <c r="K5">
        <f t="shared" si="7"/>
        <v>39</v>
      </c>
      <c r="L5">
        <f t="shared" si="7"/>
        <v>88</v>
      </c>
      <c r="M5">
        <f t="shared" si="7"/>
        <v>82</v>
      </c>
      <c r="N5">
        <f t="shared" si="7"/>
        <v>108</v>
      </c>
      <c r="O5">
        <f t="shared" si="7"/>
        <v>82</v>
      </c>
      <c r="P5">
        <f t="shared" si="7"/>
        <v>65</v>
      </c>
      <c r="Q5">
        <f t="shared" si="7"/>
        <v>45</v>
      </c>
      <c r="U5" s="23">
        <f t="shared" si="4"/>
        <v>4</v>
      </c>
      <c r="V5" s="12">
        <f t="shared" si="3"/>
        <v>10</v>
      </c>
      <c r="W5" s="21">
        <f t="shared" si="1"/>
        <v>6.1349693251533742E-2</v>
      </c>
      <c r="X5" s="33"/>
      <c r="Y5">
        <v>3</v>
      </c>
      <c r="Z5">
        <f t="shared" si="5"/>
        <v>0</v>
      </c>
    </row>
    <row r="6" spans="1:26" ht="15" thickBot="1" x14ac:dyDescent="0.35">
      <c r="A6" s="2" t="s">
        <v>4</v>
      </c>
      <c r="C6" t="s">
        <v>203</v>
      </c>
      <c r="D6">
        <f t="shared" ref="D6:Q6" si="8">COUNTIF(D$16:D$197,D12)</f>
        <v>0</v>
      </c>
      <c r="E6">
        <f t="shared" si="8"/>
        <v>98</v>
      </c>
      <c r="F6">
        <f t="shared" si="8"/>
        <v>37</v>
      </c>
      <c r="G6">
        <f t="shared" si="8"/>
        <v>60</v>
      </c>
      <c r="H6">
        <f t="shared" si="8"/>
        <v>74</v>
      </c>
      <c r="I6">
        <f t="shared" si="8"/>
        <v>75</v>
      </c>
      <c r="J6">
        <f t="shared" si="8"/>
        <v>82</v>
      </c>
      <c r="K6">
        <f t="shared" si="8"/>
        <v>117</v>
      </c>
      <c r="L6">
        <f t="shared" si="8"/>
        <v>68</v>
      </c>
      <c r="M6">
        <f t="shared" si="8"/>
        <v>74</v>
      </c>
      <c r="N6">
        <f t="shared" si="8"/>
        <v>48</v>
      </c>
      <c r="O6">
        <f t="shared" si="8"/>
        <v>74</v>
      </c>
      <c r="P6">
        <f t="shared" si="8"/>
        <v>91</v>
      </c>
      <c r="Q6">
        <f t="shared" si="8"/>
        <v>111</v>
      </c>
      <c r="U6" s="23">
        <f t="shared" si="4"/>
        <v>5</v>
      </c>
      <c r="V6" s="12">
        <f t="shared" si="3"/>
        <v>21</v>
      </c>
      <c r="W6" s="21">
        <f t="shared" si="1"/>
        <v>0.12883435582822086</v>
      </c>
      <c r="X6" s="33"/>
      <c r="Y6">
        <f>Y5+1</f>
        <v>4</v>
      </c>
      <c r="Z6">
        <f t="shared" si="5"/>
        <v>0</v>
      </c>
    </row>
    <row r="7" spans="1:26" ht="15" thickBot="1" x14ac:dyDescent="0.35">
      <c r="A7" s="2"/>
      <c r="C7" t="s">
        <v>213</v>
      </c>
      <c r="E7" s="28" t="str">
        <f>IF(AND(E10=E8,E4&gt;0.5),"Y",IF(AND(E10=E8,E4&lt;0.5),"N",IF(E4&gt;0.5,"Y","N")))</f>
        <v>N</v>
      </c>
      <c r="F7" s="11" t="str">
        <f>IF(AND(F10=F8,F4&gt;0.5),"Y",IF(AND(F10=F8,F4&lt;0.5),"N",IF(F4&gt;0.5,"Y","N")))</f>
        <v>Y</v>
      </c>
      <c r="G7" s="11" t="str">
        <f t="shared" ref="G7:Q7" si="9">IF(AND(G10=G8,G4&gt;0.5),"Y",IF(AND(G10=G8,G4&lt;0.5),"N",IF(G4&lt;0.5,"Y","N")))</f>
        <v>Y</v>
      </c>
      <c r="H7" s="11" t="str">
        <f t="shared" si="9"/>
        <v>N</v>
      </c>
      <c r="I7" s="11" t="str">
        <f t="shared" si="9"/>
        <v>Y</v>
      </c>
      <c r="J7" s="11" t="str">
        <f t="shared" si="9"/>
        <v>N</v>
      </c>
      <c r="K7" s="11" t="str">
        <f t="shared" si="9"/>
        <v>Y</v>
      </c>
      <c r="L7" s="11" t="str">
        <f t="shared" si="9"/>
        <v>N</v>
      </c>
      <c r="M7" s="11" t="str">
        <f t="shared" si="9"/>
        <v>Y</v>
      </c>
      <c r="N7" s="11" t="str">
        <f t="shared" si="9"/>
        <v>N</v>
      </c>
      <c r="O7" s="11" t="str">
        <f t="shared" si="9"/>
        <v>Y</v>
      </c>
      <c r="P7" s="11" t="str">
        <f t="shared" si="9"/>
        <v>N</v>
      </c>
      <c r="Q7" s="29" t="str">
        <f t="shared" si="9"/>
        <v>Y</v>
      </c>
      <c r="R7" s="37" t="s">
        <v>220</v>
      </c>
      <c r="S7" s="38">
        <f>COUNTIF(C7:Q7,"Y")</f>
        <v>7</v>
      </c>
      <c r="U7" s="23">
        <f t="shared" si="4"/>
        <v>6</v>
      </c>
      <c r="V7" s="12">
        <f t="shared" si="3"/>
        <v>25</v>
      </c>
      <c r="W7" s="21">
        <f t="shared" si="1"/>
        <v>0.15337423312883436</v>
      </c>
      <c r="X7" s="33"/>
      <c r="Y7">
        <f t="shared" ref="Y7:Y70" si="10">Y6+1</f>
        <v>5</v>
      </c>
      <c r="Z7">
        <f t="shared" si="5"/>
        <v>0</v>
      </c>
    </row>
    <row r="8" spans="1:26" ht="15" thickBot="1" x14ac:dyDescent="0.35">
      <c r="A8" s="2"/>
      <c r="C8" t="s">
        <v>212</v>
      </c>
      <c r="E8" s="30" t="s">
        <v>50</v>
      </c>
      <c r="F8" s="31" t="s">
        <v>71</v>
      </c>
      <c r="G8" s="31" t="s">
        <v>208</v>
      </c>
      <c r="H8" s="31" t="s">
        <v>209</v>
      </c>
      <c r="I8" s="31" t="s">
        <v>58</v>
      </c>
      <c r="J8" s="31" t="s">
        <v>67</v>
      </c>
      <c r="K8" s="31" t="s">
        <v>207</v>
      </c>
      <c r="L8" s="31" t="s">
        <v>63</v>
      </c>
      <c r="M8" s="31" t="s">
        <v>64</v>
      </c>
      <c r="N8" s="31" t="s">
        <v>47</v>
      </c>
      <c r="O8" s="31" t="s">
        <v>75</v>
      </c>
      <c r="P8" s="31" t="s">
        <v>65</v>
      </c>
      <c r="Q8" s="32" t="s">
        <v>57</v>
      </c>
      <c r="U8" s="34">
        <f t="shared" si="4"/>
        <v>7</v>
      </c>
      <c r="V8" s="35">
        <f t="shared" si="3"/>
        <v>40</v>
      </c>
      <c r="W8" s="36">
        <f t="shared" si="1"/>
        <v>0.24539877300613497</v>
      </c>
      <c r="X8" s="33"/>
      <c r="Y8">
        <f t="shared" si="10"/>
        <v>6</v>
      </c>
      <c r="Z8">
        <f t="shared" si="5"/>
        <v>0</v>
      </c>
    </row>
    <row r="9" spans="1:26" ht="28.8" x14ac:dyDescent="0.3">
      <c r="A9" s="47" t="s">
        <v>46</v>
      </c>
      <c r="B9" s="47"/>
      <c r="C9" s="2" t="s">
        <v>0</v>
      </c>
      <c r="D9" s="7">
        <v>26</v>
      </c>
      <c r="E9" s="7">
        <v>19</v>
      </c>
      <c r="F9" s="7">
        <v>52</v>
      </c>
      <c r="G9" s="7">
        <v>34</v>
      </c>
      <c r="H9" s="7">
        <v>22</v>
      </c>
      <c r="I9" s="7">
        <v>35</v>
      </c>
      <c r="J9" s="7">
        <v>18</v>
      </c>
      <c r="K9" s="7">
        <v>13</v>
      </c>
      <c r="L9" s="7">
        <v>27</v>
      </c>
      <c r="M9" s="7">
        <v>38</v>
      </c>
      <c r="N9" s="7">
        <v>17</v>
      </c>
      <c r="O9" s="7">
        <v>30</v>
      </c>
      <c r="P9" s="7">
        <v>34</v>
      </c>
      <c r="Q9" s="7">
        <v>10</v>
      </c>
      <c r="R9" s="47" t="s">
        <v>76</v>
      </c>
      <c r="S9" s="47" t="s">
        <v>77</v>
      </c>
      <c r="T9" s="8" t="s">
        <v>228</v>
      </c>
      <c r="U9" s="23">
        <f t="shared" si="4"/>
        <v>8</v>
      </c>
      <c r="V9" s="12">
        <f t="shared" si="3"/>
        <v>30</v>
      </c>
      <c r="W9" s="21">
        <f t="shared" si="1"/>
        <v>0.18404907975460122</v>
      </c>
      <c r="X9" s="33"/>
      <c r="Y9">
        <f t="shared" si="10"/>
        <v>7</v>
      </c>
      <c r="Z9">
        <f t="shared" si="5"/>
        <v>0</v>
      </c>
    </row>
    <row r="10" spans="1:26" x14ac:dyDescent="0.3">
      <c r="A10" s="47"/>
      <c r="B10" s="47"/>
      <c r="C10" s="2" t="s">
        <v>1</v>
      </c>
      <c r="D10" s="7" t="s">
        <v>60</v>
      </c>
      <c r="E10" s="7" t="s">
        <v>50</v>
      </c>
      <c r="F10" s="7" t="s">
        <v>71</v>
      </c>
      <c r="G10" s="7" t="s">
        <v>208</v>
      </c>
      <c r="H10" s="7" t="s">
        <v>56</v>
      </c>
      <c r="I10" s="7" t="s">
        <v>58</v>
      </c>
      <c r="J10" s="7" t="s">
        <v>67</v>
      </c>
      <c r="K10" s="7" t="s">
        <v>62</v>
      </c>
      <c r="L10" s="7" t="s">
        <v>74</v>
      </c>
      <c r="M10" s="7" t="s">
        <v>64</v>
      </c>
      <c r="N10" s="7" t="s">
        <v>48</v>
      </c>
      <c r="O10" s="7" t="s">
        <v>75</v>
      </c>
      <c r="P10" s="7" t="s">
        <v>65</v>
      </c>
      <c r="Q10" s="7" t="s">
        <v>70</v>
      </c>
      <c r="R10" s="47"/>
      <c r="S10" s="47"/>
      <c r="T10" s="8" t="s">
        <v>77</v>
      </c>
      <c r="U10" s="23">
        <f t="shared" si="4"/>
        <v>9</v>
      </c>
      <c r="V10" s="12">
        <f t="shared" si="3"/>
        <v>14</v>
      </c>
      <c r="W10" s="21">
        <f t="shared" si="1"/>
        <v>8.5889570552147243E-2</v>
      </c>
      <c r="X10" s="33"/>
      <c r="Y10">
        <f t="shared" si="10"/>
        <v>8</v>
      </c>
      <c r="Z10">
        <f t="shared" si="5"/>
        <v>0</v>
      </c>
    </row>
    <row r="11" spans="1:26" x14ac:dyDescent="0.3">
      <c r="A11" s="47"/>
      <c r="B11" s="47"/>
      <c r="C11" s="2" t="s">
        <v>2</v>
      </c>
      <c r="D11" s="7">
        <v>-3.5</v>
      </c>
      <c r="E11" s="7">
        <v>6.5</v>
      </c>
      <c r="F11" s="7">
        <v>-13</v>
      </c>
      <c r="G11" s="7">
        <v>-7.5</v>
      </c>
      <c r="H11" s="7">
        <v>4.5</v>
      </c>
      <c r="I11" s="7">
        <v>-1</v>
      </c>
      <c r="J11" s="7">
        <v>3</v>
      </c>
      <c r="K11" s="7">
        <v>6</v>
      </c>
      <c r="L11" s="7">
        <v>-3.5</v>
      </c>
      <c r="M11" s="7">
        <v>-2</v>
      </c>
      <c r="N11" s="7">
        <v>-6.5</v>
      </c>
      <c r="O11" s="7">
        <v>-2.5</v>
      </c>
      <c r="P11" s="7">
        <v>-1.5</v>
      </c>
      <c r="Q11" s="7">
        <v>7.5</v>
      </c>
      <c r="R11" s="47"/>
      <c r="S11" s="47"/>
      <c r="T11" s="8">
        <v>-44</v>
      </c>
      <c r="U11" s="23">
        <f t="shared" si="4"/>
        <v>10</v>
      </c>
      <c r="V11" s="12">
        <f t="shared" si="3"/>
        <v>9</v>
      </c>
      <c r="W11" s="21">
        <f t="shared" si="1"/>
        <v>5.5214723926380369E-2</v>
      </c>
      <c r="X11" s="33"/>
      <c r="Y11">
        <f t="shared" si="10"/>
        <v>9</v>
      </c>
      <c r="Z11">
        <f t="shared" si="5"/>
        <v>0</v>
      </c>
    </row>
    <row r="12" spans="1:26" x14ac:dyDescent="0.3">
      <c r="A12" s="47"/>
      <c r="B12" s="47"/>
      <c r="C12" s="2" t="s">
        <v>3</v>
      </c>
      <c r="D12" s="7" t="s">
        <v>53</v>
      </c>
      <c r="E12" s="7" t="s">
        <v>54</v>
      </c>
      <c r="F12" s="7" t="s">
        <v>51</v>
      </c>
      <c r="G12" s="7" t="s">
        <v>66</v>
      </c>
      <c r="H12" s="7" t="s">
        <v>209</v>
      </c>
      <c r="I12" s="7" t="s">
        <v>61</v>
      </c>
      <c r="J12" s="7" t="s">
        <v>52</v>
      </c>
      <c r="K12" s="7" t="s">
        <v>207</v>
      </c>
      <c r="L12" s="7" t="s">
        <v>63</v>
      </c>
      <c r="M12" s="7" t="s">
        <v>69</v>
      </c>
      <c r="N12" s="7" t="s">
        <v>47</v>
      </c>
      <c r="O12" s="7" t="s">
        <v>210</v>
      </c>
      <c r="P12" s="7" t="s">
        <v>73</v>
      </c>
      <c r="Q12" s="7" t="s">
        <v>57</v>
      </c>
      <c r="R12" s="47"/>
      <c r="S12" s="47"/>
      <c r="T12" s="8"/>
      <c r="U12" s="23">
        <f t="shared" si="4"/>
        <v>11</v>
      </c>
      <c r="V12" s="12">
        <f t="shared" si="3"/>
        <v>3</v>
      </c>
      <c r="W12" s="21">
        <f t="shared" si="1"/>
        <v>1.8404907975460124E-2</v>
      </c>
      <c r="X12" s="33"/>
      <c r="Y12">
        <f t="shared" si="10"/>
        <v>10</v>
      </c>
      <c r="Z12">
        <f t="shared" si="5"/>
        <v>0</v>
      </c>
    </row>
    <row r="13" spans="1:26" x14ac:dyDescent="0.3">
      <c r="A13" s="47"/>
      <c r="B13" s="47"/>
      <c r="C13" s="2" t="s">
        <v>0</v>
      </c>
      <c r="D13" s="7">
        <v>18</v>
      </c>
      <c r="E13" s="7">
        <v>20</v>
      </c>
      <c r="F13" s="7">
        <v>6</v>
      </c>
      <c r="G13" s="7">
        <v>19</v>
      </c>
      <c r="H13" s="7">
        <v>28</v>
      </c>
      <c r="I13" s="7">
        <v>14</v>
      </c>
      <c r="J13" s="7">
        <v>16</v>
      </c>
      <c r="K13" s="7">
        <v>23</v>
      </c>
      <c r="L13" s="7">
        <v>28</v>
      </c>
      <c r="M13" s="7">
        <v>6</v>
      </c>
      <c r="N13" s="7">
        <v>20</v>
      </c>
      <c r="O13" s="7">
        <v>21</v>
      </c>
      <c r="P13" s="7">
        <v>27</v>
      </c>
      <c r="Q13" s="7">
        <v>34</v>
      </c>
      <c r="R13" s="47"/>
      <c r="S13" s="47"/>
      <c r="T13" s="8"/>
      <c r="U13" s="23">
        <f t="shared" si="4"/>
        <v>12</v>
      </c>
      <c r="V13" s="12">
        <f t="shared" si="3"/>
        <v>0</v>
      </c>
      <c r="W13" s="21">
        <f t="shared" si="1"/>
        <v>0</v>
      </c>
      <c r="X13" s="33"/>
      <c r="Y13">
        <f t="shared" si="10"/>
        <v>11</v>
      </c>
      <c r="Z13">
        <f t="shared" si="5"/>
        <v>0</v>
      </c>
    </row>
    <row r="14" spans="1:26" ht="15" thickBot="1" x14ac:dyDescent="0.35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47"/>
      <c r="S14" s="47"/>
      <c r="T14" s="8"/>
      <c r="U14" s="17">
        <f t="shared" si="4"/>
        <v>13</v>
      </c>
      <c r="V14" s="14">
        <f t="shared" si="3"/>
        <v>0</v>
      </c>
      <c r="W14" s="22">
        <f t="shared" si="1"/>
        <v>0</v>
      </c>
      <c r="X14" s="33"/>
      <c r="Y14">
        <f t="shared" si="10"/>
        <v>12</v>
      </c>
      <c r="Z14">
        <f t="shared" si="5"/>
        <v>0</v>
      </c>
    </row>
    <row r="15" spans="1:26" x14ac:dyDescent="0.3">
      <c r="A15" s="47"/>
      <c r="B15" s="47"/>
      <c r="C15" s="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47"/>
      <c r="S15" s="47"/>
      <c r="T15" s="8"/>
      <c r="Y15">
        <f t="shared" si="10"/>
        <v>13</v>
      </c>
      <c r="Z15">
        <f t="shared" si="5"/>
        <v>0</v>
      </c>
    </row>
    <row r="16" spans="1:26" x14ac:dyDescent="0.3">
      <c r="A16" s="46">
        <v>1</v>
      </c>
      <c r="B16" s="4"/>
      <c r="C16" s="6" t="s">
        <v>98</v>
      </c>
      <c r="D16" s="5"/>
      <c r="E16" s="5" t="s">
        <v>50</v>
      </c>
      <c r="F16" s="5" t="s">
        <v>71</v>
      </c>
      <c r="G16" s="5" t="s">
        <v>208</v>
      </c>
      <c r="H16" s="5" t="s">
        <v>56</v>
      </c>
      <c r="I16" s="5" t="s">
        <v>58</v>
      </c>
      <c r="J16" s="5" t="s">
        <v>67</v>
      </c>
      <c r="K16" s="5" t="s">
        <v>207</v>
      </c>
      <c r="L16" s="5" t="s">
        <v>63</v>
      </c>
      <c r="M16" s="5" t="s">
        <v>64</v>
      </c>
      <c r="N16" s="5" t="s">
        <v>48</v>
      </c>
      <c r="O16" s="5" t="s">
        <v>75</v>
      </c>
      <c r="P16" s="5" t="s">
        <v>65</v>
      </c>
      <c r="Q16" s="5" t="s">
        <v>57</v>
      </c>
      <c r="R16" s="1">
        <v>11</v>
      </c>
      <c r="S16" s="1">
        <v>86</v>
      </c>
      <c r="T16" s="1">
        <v>44</v>
      </c>
      <c r="Y16">
        <f t="shared" si="10"/>
        <v>14</v>
      </c>
      <c r="Z16">
        <f t="shared" si="5"/>
        <v>1</v>
      </c>
    </row>
    <row r="17" spans="1:26" ht="28.8" x14ac:dyDescent="0.3">
      <c r="A17" s="46">
        <v>2</v>
      </c>
      <c r="B17" s="4"/>
      <c r="C17" s="6" t="s">
        <v>32</v>
      </c>
      <c r="D17" s="5"/>
      <c r="E17" s="5" t="s">
        <v>50</v>
      </c>
      <c r="F17" s="5" t="s">
        <v>71</v>
      </c>
      <c r="G17" s="5" t="s">
        <v>208</v>
      </c>
      <c r="H17" s="5" t="s">
        <v>209</v>
      </c>
      <c r="I17" s="5" t="s">
        <v>58</v>
      </c>
      <c r="J17" s="5" t="s">
        <v>67</v>
      </c>
      <c r="K17" s="5" t="s">
        <v>207</v>
      </c>
      <c r="L17" s="5" t="s">
        <v>74</v>
      </c>
      <c r="M17" s="5" t="s">
        <v>64</v>
      </c>
      <c r="N17" s="5" t="s">
        <v>48</v>
      </c>
      <c r="O17" s="5" t="s">
        <v>75</v>
      </c>
      <c r="P17" s="5" t="s">
        <v>65</v>
      </c>
      <c r="Q17" s="5" t="s">
        <v>57</v>
      </c>
      <c r="R17" s="1">
        <v>11</v>
      </c>
      <c r="S17" s="1">
        <v>78</v>
      </c>
      <c r="T17" s="1">
        <v>42</v>
      </c>
      <c r="Y17">
        <f t="shared" si="10"/>
        <v>15</v>
      </c>
      <c r="Z17">
        <f t="shared" si="5"/>
        <v>0</v>
      </c>
    </row>
    <row r="18" spans="1:26" ht="28.8" x14ac:dyDescent="0.3">
      <c r="A18" s="46">
        <v>3</v>
      </c>
      <c r="B18" s="4"/>
      <c r="C18" s="6" t="s">
        <v>99</v>
      </c>
      <c r="D18" s="5"/>
      <c r="E18" s="5" t="s">
        <v>54</v>
      </c>
      <c r="F18" s="5" t="s">
        <v>71</v>
      </c>
      <c r="G18" s="5" t="s">
        <v>208</v>
      </c>
      <c r="H18" s="5" t="s">
        <v>209</v>
      </c>
      <c r="I18" s="5" t="s">
        <v>58</v>
      </c>
      <c r="J18" s="5" t="s">
        <v>67</v>
      </c>
      <c r="K18" s="5" t="s">
        <v>207</v>
      </c>
      <c r="L18" s="5" t="s">
        <v>63</v>
      </c>
      <c r="M18" s="5" t="s">
        <v>64</v>
      </c>
      <c r="N18" s="5" t="s">
        <v>48</v>
      </c>
      <c r="O18" s="5" t="s">
        <v>75</v>
      </c>
      <c r="P18" s="5" t="s">
        <v>65</v>
      </c>
      <c r="Q18" s="5" t="s">
        <v>57</v>
      </c>
      <c r="R18" s="1">
        <v>11</v>
      </c>
      <c r="S18" s="1">
        <v>94</v>
      </c>
      <c r="T18" s="1">
        <v>48</v>
      </c>
      <c r="Y18">
        <f t="shared" si="10"/>
        <v>16</v>
      </c>
      <c r="Z18">
        <f t="shared" si="5"/>
        <v>0</v>
      </c>
    </row>
    <row r="19" spans="1:26" ht="28.8" x14ac:dyDescent="0.3">
      <c r="A19" s="46">
        <v>4</v>
      </c>
      <c r="B19" s="4"/>
      <c r="C19" s="6" t="s">
        <v>137</v>
      </c>
      <c r="D19" s="5"/>
      <c r="E19" s="5" t="s">
        <v>50</v>
      </c>
      <c r="F19" s="5" t="s">
        <v>71</v>
      </c>
      <c r="G19" s="5" t="s">
        <v>208</v>
      </c>
      <c r="H19" s="5" t="s">
        <v>209</v>
      </c>
      <c r="I19" s="5" t="s">
        <v>61</v>
      </c>
      <c r="J19" s="5" t="s">
        <v>52</v>
      </c>
      <c r="K19" s="5" t="s">
        <v>207</v>
      </c>
      <c r="L19" s="5" t="s">
        <v>63</v>
      </c>
      <c r="M19" s="5" t="s">
        <v>64</v>
      </c>
      <c r="N19" s="5" t="s">
        <v>47</v>
      </c>
      <c r="O19" s="5" t="s">
        <v>75</v>
      </c>
      <c r="P19" s="5" t="s">
        <v>73</v>
      </c>
      <c r="Q19" s="5" t="s">
        <v>57</v>
      </c>
      <c r="R19" s="1">
        <v>10</v>
      </c>
      <c r="S19" s="1">
        <v>77</v>
      </c>
      <c r="T19" s="1">
        <v>45</v>
      </c>
      <c r="Y19">
        <f t="shared" si="10"/>
        <v>17</v>
      </c>
      <c r="Z19">
        <f t="shared" si="5"/>
        <v>0</v>
      </c>
    </row>
    <row r="20" spans="1:26" ht="28.8" x14ac:dyDescent="0.3">
      <c r="A20" s="46">
        <v>5</v>
      </c>
      <c r="B20" s="4"/>
      <c r="C20" s="6" t="s">
        <v>185</v>
      </c>
      <c r="D20" s="5"/>
      <c r="E20" s="5" t="s">
        <v>54</v>
      </c>
      <c r="F20" s="5" t="s">
        <v>71</v>
      </c>
      <c r="G20" s="5" t="s">
        <v>208</v>
      </c>
      <c r="H20" s="5" t="s">
        <v>209</v>
      </c>
      <c r="I20" s="5" t="s">
        <v>58</v>
      </c>
      <c r="J20" s="5" t="s">
        <v>52</v>
      </c>
      <c r="K20" s="5" t="s">
        <v>207</v>
      </c>
      <c r="L20" s="5" t="s">
        <v>63</v>
      </c>
      <c r="M20" s="5" t="s">
        <v>64</v>
      </c>
      <c r="N20" s="5" t="s">
        <v>47</v>
      </c>
      <c r="O20" s="5" t="s">
        <v>75</v>
      </c>
      <c r="P20" s="5" t="s">
        <v>73</v>
      </c>
      <c r="Q20" s="5" t="s">
        <v>57</v>
      </c>
      <c r="R20" s="1">
        <v>10</v>
      </c>
      <c r="S20" s="1">
        <v>80</v>
      </c>
      <c r="T20" s="1">
        <v>47</v>
      </c>
      <c r="Y20">
        <f t="shared" si="10"/>
        <v>18</v>
      </c>
      <c r="Z20">
        <f t="shared" si="5"/>
        <v>0</v>
      </c>
    </row>
    <row r="21" spans="1:26" x14ac:dyDescent="0.3">
      <c r="A21" s="46">
        <v>6</v>
      </c>
      <c r="B21" s="4"/>
      <c r="C21" s="6" t="s">
        <v>7</v>
      </c>
      <c r="D21" s="5"/>
      <c r="E21" s="5" t="s">
        <v>50</v>
      </c>
      <c r="F21" s="5" t="s">
        <v>71</v>
      </c>
      <c r="G21" s="5" t="s">
        <v>66</v>
      </c>
      <c r="H21" s="5" t="s">
        <v>56</v>
      </c>
      <c r="I21" s="5" t="s">
        <v>58</v>
      </c>
      <c r="J21" s="5" t="s">
        <v>67</v>
      </c>
      <c r="K21" s="5" t="s">
        <v>207</v>
      </c>
      <c r="L21" s="5" t="s">
        <v>63</v>
      </c>
      <c r="M21" s="5" t="s">
        <v>64</v>
      </c>
      <c r="N21" s="5" t="s">
        <v>48</v>
      </c>
      <c r="O21" s="5" t="s">
        <v>75</v>
      </c>
      <c r="P21" s="5" t="s">
        <v>65</v>
      </c>
      <c r="Q21" s="5" t="s">
        <v>57</v>
      </c>
      <c r="R21" s="1">
        <v>10</v>
      </c>
      <c r="S21" s="1">
        <v>73</v>
      </c>
      <c r="T21" s="1">
        <v>41</v>
      </c>
      <c r="Y21">
        <f t="shared" si="10"/>
        <v>19</v>
      </c>
      <c r="Z21">
        <f t="shared" si="5"/>
        <v>0</v>
      </c>
    </row>
    <row r="22" spans="1:26" x14ac:dyDescent="0.3">
      <c r="A22" s="46">
        <v>7</v>
      </c>
      <c r="B22" s="4"/>
      <c r="C22" s="6" t="s">
        <v>16</v>
      </c>
      <c r="D22" s="5"/>
      <c r="E22" s="5" t="s">
        <v>50</v>
      </c>
      <c r="F22" s="5" t="s">
        <v>71</v>
      </c>
      <c r="G22" s="5" t="s">
        <v>208</v>
      </c>
      <c r="H22" s="5" t="s">
        <v>209</v>
      </c>
      <c r="I22" s="5" t="s">
        <v>58</v>
      </c>
      <c r="J22" s="5" t="s">
        <v>52</v>
      </c>
      <c r="K22" s="5" t="s">
        <v>207</v>
      </c>
      <c r="L22" s="5" t="s">
        <v>74</v>
      </c>
      <c r="M22" s="5" t="s">
        <v>64</v>
      </c>
      <c r="N22" s="5" t="s">
        <v>48</v>
      </c>
      <c r="O22" s="5" t="s">
        <v>75</v>
      </c>
      <c r="P22" s="5" t="s">
        <v>65</v>
      </c>
      <c r="Q22" s="5" t="s">
        <v>57</v>
      </c>
      <c r="R22" s="1">
        <v>10</v>
      </c>
      <c r="S22" s="1">
        <v>90</v>
      </c>
      <c r="T22" s="1">
        <v>40</v>
      </c>
      <c r="Y22">
        <f t="shared" si="10"/>
        <v>20</v>
      </c>
      <c r="Z22">
        <f t="shared" si="5"/>
        <v>0</v>
      </c>
    </row>
    <row r="23" spans="1:26" x14ac:dyDescent="0.3">
      <c r="A23" s="46">
        <v>8</v>
      </c>
      <c r="B23" s="4"/>
      <c r="C23" s="6" t="s">
        <v>84</v>
      </c>
      <c r="D23" s="5"/>
      <c r="E23" s="5" t="s">
        <v>50</v>
      </c>
      <c r="F23" s="5" t="s">
        <v>71</v>
      </c>
      <c r="G23" s="5" t="s">
        <v>208</v>
      </c>
      <c r="H23" s="5" t="s">
        <v>209</v>
      </c>
      <c r="I23" s="5" t="s">
        <v>61</v>
      </c>
      <c r="J23" s="5" t="s">
        <v>67</v>
      </c>
      <c r="K23" s="5" t="s">
        <v>207</v>
      </c>
      <c r="L23" s="5" t="s">
        <v>74</v>
      </c>
      <c r="M23" s="5" t="s">
        <v>64</v>
      </c>
      <c r="N23" s="5" t="s">
        <v>48</v>
      </c>
      <c r="O23" s="5" t="s">
        <v>75</v>
      </c>
      <c r="P23" s="5" t="s">
        <v>65</v>
      </c>
      <c r="Q23" s="5" t="s">
        <v>57</v>
      </c>
      <c r="R23" s="1">
        <v>10</v>
      </c>
      <c r="S23" s="1">
        <v>82</v>
      </c>
      <c r="T23" s="1">
        <v>40</v>
      </c>
      <c r="Y23">
        <f t="shared" si="10"/>
        <v>21</v>
      </c>
      <c r="Z23">
        <f t="shared" si="5"/>
        <v>0</v>
      </c>
    </row>
    <row r="24" spans="1:26" x14ac:dyDescent="0.3">
      <c r="A24" s="46">
        <v>9</v>
      </c>
      <c r="B24" s="4"/>
      <c r="C24" s="6" t="s">
        <v>13</v>
      </c>
      <c r="D24" s="5"/>
      <c r="E24" s="5" t="s">
        <v>50</v>
      </c>
      <c r="F24" s="5" t="s">
        <v>71</v>
      </c>
      <c r="G24" s="5" t="s">
        <v>66</v>
      </c>
      <c r="H24" s="5" t="s">
        <v>209</v>
      </c>
      <c r="I24" s="5" t="s">
        <v>58</v>
      </c>
      <c r="J24" s="5" t="s">
        <v>67</v>
      </c>
      <c r="K24" s="5" t="s">
        <v>207</v>
      </c>
      <c r="L24" s="5" t="s">
        <v>74</v>
      </c>
      <c r="M24" s="5" t="s">
        <v>69</v>
      </c>
      <c r="N24" s="5" t="s">
        <v>47</v>
      </c>
      <c r="O24" s="5" t="s">
        <v>75</v>
      </c>
      <c r="P24" s="5" t="s">
        <v>65</v>
      </c>
      <c r="Q24" s="5" t="s">
        <v>57</v>
      </c>
      <c r="R24" s="1">
        <v>10</v>
      </c>
      <c r="S24" s="1">
        <v>90</v>
      </c>
      <c r="T24" s="1">
        <v>48</v>
      </c>
      <c r="Y24">
        <f t="shared" si="10"/>
        <v>22</v>
      </c>
      <c r="Z24">
        <f t="shared" si="5"/>
        <v>0</v>
      </c>
    </row>
    <row r="25" spans="1:26" x14ac:dyDescent="0.3">
      <c r="A25" s="46">
        <v>10</v>
      </c>
      <c r="B25" s="4"/>
      <c r="C25" s="6" t="s">
        <v>96</v>
      </c>
      <c r="D25" s="5"/>
      <c r="E25" s="5" t="s">
        <v>54</v>
      </c>
      <c r="F25" s="5" t="s">
        <v>71</v>
      </c>
      <c r="G25" s="5" t="s">
        <v>208</v>
      </c>
      <c r="H25" s="5" t="s">
        <v>209</v>
      </c>
      <c r="I25" s="5" t="s">
        <v>58</v>
      </c>
      <c r="J25" s="5" t="s">
        <v>67</v>
      </c>
      <c r="K25" s="5" t="s">
        <v>207</v>
      </c>
      <c r="L25" s="5" t="s">
        <v>63</v>
      </c>
      <c r="M25" s="5" t="s">
        <v>64</v>
      </c>
      <c r="N25" s="5" t="s">
        <v>48</v>
      </c>
      <c r="O25" s="5" t="s">
        <v>75</v>
      </c>
      <c r="P25" s="5" t="s">
        <v>73</v>
      </c>
      <c r="Q25" s="5" t="s">
        <v>57</v>
      </c>
      <c r="R25" s="1">
        <v>10</v>
      </c>
      <c r="S25" s="1">
        <v>78</v>
      </c>
      <c r="T25" s="1">
        <v>49</v>
      </c>
      <c r="Y25">
        <f t="shared" si="10"/>
        <v>23</v>
      </c>
      <c r="Z25">
        <f t="shared" si="5"/>
        <v>0</v>
      </c>
    </row>
    <row r="26" spans="1:26" x14ac:dyDescent="0.3">
      <c r="A26" s="46">
        <v>11</v>
      </c>
      <c r="B26" s="4"/>
      <c r="C26" s="6" t="s">
        <v>83</v>
      </c>
      <c r="D26" s="5"/>
      <c r="E26" s="5" t="s">
        <v>54</v>
      </c>
      <c r="F26" s="5" t="s">
        <v>71</v>
      </c>
      <c r="G26" s="5" t="s">
        <v>208</v>
      </c>
      <c r="H26" s="5" t="s">
        <v>209</v>
      </c>
      <c r="I26" s="5" t="s">
        <v>58</v>
      </c>
      <c r="J26" s="5" t="s">
        <v>52</v>
      </c>
      <c r="K26" s="5" t="s">
        <v>207</v>
      </c>
      <c r="L26" s="5" t="s">
        <v>63</v>
      </c>
      <c r="M26" s="5" t="s">
        <v>64</v>
      </c>
      <c r="N26" s="5" t="s">
        <v>48</v>
      </c>
      <c r="O26" s="5" t="s">
        <v>75</v>
      </c>
      <c r="P26" s="5" t="s">
        <v>65</v>
      </c>
      <c r="Q26" s="5" t="s">
        <v>57</v>
      </c>
      <c r="R26" s="1">
        <v>10</v>
      </c>
      <c r="S26" s="1">
        <v>88</v>
      </c>
      <c r="T26" s="1">
        <v>49</v>
      </c>
      <c r="Y26">
        <f t="shared" si="10"/>
        <v>24</v>
      </c>
      <c r="Z26">
        <f t="shared" si="5"/>
        <v>0</v>
      </c>
    </row>
    <row r="27" spans="1:26" ht="28.8" x14ac:dyDescent="0.3">
      <c r="A27" s="46">
        <v>12</v>
      </c>
      <c r="B27" s="4"/>
      <c r="C27" s="6" t="s">
        <v>8</v>
      </c>
      <c r="D27" s="5"/>
      <c r="E27" s="5" t="s">
        <v>50</v>
      </c>
      <c r="F27" s="5" t="s">
        <v>71</v>
      </c>
      <c r="G27" s="5" t="s">
        <v>208</v>
      </c>
      <c r="H27" s="5" t="s">
        <v>209</v>
      </c>
      <c r="I27" s="5" t="s">
        <v>58</v>
      </c>
      <c r="J27" s="5" t="s">
        <v>67</v>
      </c>
      <c r="K27" s="5" t="s">
        <v>207</v>
      </c>
      <c r="L27" s="5" t="s">
        <v>63</v>
      </c>
      <c r="M27" s="5" t="s">
        <v>64</v>
      </c>
      <c r="N27" s="5" t="s">
        <v>48</v>
      </c>
      <c r="O27" s="5" t="s">
        <v>210</v>
      </c>
      <c r="P27" s="5" t="s">
        <v>65</v>
      </c>
      <c r="Q27" s="5" t="s">
        <v>70</v>
      </c>
      <c r="R27" s="1">
        <v>10</v>
      </c>
      <c r="S27" s="1">
        <v>83</v>
      </c>
      <c r="T27" s="1">
        <v>34</v>
      </c>
      <c r="Y27">
        <f t="shared" si="10"/>
        <v>25</v>
      </c>
      <c r="Z27">
        <f t="shared" si="5"/>
        <v>0</v>
      </c>
    </row>
    <row r="28" spans="1:26" ht="28.8" x14ac:dyDescent="0.3">
      <c r="A28" s="46">
        <v>13</v>
      </c>
      <c r="B28" s="4"/>
      <c r="C28" s="6" t="s">
        <v>117</v>
      </c>
      <c r="D28" s="5"/>
      <c r="E28" s="5" t="s">
        <v>50</v>
      </c>
      <c r="F28" s="5" t="s">
        <v>71</v>
      </c>
      <c r="G28" s="5" t="s">
        <v>208</v>
      </c>
      <c r="H28" s="5" t="s">
        <v>56</v>
      </c>
      <c r="I28" s="5" t="s">
        <v>58</v>
      </c>
      <c r="J28" s="5" t="s">
        <v>52</v>
      </c>
      <c r="K28" s="5" t="s">
        <v>62</v>
      </c>
      <c r="L28" s="5" t="s">
        <v>63</v>
      </c>
      <c r="M28" s="5" t="s">
        <v>64</v>
      </c>
      <c r="N28" s="5" t="s">
        <v>48</v>
      </c>
      <c r="O28" s="5" t="s">
        <v>75</v>
      </c>
      <c r="P28" s="5" t="s">
        <v>65</v>
      </c>
      <c r="Q28" s="5" t="s">
        <v>57</v>
      </c>
      <c r="R28" s="1">
        <v>9</v>
      </c>
      <c r="S28" s="1">
        <v>89</v>
      </c>
      <c r="T28" s="1">
        <v>44</v>
      </c>
      <c r="Y28">
        <f t="shared" si="10"/>
        <v>26</v>
      </c>
      <c r="Z28">
        <f t="shared" si="5"/>
        <v>0</v>
      </c>
    </row>
    <row r="29" spans="1:26" x14ac:dyDescent="0.3">
      <c r="A29" s="46">
        <v>14</v>
      </c>
      <c r="B29" s="4"/>
      <c r="C29" s="6" t="s">
        <v>199</v>
      </c>
      <c r="D29" s="5"/>
      <c r="E29" s="5" t="s">
        <v>54</v>
      </c>
      <c r="F29" s="5" t="s">
        <v>71</v>
      </c>
      <c r="G29" s="5" t="s">
        <v>208</v>
      </c>
      <c r="H29" s="5" t="s">
        <v>56</v>
      </c>
      <c r="I29" s="5" t="s">
        <v>58</v>
      </c>
      <c r="J29" s="5" t="s">
        <v>67</v>
      </c>
      <c r="K29" s="5" t="s">
        <v>62</v>
      </c>
      <c r="L29" s="5" t="s">
        <v>63</v>
      </c>
      <c r="M29" s="5" t="s">
        <v>64</v>
      </c>
      <c r="N29" s="5" t="s">
        <v>48</v>
      </c>
      <c r="O29" s="5" t="s">
        <v>75</v>
      </c>
      <c r="P29" s="5" t="s">
        <v>65</v>
      </c>
      <c r="Q29" s="5" t="s">
        <v>57</v>
      </c>
      <c r="R29" s="1">
        <v>9</v>
      </c>
      <c r="S29" s="1">
        <v>78</v>
      </c>
      <c r="T29" s="1">
        <v>44</v>
      </c>
      <c r="Y29">
        <f t="shared" si="10"/>
        <v>27</v>
      </c>
      <c r="Z29">
        <f t="shared" si="5"/>
        <v>1</v>
      </c>
    </row>
    <row r="30" spans="1:26" x14ac:dyDescent="0.3">
      <c r="A30" s="46">
        <v>15</v>
      </c>
      <c r="B30" s="4"/>
      <c r="C30" s="6" t="s">
        <v>166</v>
      </c>
      <c r="D30" s="5"/>
      <c r="E30" s="5" t="s">
        <v>50</v>
      </c>
      <c r="F30" s="5" t="s">
        <v>71</v>
      </c>
      <c r="G30" s="5" t="s">
        <v>208</v>
      </c>
      <c r="H30" s="5" t="s">
        <v>56</v>
      </c>
      <c r="I30" s="5" t="s">
        <v>58</v>
      </c>
      <c r="J30" s="5" t="s">
        <v>67</v>
      </c>
      <c r="K30" s="5" t="s">
        <v>62</v>
      </c>
      <c r="L30" s="5" t="s">
        <v>74</v>
      </c>
      <c r="M30" s="5" t="s">
        <v>64</v>
      </c>
      <c r="N30" s="5" t="s">
        <v>48</v>
      </c>
      <c r="O30" s="5" t="s">
        <v>75</v>
      </c>
      <c r="P30" s="5" t="s">
        <v>65</v>
      </c>
      <c r="Q30" s="5" t="s">
        <v>57</v>
      </c>
      <c r="R30" s="1">
        <v>9</v>
      </c>
      <c r="S30" s="1">
        <v>71</v>
      </c>
      <c r="T30" s="1">
        <v>44</v>
      </c>
      <c r="Y30">
        <f t="shared" si="10"/>
        <v>28</v>
      </c>
      <c r="Z30">
        <f t="shared" si="5"/>
        <v>0</v>
      </c>
    </row>
    <row r="31" spans="1:26" x14ac:dyDescent="0.3">
      <c r="A31" s="46">
        <v>16</v>
      </c>
      <c r="B31" s="4"/>
      <c r="C31" s="6" t="s">
        <v>26</v>
      </c>
      <c r="D31" s="5"/>
      <c r="E31" s="5" t="s">
        <v>50</v>
      </c>
      <c r="F31" s="5" t="s">
        <v>71</v>
      </c>
      <c r="G31" s="5" t="s">
        <v>66</v>
      </c>
      <c r="H31" s="5" t="s">
        <v>56</v>
      </c>
      <c r="I31" s="5" t="s">
        <v>58</v>
      </c>
      <c r="J31" s="5" t="s">
        <v>67</v>
      </c>
      <c r="K31" s="5" t="s">
        <v>207</v>
      </c>
      <c r="L31" s="5" t="s">
        <v>63</v>
      </c>
      <c r="M31" s="5" t="s">
        <v>64</v>
      </c>
      <c r="N31" s="5" t="s">
        <v>48</v>
      </c>
      <c r="O31" s="5" t="s">
        <v>75</v>
      </c>
      <c r="P31" s="5" t="s">
        <v>73</v>
      </c>
      <c r="Q31" s="5" t="s">
        <v>57</v>
      </c>
      <c r="R31" s="1">
        <v>9</v>
      </c>
      <c r="S31" s="1">
        <v>79</v>
      </c>
      <c r="T31" s="1">
        <v>45</v>
      </c>
      <c r="Y31">
        <f t="shared" si="10"/>
        <v>29</v>
      </c>
      <c r="Z31">
        <f t="shared" si="5"/>
        <v>0</v>
      </c>
    </row>
    <row r="32" spans="1:26" ht="28.8" x14ac:dyDescent="0.3">
      <c r="A32" s="46">
        <v>17</v>
      </c>
      <c r="B32" s="4"/>
      <c r="C32" s="6" t="s">
        <v>112</v>
      </c>
      <c r="D32" s="5"/>
      <c r="E32" s="5" t="s">
        <v>54</v>
      </c>
      <c r="F32" s="5" t="s">
        <v>71</v>
      </c>
      <c r="G32" s="5" t="s">
        <v>208</v>
      </c>
      <c r="H32" s="5" t="s">
        <v>56</v>
      </c>
      <c r="I32" s="5" t="s">
        <v>58</v>
      </c>
      <c r="J32" s="5" t="s">
        <v>67</v>
      </c>
      <c r="K32" s="5" t="s">
        <v>207</v>
      </c>
      <c r="L32" s="5" t="s">
        <v>63</v>
      </c>
      <c r="M32" s="5" t="s">
        <v>64</v>
      </c>
      <c r="N32" s="5" t="s">
        <v>48</v>
      </c>
      <c r="O32" s="5" t="s">
        <v>210</v>
      </c>
      <c r="P32" s="5" t="s">
        <v>65</v>
      </c>
      <c r="Q32" s="5" t="s">
        <v>57</v>
      </c>
      <c r="R32" s="1">
        <v>9</v>
      </c>
      <c r="S32" s="1">
        <v>91</v>
      </c>
      <c r="T32" s="1">
        <v>43</v>
      </c>
      <c r="Y32">
        <f t="shared" si="10"/>
        <v>30</v>
      </c>
      <c r="Z32">
        <f t="shared" si="5"/>
        <v>0</v>
      </c>
    </row>
    <row r="33" spans="1:26" ht="28.8" x14ac:dyDescent="0.3">
      <c r="A33" s="46">
        <v>18</v>
      </c>
      <c r="B33" s="4"/>
      <c r="C33" s="6" t="s">
        <v>139</v>
      </c>
      <c r="D33" s="5"/>
      <c r="E33" s="5" t="s">
        <v>54</v>
      </c>
      <c r="F33" s="5" t="s">
        <v>71</v>
      </c>
      <c r="G33" s="5" t="s">
        <v>208</v>
      </c>
      <c r="H33" s="5" t="s">
        <v>209</v>
      </c>
      <c r="I33" s="5" t="s">
        <v>61</v>
      </c>
      <c r="J33" s="5" t="s">
        <v>67</v>
      </c>
      <c r="K33" s="5" t="s">
        <v>207</v>
      </c>
      <c r="L33" s="5" t="s">
        <v>63</v>
      </c>
      <c r="M33" s="5" t="s">
        <v>64</v>
      </c>
      <c r="N33" s="5" t="s">
        <v>48</v>
      </c>
      <c r="O33" s="5" t="s">
        <v>210</v>
      </c>
      <c r="P33" s="5" t="s">
        <v>65</v>
      </c>
      <c r="Q33" s="5" t="s">
        <v>57</v>
      </c>
      <c r="R33" s="1">
        <v>9</v>
      </c>
      <c r="S33" s="1">
        <v>87</v>
      </c>
      <c r="T33" s="1">
        <v>42</v>
      </c>
      <c r="Y33">
        <f t="shared" si="10"/>
        <v>31</v>
      </c>
      <c r="Z33">
        <f t="shared" si="5"/>
        <v>1</v>
      </c>
    </row>
    <row r="34" spans="1:26" ht="28.8" x14ac:dyDescent="0.3">
      <c r="A34" s="46">
        <v>19</v>
      </c>
      <c r="B34" s="4"/>
      <c r="C34" s="6" t="s">
        <v>20</v>
      </c>
      <c r="D34" s="5"/>
      <c r="E34" s="5" t="s">
        <v>50</v>
      </c>
      <c r="F34" s="5" t="s">
        <v>71</v>
      </c>
      <c r="G34" s="5" t="s">
        <v>208</v>
      </c>
      <c r="H34" s="5" t="s">
        <v>209</v>
      </c>
      <c r="I34" s="5" t="s">
        <v>58</v>
      </c>
      <c r="J34" s="5" t="s">
        <v>52</v>
      </c>
      <c r="K34" s="5" t="s">
        <v>207</v>
      </c>
      <c r="L34" s="5" t="s">
        <v>74</v>
      </c>
      <c r="M34" s="5" t="s">
        <v>69</v>
      </c>
      <c r="N34" s="5" t="s">
        <v>48</v>
      </c>
      <c r="O34" s="5" t="s">
        <v>75</v>
      </c>
      <c r="P34" s="5" t="s">
        <v>65</v>
      </c>
      <c r="Q34" s="5" t="s">
        <v>57</v>
      </c>
      <c r="R34" s="1">
        <v>9</v>
      </c>
      <c r="S34" s="1">
        <v>80</v>
      </c>
      <c r="T34" s="1">
        <v>47</v>
      </c>
      <c r="Y34">
        <f t="shared" si="10"/>
        <v>32</v>
      </c>
      <c r="Z34">
        <f t="shared" si="5"/>
        <v>1</v>
      </c>
    </row>
    <row r="35" spans="1:26" x14ac:dyDescent="0.3">
      <c r="A35" s="46">
        <v>20</v>
      </c>
      <c r="B35" s="4"/>
      <c r="C35" s="6" t="s">
        <v>194</v>
      </c>
      <c r="D35" s="5"/>
      <c r="E35" s="5" t="s">
        <v>50</v>
      </c>
      <c r="F35" s="5" t="s">
        <v>71</v>
      </c>
      <c r="G35" s="5" t="s">
        <v>66</v>
      </c>
      <c r="H35" s="5" t="s">
        <v>56</v>
      </c>
      <c r="I35" s="5" t="s">
        <v>58</v>
      </c>
      <c r="J35" s="5" t="s">
        <v>67</v>
      </c>
      <c r="K35" s="5" t="s">
        <v>207</v>
      </c>
      <c r="L35" s="5" t="s">
        <v>74</v>
      </c>
      <c r="M35" s="5" t="s">
        <v>69</v>
      </c>
      <c r="N35" s="5" t="s">
        <v>47</v>
      </c>
      <c r="O35" s="5" t="s">
        <v>75</v>
      </c>
      <c r="P35" s="5" t="s">
        <v>65</v>
      </c>
      <c r="Q35" s="5" t="s">
        <v>57</v>
      </c>
      <c r="R35" s="1">
        <v>9</v>
      </c>
      <c r="S35" s="1">
        <v>77</v>
      </c>
      <c r="T35" s="1">
        <v>41</v>
      </c>
      <c r="Y35">
        <f t="shared" si="10"/>
        <v>33</v>
      </c>
      <c r="Z35">
        <f t="shared" si="5"/>
        <v>1</v>
      </c>
    </row>
    <row r="36" spans="1:26" x14ac:dyDescent="0.3">
      <c r="A36" s="46">
        <v>21</v>
      </c>
      <c r="B36" s="4"/>
      <c r="C36" s="6" t="s">
        <v>190</v>
      </c>
      <c r="D36" s="5"/>
      <c r="E36" s="5" t="s">
        <v>54</v>
      </c>
      <c r="F36" s="5" t="s">
        <v>71</v>
      </c>
      <c r="G36" s="5" t="s">
        <v>208</v>
      </c>
      <c r="H36" s="5" t="s">
        <v>209</v>
      </c>
      <c r="I36" s="5" t="s">
        <v>58</v>
      </c>
      <c r="J36" s="5" t="s">
        <v>67</v>
      </c>
      <c r="K36" s="5" t="s">
        <v>207</v>
      </c>
      <c r="L36" s="5" t="s">
        <v>74</v>
      </c>
      <c r="M36" s="5" t="s">
        <v>64</v>
      </c>
      <c r="N36" s="5" t="s">
        <v>48</v>
      </c>
      <c r="O36" s="5" t="s">
        <v>75</v>
      </c>
      <c r="P36" s="5" t="s">
        <v>73</v>
      </c>
      <c r="Q36" s="5" t="s">
        <v>57</v>
      </c>
      <c r="R36" s="1">
        <v>9</v>
      </c>
      <c r="S36" s="1">
        <v>88</v>
      </c>
      <c r="T36" s="1">
        <v>40</v>
      </c>
      <c r="Y36">
        <f t="shared" si="10"/>
        <v>34</v>
      </c>
      <c r="Z36">
        <f t="shared" si="5"/>
        <v>3</v>
      </c>
    </row>
    <row r="37" spans="1:26" ht="28.8" x14ac:dyDescent="0.3">
      <c r="A37" s="46">
        <v>22</v>
      </c>
      <c r="B37" s="4"/>
      <c r="C37" s="6" t="s">
        <v>154</v>
      </c>
      <c r="D37" s="5"/>
      <c r="E37" s="5" t="s">
        <v>54</v>
      </c>
      <c r="F37" s="5" t="s">
        <v>71</v>
      </c>
      <c r="G37" s="5" t="s">
        <v>66</v>
      </c>
      <c r="H37" s="5" t="s">
        <v>209</v>
      </c>
      <c r="I37" s="5" t="s">
        <v>61</v>
      </c>
      <c r="J37" s="5" t="s">
        <v>67</v>
      </c>
      <c r="K37" s="5" t="s">
        <v>207</v>
      </c>
      <c r="L37" s="5" t="s">
        <v>63</v>
      </c>
      <c r="M37" s="5" t="s">
        <v>64</v>
      </c>
      <c r="N37" s="5" t="s">
        <v>47</v>
      </c>
      <c r="O37" s="5" t="s">
        <v>210</v>
      </c>
      <c r="P37" s="5" t="s">
        <v>65</v>
      </c>
      <c r="Q37" s="5" t="s">
        <v>57</v>
      </c>
      <c r="R37" s="1">
        <v>9</v>
      </c>
      <c r="S37" s="1">
        <v>86</v>
      </c>
      <c r="T37" s="1">
        <v>40</v>
      </c>
      <c r="Y37">
        <f t="shared" si="10"/>
        <v>35</v>
      </c>
      <c r="Z37">
        <f t="shared" si="5"/>
        <v>2</v>
      </c>
    </row>
    <row r="38" spans="1:26" ht="28.8" x14ac:dyDescent="0.3">
      <c r="A38" s="46">
        <v>23</v>
      </c>
      <c r="B38" s="4"/>
      <c r="C38" s="6" t="s">
        <v>162</v>
      </c>
      <c r="D38" s="5"/>
      <c r="E38" s="5" t="s">
        <v>50</v>
      </c>
      <c r="F38" s="5" t="s">
        <v>51</v>
      </c>
      <c r="G38" s="5" t="s">
        <v>66</v>
      </c>
      <c r="H38" s="5" t="s">
        <v>209</v>
      </c>
      <c r="I38" s="5" t="s">
        <v>58</v>
      </c>
      <c r="J38" s="5" t="s">
        <v>67</v>
      </c>
      <c r="K38" s="5" t="s">
        <v>207</v>
      </c>
      <c r="L38" s="5" t="s">
        <v>63</v>
      </c>
      <c r="M38" s="5" t="s">
        <v>64</v>
      </c>
      <c r="N38" s="5" t="s">
        <v>47</v>
      </c>
      <c r="O38" s="5" t="s">
        <v>210</v>
      </c>
      <c r="P38" s="5" t="s">
        <v>65</v>
      </c>
      <c r="Q38" s="5" t="s">
        <v>70</v>
      </c>
      <c r="R38" s="1">
        <v>9</v>
      </c>
      <c r="S38" s="1">
        <v>82</v>
      </c>
      <c r="T38" s="1">
        <v>51</v>
      </c>
      <c r="Y38">
        <f t="shared" si="10"/>
        <v>36</v>
      </c>
      <c r="Z38">
        <f t="shared" si="5"/>
        <v>4</v>
      </c>
    </row>
    <row r="39" spans="1:26" ht="28.8" x14ac:dyDescent="0.3">
      <c r="A39" s="46">
        <v>24</v>
      </c>
      <c r="B39" s="4"/>
      <c r="C39" s="6" t="s">
        <v>192</v>
      </c>
      <c r="D39" s="5"/>
      <c r="E39" s="5" t="s">
        <v>54</v>
      </c>
      <c r="F39" s="5" t="s">
        <v>71</v>
      </c>
      <c r="G39" s="5" t="s">
        <v>66</v>
      </c>
      <c r="H39" s="5" t="s">
        <v>209</v>
      </c>
      <c r="I39" s="5" t="s">
        <v>61</v>
      </c>
      <c r="J39" s="5" t="s">
        <v>67</v>
      </c>
      <c r="K39" s="5" t="s">
        <v>207</v>
      </c>
      <c r="L39" s="5" t="s">
        <v>74</v>
      </c>
      <c r="M39" s="5" t="s">
        <v>64</v>
      </c>
      <c r="N39" s="5" t="s">
        <v>47</v>
      </c>
      <c r="O39" s="5" t="s">
        <v>75</v>
      </c>
      <c r="P39" s="5" t="s">
        <v>65</v>
      </c>
      <c r="Q39" s="5" t="s">
        <v>57</v>
      </c>
      <c r="R39" s="1">
        <v>9</v>
      </c>
      <c r="S39" s="1">
        <v>85</v>
      </c>
      <c r="T39" s="1">
        <v>36</v>
      </c>
      <c r="Y39">
        <f t="shared" si="10"/>
        <v>37</v>
      </c>
      <c r="Z39">
        <f t="shared" si="5"/>
        <v>7</v>
      </c>
    </row>
    <row r="40" spans="1:26" x14ac:dyDescent="0.3">
      <c r="A40" s="46">
        <v>25</v>
      </c>
      <c r="B40" s="4"/>
      <c r="C40" s="6" t="s">
        <v>11</v>
      </c>
      <c r="D40" s="5"/>
      <c r="E40" s="5" t="s">
        <v>54</v>
      </c>
      <c r="F40" s="5" t="s">
        <v>71</v>
      </c>
      <c r="G40" s="5" t="s">
        <v>208</v>
      </c>
      <c r="H40" s="5" t="s">
        <v>209</v>
      </c>
      <c r="I40" s="5" t="s">
        <v>58</v>
      </c>
      <c r="J40" s="5" t="s">
        <v>67</v>
      </c>
      <c r="K40" s="5" t="s">
        <v>207</v>
      </c>
      <c r="L40" s="5" t="s">
        <v>63</v>
      </c>
      <c r="M40" s="5" t="s">
        <v>69</v>
      </c>
      <c r="N40" s="5" t="s">
        <v>48</v>
      </c>
      <c r="O40" s="5" t="s">
        <v>75</v>
      </c>
      <c r="P40" s="5" t="s">
        <v>73</v>
      </c>
      <c r="Q40" s="5" t="s">
        <v>57</v>
      </c>
      <c r="R40" s="1">
        <v>9</v>
      </c>
      <c r="S40" s="1">
        <v>79</v>
      </c>
      <c r="T40" s="1">
        <v>52</v>
      </c>
      <c r="Y40">
        <f t="shared" si="10"/>
        <v>38</v>
      </c>
      <c r="Z40">
        <f t="shared" si="5"/>
        <v>4</v>
      </c>
    </row>
    <row r="41" spans="1:26" x14ac:dyDescent="0.3">
      <c r="A41" s="46">
        <v>26</v>
      </c>
      <c r="B41" s="4"/>
      <c r="C41" s="6" t="s">
        <v>111</v>
      </c>
      <c r="D41" s="5"/>
      <c r="E41" s="5" t="s">
        <v>54</v>
      </c>
      <c r="F41" s="5" t="s">
        <v>71</v>
      </c>
      <c r="G41" s="5" t="s">
        <v>208</v>
      </c>
      <c r="H41" s="5" t="s">
        <v>56</v>
      </c>
      <c r="I41" s="5" t="s">
        <v>58</v>
      </c>
      <c r="J41" s="5" t="s">
        <v>67</v>
      </c>
      <c r="K41" s="5" t="s">
        <v>207</v>
      </c>
      <c r="L41" s="5" t="s">
        <v>74</v>
      </c>
      <c r="M41" s="5" t="s">
        <v>64</v>
      </c>
      <c r="N41" s="5" t="s">
        <v>47</v>
      </c>
      <c r="O41" s="5" t="s">
        <v>75</v>
      </c>
      <c r="P41" s="5" t="s">
        <v>65</v>
      </c>
      <c r="Q41" s="5" t="s">
        <v>70</v>
      </c>
      <c r="R41" s="1">
        <v>9</v>
      </c>
      <c r="S41" s="1">
        <v>75</v>
      </c>
      <c r="T41" s="1">
        <v>14</v>
      </c>
      <c r="Y41">
        <f t="shared" si="10"/>
        <v>39</v>
      </c>
      <c r="Z41">
        <f t="shared" si="5"/>
        <v>4</v>
      </c>
    </row>
    <row r="42" spans="1:26" ht="28.8" x14ac:dyDescent="0.3">
      <c r="A42" s="46">
        <v>27</v>
      </c>
      <c r="B42" s="4"/>
      <c r="C42" s="6" t="s">
        <v>28</v>
      </c>
      <c r="D42" s="5"/>
      <c r="E42" s="5" t="s">
        <v>54</v>
      </c>
      <c r="F42" s="5" t="s">
        <v>71</v>
      </c>
      <c r="G42" s="5" t="s">
        <v>208</v>
      </c>
      <c r="H42" s="5" t="s">
        <v>56</v>
      </c>
      <c r="I42" s="5" t="s">
        <v>61</v>
      </c>
      <c r="J42" s="5" t="s">
        <v>67</v>
      </c>
      <c r="K42" s="5" t="s">
        <v>207</v>
      </c>
      <c r="L42" s="5" t="s">
        <v>74</v>
      </c>
      <c r="M42" s="5" t="s">
        <v>64</v>
      </c>
      <c r="N42" s="5" t="s">
        <v>47</v>
      </c>
      <c r="O42" s="5" t="s">
        <v>210</v>
      </c>
      <c r="P42" s="5" t="s">
        <v>65</v>
      </c>
      <c r="Q42" s="5" t="s">
        <v>57</v>
      </c>
      <c r="R42" s="1">
        <v>8</v>
      </c>
      <c r="S42" s="1">
        <v>70</v>
      </c>
      <c r="T42" s="1">
        <v>44</v>
      </c>
      <c r="Y42">
        <f t="shared" si="10"/>
        <v>40</v>
      </c>
      <c r="Z42">
        <f t="shared" si="5"/>
        <v>11</v>
      </c>
    </row>
    <row r="43" spans="1:26" ht="28.8" x14ac:dyDescent="0.3">
      <c r="A43" s="46">
        <v>28</v>
      </c>
      <c r="B43" s="4"/>
      <c r="C43" s="6" t="s">
        <v>90</v>
      </c>
      <c r="D43" s="5"/>
      <c r="E43" s="5" t="s">
        <v>54</v>
      </c>
      <c r="F43" s="5" t="s">
        <v>71</v>
      </c>
      <c r="G43" s="5" t="s">
        <v>66</v>
      </c>
      <c r="H43" s="5" t="s">
        <v>209</v>
      </c>
      <c r="I43" s="5" t="s">
        <v>61</v>
      </c>
      <c r="J43" s="5" t="s">
        <v>67</v>
      </c>
      <c r="K43" s="5" t="s">
        <v>207</v>
      </c>
      <c r="L43" s="5" t="s">
        <v>63</v>
      </c>
      <c r="M43" s="5" t="s">
        <v>64</v>
      </c>
      <c r="N43" s="5" t="s">
        <v>47</v>
      </c>
      <c r="O43" s="5" t="s">
        <v>210</v>
      </c>
      <c r="P43" s="5" t="s">
        <v>73</v>
      </c>
      <c r="Q43" s="5" t="s">
        <v>57</v>
      </c>
      <c r="R43" s="1">
        <v>8</v>
      </c>
      <c r="S43" s="1">
        <v>78</v>
      </c>
      <c r="T43" s="1">
        <v>44</v>
      </c>
      <c r="Y43">
        <f t="shared" si="10"/>
        <v>41</v>
      </c>
      <c r="Z43">
        <f t="shared" si="5"/>
        <v>18</v>
      </c>
    </row>
    <row r="44" spans="1:26" x14ac:dyDescent="0.3">
      <c r="A44" s="46">
        <v>29</v>
      </c>
      <c r="B44" s="4"/>
      <c r="C44" s="6" t="s">
        <v>168</v>
      </c>
      <c r="D44" s="5"/>
      <c r="E44" s="5" t="s">
        <v>50</v>
      </c>
      <c r="F44" s="5" t="s">
        <v>71</v>
      </c>
      <c r="G44" s="5" t="s">
        <v>208</v>
      </c>
      <c r="H44" s="5" t="s">
        <v>56</v>
      </c>
      <c r="I44" s="5" t="s">
        <v>61</v>
      </c>
      <c r="J44" s="5" t="s">
        <v>67</v>
      </c>
      <c r="K44" s="5" t="s">
        <v>207</v>
      </c>
      <c r="L44" s="5" t="s">
        <v>74</v>
      </c>
      <c r="M44" s="5" t="s">
        <v>64</v>
      </c>
      <c r="N44" s="5" t="s">
        <v>47</v>
      </c>
      <c r="O44" s="5" t="s">
        <v>210</v>
      </c>
      <c r="P44" s="5" t="s">
        <v>65</v>
      </c>
      <c r="Q44" s="5" t="s">
        <v>70</v>
      </c>
      <c r="R44" s="1">
        <v>8</v>
      </c>
      <c r="S44" s="1">
        <v>80</v>
      </c>
      <c r="T44" s="1">
        <v>45</v>
      </c>
      <c r="Y44">
        <f t="shared" si="10"/>
        <v>42</v>
      </c>
      <c r="Z44">
        <f t="shared" si="5"/>
        <v>14</v>
      </c>
    </row>
    <row r="45" spans="1:26" x14ac:dyDescent="0.3">
      <c r="A45" s="46">
        <v>30</v>
      </c>
      <c r="B45" s="4"/>
      <c r="C45" s="6" t="s">
        <v>109</v>
      </c>
      <c r="D45" s="5"/>
      <c r="E45" s="5" t="s">
        <v>50</v>
      </c>
      <c r="F45" s="5" t="s">
        <v>51</v>
      </c>
      <c r="G45" s="5" t="s">
        <v>66</v>
      </c>
      <c r="H45" s="5" t="s">
        <v>56</v>
      </c>
      <c r="I45" s="5" t="s">
        <v>58</v>
      </c>
      <c r="J45" s="5" t="s">
        <v>52</v>
      </c>
      <c r="K45" s="5" t="s">
        <v>207</v>
      </c>
      <c r="L45" s="5" t="s">
        <v>74</v>
      </c>
      <c r="M45" s="5" t="s">
        <v>64</v>
      </c>
      <c r="N45" s="5" t="s">
        <v>47</v>
      </c>
      <c r="O45" s="5" t="s">
        <v>75</v>
      </c>
      <c r="P45" s="5" t="s">
        <v>65</v>
      </c>
      <c r="Q45" s="5" t="s">
        <v>57</v>
      </c>
      <c r="R45" s="1">
        <v>8</v>
      </c>
      <c r="S45" s="1">
        <v>83</v>
      </c>
      <c r="T45" s="1">
        <v>45</v>
      </c>
      <c r="Y45">
        <f t="shared" si="10"/>
        <v>43</v>
      </c>
      <c r="Z45">
        <f t="shared" si="5"/>
        <v>9</v>
      </c>
    </row>
    <row r="46" spans="1:26" x14ac:dyDescent="0.3">
      <c r="A46" s="46">
        <v>31</v>
      </c>
      <c r="B46" s="4"/>
      <c r="C46" s="6" t="s">
        <v>37</v>
      </c>
      <c r="D46" s="5"/>
      <c r="E46" s="5" t="s">
        <v>54</v>
      </c>
      <c r="F46" s="5" t="s">
        <v>71</v>
      </c>
      <c r="G46" s="5" t="s">
        <v>208</v>
      </c>
      <c r="H46" s="5" t="s">
        <v>56</v>
      </c>
      <c r="I46" s="5" t="s">
        <v>58</v>
      </c>
      <c r="J46" s="5" t="s">
        <v>52</v>
      </c>
      <c r="K46" s="5" t="s">
        <v>207</v>
      </c>
      <c r="L46" s="5" t="s">
        <v>74</v>
      </c>
      <c r="M46" s="5" t="s">
        <v>64</v>
      </c>
      <c r="N46" s="5" t="s">
        <v>48</v>
      </c>
      <c r="O46" s="5" t="s">
        <v>75</v>
      </c>
      <c r="P46" s="5" t="s">
        <v>65</v>
      </c>
      <c r="Q46" s="5" t="s">
        <v>57</v>
      </c>
      <c r="R46" s="1">
        <v>8</v>
      </c>
      <c r="S46" s="1">
        <v>80</v>
      </c>
      <c r="T46" s="1">
        <v>45</v>
      </c>
      <c r="Y46">
        <f t="shared" si="10"/>
        <v>44</v>
      </c>
      <c r="Z46">
        <f t="shared" si="5"/>
        <v>13</v>
      </c>
    </row>
    <row r="47" spans="1:26" ht="28.8" x14ac:dyDescent="0.3">
      <c r="A47" s="46">
        <v>32</v>
      </c>
      <c r="B47" s="4"/>
      <c r="C47" s="6" t="s">
        <v>81</v>
      </c>
      <c r="D47" s="5"/>
      <c r="E47" s="5" t="s">
        <v>54</v>
      </c>
      <c r="F47" s="5" t="s">
        <v>71</v>
      </c>
      <c r="G47" s="5" t="s">
        <v>208</v>
      </c>
      <c r="H47" s="5" t="s">
        <v>56</v>
      </c>
      <c r="I47" s="5" t="s">
        <v>58</v>
      </c>
      <c r="J47" s="5" t="s">
        <v>52</v>
      </c>
      <c r="K47" s="5" t="s">
        <v>207</v>
      </c>
      <c r="L47" s="5" t="s">
        <v>74</v>
      </c>
      <c r="M47" s="5" t="s">
        <v>64</v>
      </c>
      <c r="N47" s="5" t="s">
        <v>48</v>
      </c>
      <c r="O47" s="5" t="s">
        <v>75</v>
      </c>
      <c r="P47" s="5" t="s">
        <v>65</v>
      </c>
      <c r="Q47" s="5" t="s">
        <v>57</v>
      </c>
      <c r="R47" s="1">
        <v>8</v>
      </c>
      <c r="S47" s="1">
        <v>90</v>
      </c>
      <c r="T47" s="1">
        <v>43</v>
      </c>
      <c r="Y47">
        <f t="shared" si="10"/>
        <v>45</v>
      </c>
      <c r="Z47">
        <f t="shared" si="5"/>
        <v>19</v>
      </c>
    </row>
    <row r="48" spans="1:26" ht="28.8" x14ac:dyDescent="0.3">
      <c r="A48" s="46">
        <v>33</v>
      </c>
      <c r="B48" s="4"/>
      <c r="C48" s="6" t="s">
        <v>143</v>
      </c>
      <c r="D48" s="5"/>
      <c r="E48" s="5" t="s">
        <v>54</v>
      </c>
      <c r="F48" s="5" t="s">
        <v>71</v>
      </c>
      <c r="G48" s="5" t="s">
        <v>208</v>
      </c>
      <c r="H48" s="5" t="s">
        <v>209</v>
      </c>
      <c r="I48" s="5" t="s">
        <v>61</v>
      </c>
      <c r="J48" s="5" t="s">
        <v>67</v>
      </c>
      <c r="K48" s="5" t="s">
        <v>207</v>
      </c>
      <c r="L48" s="5" t="s">
        <v>63</v>
      </c>
      <c r="M48" s="5" t="s">
        <v>69</v>
      </c>
      <c r="N48" s="5" t="s">
        <v>47</v>
      </c>
      <c r="O48" s="5" t="s">
        <v>210</v>
      </c>
      <c r="P48" s="5" t="s">
        <v>73</v>
      </c>
      <c r="Q48" s="5" t="s">
        <v>57</v>
      </c>
      <c r="R48" s="1">
        <v>8</v>
      </c>
      <c r="S48" s="1">
        <v>75</v>
      </c>
      <c r="T48" s="1">
        <v>42</v>
      </c>
      <c r="Y48">
        <f t="shared" si="10"/>
        <v>46</v>
      </c>
      <c r="Z48">
        <f t="shared" si="5"/>
        <v>4</v>
      </c>
    </row>
    <row r="49" spans="1:26" ht="28.8" x14ac:dyDescent="0.3">
      <c r="A49" s="46">
        <v>34</v>
      </c>
      <c r="B49" s="4"/>
      <c r="C49" s="6" t="s">
        <v>140</v>
      </c>
      <c r="D49" s="5"/>
      <c r="E49" s="5" t="s">
        <v>50</v>
      </c>
      <c r="F49" s="5" t="s">
        <v>71</v>
      </c>
      <c r="G49" s="5" t="s">
        <v>66</v>
      </c>
      <c r="H49" s="5" t="s">
        <v>56</v>
      </c>
      <c r="I49" s="5" t="s">
        <v>58</v>
      </c>
      <c r="J49" s="5" t="s">
        <v>67</v>
      </c>
      <c r="K49" s="5" t="s">
        <v>207</v>
      </c>
      <c r="L49" s="5" t="s">
        <v>63</v>
      </c>
      <c r="M49" s="5" t="s">
        <v>64</v>
      </c>
      <c r="N49" s="5" t="s">
        <v>47</v>
      </c>
      <c r="O49" s="5" t="s">
        <v>210</v>
      </c>
      <c r="P49" s="5" t="s">
        <v>73</v>
      </c>
      <c r="Q49" s="5" t="s">
        <v>70</v>
      </c>
      <c r="R49" s="1">
        <v>8</v>
      </c>
      <c r="S49" s="1">
        <v>81</v>
      </c>
      <c r="T49" s="1">
        <v>42</v>
      </c>
      <c r="Y49">
        <f t="shared" si="10"/>
        <v>47</v>
      </c>
      <c r="Z49">
        <f t="shared" si="5"/>
        <v>7</v>
      </c>
    </row>
    <row r="50" spans="1:26" x14ac:dyDescent="0.3">
      <c r="A50" s="46">
        <v>35</v>
      </c>
      <c r="B50" s="4"/>
      <c r="C50" s="6" t="s">
        <v>156</v>
      </c>
      <c r="D50" s="5"/>
      <c r="E50" s="5" t="s">
        <v>50</v>
      </c>
      <c r="F50" s="5" t="s">
        <v>51</v>
      </c>
      <c r="G50" s="5" t="s">
        <v>208</v>
      </c>
      <c r="H50" s="5" t="s">
        <v>209</v>
      </c>
      <c r="I50" s="5" t="s">
        <v>58</v>
      </c>
      <c r="J50" s="5" t="s">
        <v>67</v>
      </c>
      <c r="K50" s="5" t="s">
        <v>207</v>
      </c>
      <c r="L50" s="5" t="s">
        <v>74</v>
      </c>
      <c r="M50" s="5" t="s">
        <v>69</v>
      </c>
      <c r="N50" s="5" t="s">
        <v>48</v>
      </c>
      <c r="O50" s="5" t="s">
        <v>210</v>
      </c>
      <c r="P50" s="5" t="s">
        <v>65</v>
      </c>
      <c r="Q50" s="5" t="s">
        <v>57</v>
      </c>
      <c r="R50" s="1">
        <v>8</v>
      </c>
      <c r="S50" s="1">
        <v>85</v>
      </c>
      <c r="T50" s="1">
        <v>42</v>
      </c>
      <c r="Y50">
        <f t="shared" si="10"/>
        <v>48</v>
      </c>
      <c r="Z50">
        <f t="shared" si="5"/>
        <v>8</v>
      </c>
    </row>
    <row r="51" spans="1:26" x14ac:dyDescent="0.3">
      <c r="A51" s="46">
        <v>36</v>
      </c>
      <c r="B51" s="4"/>
      <c r="C51" s="6" t="s">
        <v>187</v>
      </c>
      <c r="D51" s="5"/>
      <c r="E51" s="5" t="s">
        <v>54</v>
      </c>
      <c r="F51" s="5" t="s">
        <v>71</v>
      </c>
      <c r="G51" s="5" t="s">
        <v>208</v>
      </c>
      <c r="H51" s="5" t="s">
        <v>56</v>
      </c>
      <c r="I51" s="5" t="s">
        <v>58</v>
      </c>
      <c r="J51" s="5" t="s">
        <v>52</v>
      </c>
      <c r="K51" s="5" t="s">
        <v>207</v>
      </c>
      <c r="L51" s="5" t="s">
        <v>63</v>
      </c>
      <c r="M51" s="5" t="s">
        <v>69</v>
      </c>
      <c r="N51" s="5" t="s">
        <v>47</v>
      </c>
      <c r="O51" s="5" t="s">
        <v>75</v>
      </c>
      <c r="P51" s="5" t="s">
        <v>73</v>
      </c>
      <c r="Q51" s="5" t="s">
        <v>57</v>
      </c>
      <c r="R51" s="1">
        <v>8</v>
      </c>
      <c r="S51" s="1">
        <v>82</v>
      </c>
      <c r="T51" s="1">
        <v>46</v>
      </c>
      <c r="Y51">
        <f t="shared" si="10"/>
        <v>49</v>
      </c>
      <c r="Z51">
        <f t="shared" si="5"/>
        <v>4</v>
      </c>
    </row>
    <row r="52" spans="1:26" x14ac:dyDescent="0.3">
      <c r="A52" s="46">
        <v>37</v>
      </c>
      <c r="B52" s="4"/>
      <c r="C52" s="6" t="s">
        <v>151</v>
      </c>
      <c r="D52" s="5"/>
      <c r="E52" s="5" t="s">
        <v>50</v>
      </c>
      <c r="F52" s="5" t="s">
        <v>71</v>
      </c>
      <c r="G52" s="5" t="s">
        <v>208</v>
      </c>
      <c r="H52" s="5" t="s">
        <v>56</v>
      </c>
      <c r="I52" s="5" t="s">
        <v>61</v>
      </c>
      <c r="J52" s="5" t="s">
        <v>52</v>
      </c>
      <c r="K52" s="5" t="s">
        <v>207</v>
      </c>
      <c r="L52" s="5" t="s">
        <v>63</v>
      </c>
      <c r="M52" s="5" t="s">
        <v>69</v>
      </c>
      <c r="N52" s="5" t="s">
        <v>47</v>
      </c>
      <c r="O52" s="5" t="s">
        <v>75</v>
      </c>
      <c r="P52" s="5" t="s">
        <v>73</v>
      </c>
      <c r="Q52" s="5" t="s">
        <v>57</v>
      </c>
      <c r="R52" s="1">
        <v>8</v>
      </c>
      <c r="S52" s="1">
        <v>76</v>
      </c>
      <c r="T52" s="1">
        <v>42</v>
      </c>
      <c r="Y52">
        <f t="shared" si="10"/>
        <v>50</v>
      </c>
      <c r="Z52">
        <f t="shared" si="5"/>
        <v>1</v>
      </c>
    </row>
    <row r="53" spans="1:26" ht="28.8" x14ac:dyDescent="0.3">
      <c r="A53" s="46">
        <v>38</v>
      </c>
      <c r="B53" s="4"/>
      <c r="C53" s="6" t="s">
        <v>9</v>
      </c>
      <c r="D53" s="5"/>
      <c r="E53" s="5" t="s">
        <v>50</v>
      </c>
      <c r="F53" s="5" t="s">
        <v>71</v>
      </c>
      <c r="G53" s="5" t="s">
        <v>208</v>
      </c>
      <c r="H53" s="5" t="s">
        <v>56</v>
      </c>
      <c r="I53" s="5" t="s">
        <v>58</v>
      </c>
      <c r="J53" s="5" t="s">
        <v>52</v>
      </c>
      <c r="K53" s="5" t="s">
        <v>207</v>
      </c>
      <c r="L53" s="5" t="s">
        <v>74</v>
      </c>
      <c r="M53" s="5" t="s">
        <v>64</v>
      </c>
      <c r="N53" s="5" t="s">
        <v>48</v>
      </c>
      <c r="O53" s="5" t="s">
        <v>210</v>
      </c>
      <c r="P53" s="5" t="s">
        <v>65</v>
      </c>
      <c r="Q53" s="5" t="s">
        <v>57</v>
      </c>
      <c r="R53" s="1">
        <v>8</v>
      </c>
      <c r="S53" s="1">
        <v>87</v>
      </c>
      <c r="T53" s="1">
        <v>41</v>
      </c>
      <c r="Y53">
        <f t="shared" si="10"/>
        <v>51</v>
      </c>
      <c r="Z53">
        <f t="shared" si="5"/>
        <v>5</v>
      </c>
    </row>
    <row r="54" spans="1:26" x14ac:dyDescent="0.3">
      <c r="A54" s="46">
        <v>39</v>
      </c>
      <c r="B54" s="4"/>
      <c r="C54" s="6" t="s">
        <v>150</v>
      </c>
      <c r="D54" s="5"/>
      <c r="E54" s="5" t="s">
        <v>50</v>
      </c>
      <c r="F54" s="5" t="s">
        <v>71</v>
      </c>
      <c r="G54" s="5" t="s">
        <v>66</v>
      </c>
      <c r="H54" s="5" t="s">
        <v>209</v>
      </c>
      <c r="I54" s="5" t="s">
        <v>61</v>
      </c>
      <c r="J54" s="5" t="s">
        <v>67</v>
      </c>
      <c r="K54" s="5" t="s">
        <v>62</v>
      </c>
      <c r="L54" s="5" t="s">
        <v>63</v>
      </c>
      <c r="M54" s="5" t="s">
        <v>69</v>
      </c>
      <c r="N54" s="5" t="s">
        <v>47</v>
      </c>
      <c r="O54" s="5" t="s">
        <v>75</v>
      </c>
      <c r="P54" s="5" t="s">
        <v>73</v>
      </c>
      <c r="Q54" s="5" t="s">
        <v>57</v>
      </c>
      <c r="R54" s="1">
        <v>8</v>
      </c>
      <c r="S54" s="1">
        <v>78</v>
      </c>
      <c r="T54" s="1">
        <v>41</v>
      </c>
      <c r="Y54">
        <f t="shared" si="10"/>
        <v>52</v>
      </c>
      <c r="Z54">
        <f t="shared" si="5"/>
        <v>4</v>
      </c>
    </row>
    <row r="55" spans="1:26" x14ac:dyDescent="0.3">
      <c r="A55" s="46">
        <v>40</v>
      </c>
      <c r="B55" s="4"/>
      <c r="C55" s="6" t="s">
        <v>100</v>
      </c>
      <c r="D55" s="5"/>
      <c r="E55" s="5" t="s">
        <v>54</v>
      </c>
      <c r="F55" s="5" t="s">
        <v>71</v>
      </c>
      <c r="G55" s="5" t="s">
        <v>208</v>
      </c>
      <c r="H55" s="5" t="s">
        <v>56</v>
      </c>
      <c r="I55" s="5" t="s">
        <v>61</v>
      </c>
      <c r="J55" s="5" t="s">
        <v>67</v>
      </c>
      <c r="K55" s="5" t="s">
        <v>207</v>
      </c>
      <c r="L55" s="5" t="s">
        <v>74</v>
      </c>
      <c r="M55" s="5" t="s">
        <v>64</v>
      </c>
      <c r="N55" s="5" t="s">
        <v>47</v>
      </c>
      <c r="O55" s="5" t="s">
        <v>210</v>
      </c>
      <c r="P55" s="5" t="s">
        <v>65</v>
      </c>
      <c r="Q55" s="5" t="s">
        <v>57</v>
      </c>
      <c r="R55" s="1">
        <v>8</v>
      </c>
      <c r="S55" s="1">
        <v>84</v>
      </c>
      <c r="T55" s="1">
        <v>41</v>
      </c>
      <c r="Y55">
        <f t="shared" si="10"/>
        <v>53</v>
      </c>
      <c r="Z55">
        <f t="shared" si="5"/>
        <v>1</v>
      </c>
    </row>
    <row r="56" spans="1:26" x14ac:dyDescent="0.3">
      <c r="A56" s="46">
        <v>41</v>
      </c>
      <c r="B56" s="4"/>
      <c r="C56" s="6" t="s">
        <v>169</v>
      </c>
      <c r="D56" s="5"/>
      <c r="E56" s="5" t="s">
        <v>50</v>
      </c>
      <c r="F56" s="5" t="s">
        <v>51</v>
      </c>
      <c r="G56" s="5" t="s">
        <v>66</v>
      </c>
      <c r="H56" s="5" t="s">
        <v>56</v>
      </c>
      <c r="I56" s="5" t="s">
        <v>58</v>
      </c>
      <c r="J56" s="5" t="s">
        <v>67</v>
      </c>
      <c r="K56" s="5" t="s">
        <v>207</v>
      </c>
      <c r="L56" s="5" t="s">
        <v>74</v>
      </c>
      <c r="M56" s="5" t="s">
        <v>64</v>
      </c>
      <c r="N56" s="5" t="s">
        <v>47</v>
      </c>
      <c r="O56" s="5" t="s">
        <v>75</v>
      </c>
      <c r="P56" s="5" t="s">
        <v>73</v>
      </c>
      <c r="Q56" s="5" t="s">
        <v>57</v>
      </c>
      <c r="R56" s="1">
        <v>8</v>
      </c>
      <c r="S56" s="1">
        <v>76</v>
      </c>
      <c r="T56" s="1">
        <v>41</v>
      </c>
      <c r="Y56">
        <f t="shared" si="10"/>
        <v>54</v>
      </c>
      <c r="Z56">
        <f t="shared" si="5"/>
        <v>2</v>
      </c>
    </row>
    <row r="57" spans="1:26" x14ac:dyDescent="0.3">
      <c r="A57" s="46">
        <v>42</v>
      </c>
      <c r="B57" s="4"/>
      <c r="C57" s="6" t="s">
        <v>183</v>
      </c>
      <c r="D57" s="5"/>
      <c r="E57" s="5" t="s">
        <v>54</v>
      </c>
      <c r="F57" s="5" t="s">
        <v>71</v>
      </c>
      <c r="G57" s="5" t="s">
        <v>66</v>
      </c>
      <c r="H57" s="5" t="s">
        <v>56</v>
      </c>
      <c r="I57" s="5" t="s">
        <v>58</v>
      </c>
      <c r="J57" s="5" t="s">
        <v>67</v>
      </c>
      <c r="K57" s="5" t="s">
        <v>207</v>
      </c>
      <c r="L57" s="5" t="s">
        <v>74</v>
      </c>
      <c r="M57" s="5" t="s">
        <v>64</v>
      </c>
      <c r="N57" s="5" t="s">
        <v>48</v>
      </c>
      <c r="O57" s="5" t="s">
        <v>75</v>
      </c>
      <c r="P57" s="5" t="s">
        <v>65</v>
      </c>
      <c r="Q57" s="5" t="s">
        <v>57</v>
      </c>
      <c r="R57" s="1">
        <v>8</v>
      </c>
      <c r="S57" s="1">
        <v>81</v>
      </c>
      <c r="T57" s="1">
        <v>48</v>
      </c>
      <c r="Y57">
        <f t="shared" si="10"/>
        <v>55</v>
      </c>
      <c r="Z57">
        <f t="shared" si="5"/>
        <v>2</v>
      </c>
    </row>
    <row r="58" spans="1:26" x14ac:dyDescent="0.3">
      <c r="A58" s="46">
        <v>43</v>
      </c>
      <c r="B58" s="4"/>
      <c r="C58" s="6" t="s">
        <v>110</v>
      </c>
      <c r="D58" s="5"/>
      <c r="E58" s="5" t="s">
        <v>54</v>
      </c>
      <c r="F58" s="5" t="s">
        <v>71</v>
      </c>
      <c r="G58" s="5" t="s">
        <v>208</v>
      </c>
      <c r="H58" s="5" t="s">
        <v>209</v>
      </c>
      <c r="I58" s="5" t="s">
        <v>58</v>
      </c>
      <c r="J58" s="5" t="s">
        <v>52</v>
      </c>
      <c r="K58" s="5" t="s">
        <v>207</v>
      </c>
      <c r="L58" s="5" t="s">
        <v>74</v>
      </c>
      <c r="M58" s="5" t="s">
        <v>69</v>
      </c>
      <c r="N58" s="5" t="s">
        <v>47</v>
      </c>
      <c r="O58" s="5" t="s">
        <v>75</v>
      </c>
      <c r="P58" s="5" t="s">
        <v>73</v>
      </c>
      <c r="Q58" s="5" t="s">
        <v>57</v>
      </c>
      <c r="R58" s="1">
        <v>8</v>
      </c>
      <c r="S58" s="1">
        <v>86</v>
      </c>
      <c r="T58" s="1">
        <v>48</v>
      </c>
      <c r="Y58">
        <f t="shared" si="10"/>
        <v>56</v>
      </c>
      <c r="Z58">
        <f t="shared" si="5"/>
        <v>1</v>
      </c>
    </row>
    <row r="59" spans="1:26" x14ac:dyDescent="0.3">
      <c r="A59" s="46">
        <v>44</v>
      </c>
      <c r="B59" s="4"/>
      <c r="C59" s="6" t="s">
        <v>21</v>
      </c>
      <c r="D59" s="5"/>
      <c r="E59" s="5" t="s">
        <v>50</v>
      </c>
      <c r="F59" s="5" t="s">
        <v>71</v>
      </c>
      <c r="G59" s="5" t="s">
        <v>208</v>
      </c>
      <c r="H59" s="5" t="s">
        <v>56</v>
      </c>
      <c r="I59" s="5" t="s">
        <v>58</v>
      </c>
      <c r="J59" s="5" t="s">
        <v>52</v>
      </c>
      <c r="K59" s="5" t="s">
        <v>207</v>
      </c>
      <c r="L59" s="5" t="s">
        <v>74</v>
      </c>
      <c r="M59" s="5" t="s">
        <v>64</v>
      </c>
      <c r="N59" s="5" t="s">
        <v>48</v>
      </c>
      <c r="O59" s="5" t="s">
        <v>210</v>
      </c>
      <c r="P59" s="5" t="s">
        <v>65</v>
      </c>
      <c r="Q59" s="5" t="s">
        <v>57</v>
      </c>
      <c r="R59" s="1">
        <v>8</v>
      </c>
      <c r="S59" s="1">
        <v>79</v>
      </c>
      <c r="T59" s="1">
        <v>40</v>
      </c>
      <c r="Y59">
        <f t="shared" si="10"/>
        <v>57</v>
      </c>
      <c r="Z59">
        <f t="shared" si="5"/>
        <v>2</v>
      </c>
    </row>
    <row r="60" spans="1:26" ht="28.8" x14ac:dyDescent="0.3">
      <c r="A60" s="46">
        <v>45</v>
      </c>
      <c r="B60" s="4"/>
      <c r="C60" s="6" t="s">
        <v>10</v>
      </c>
      <c r="D60" s="5"/>
      <c r="E60" s="5" t="s">
        <v>50</v>
      </c>
      <c r="F60" s="5" t="s">
        <v>71</v>
      </c>
      <c r="G60" s="5" t="s">
        <v>208</v>
      </c>
      <c r="H60" s="5" t="s">
        <v>209</v>
      </c>
      <c r="I60" s="5" t="s">
        <v>58</v>
      </c>
      <c r="J60" s="5" t="s">
        <v>52</v>
      </c>
      <c r="K60" s="5" t="s">
        <v>62</v>
      </c>
      <c r="L60" s="5" t="s">
        <v>63</v>
      </c>
      <c r="M60" s="5" t="s">
        <v>64</v>
      </c>
      <c r="N60" s="5" t="s">
        <v>48</v>
      </c>
      <c r="O60" s="5" t="s">
        <v>210</v>
      </c>
      <c r="P60" s="5" t="s">
        <v>73</v>
      </c>
      <c r="Q60" s="5" t="s">
        <v>57</v>
      </c>
      <c r="R60" s="1">
        <v>8</v>
      </c>
      <c r="S60" s="1">
        <v>79</v>
      </c>
      <c r="T60" s="1">
        <v>48</v>
      </c>
      <c r="Y60">
        <f t="shared" si="10"/>
        <v>58</v>
      </c>
      <c r="Z60">
        <f t="shared" si="5"/>
        <v>0</v>
      </c>
    </row>
    <row r="61" spans="1:26" ht="28.8" x14ac:dyDescent="0.3">
      <c r="A61" s="46">
        <v>46</v>
      </c>
      <c r="B61" s="4"/>
      <c r="C61" s="6" t="s">
        <v>163</v>
      </c>
      <c r="D61" s="5"/>
      <c r="E61" s="5" t="s">
        <v>50</v>
      </c>
      <c r="F61" s="5" t="s">
        <v>51</v>
      </c>
      <c r="G61" s="5" t="s">
        <v>66</v>
      </c>
      <c r="H61" s="5" t="s">
        <v>209</v>
      </c>
      <c r="I61" s="5" t="s">
        <v>61</v>
      </c>
      <c r="J61" s="5" t="s">
        <v>52</v>
      </c>
      <c r="K61" s="5" t="s">
        <v>207</v>
      </c>
      <c r="L61" s="5" t="s">
        <v>63</v>
      </c>
      <c r="M61" s="5" t="s">
        <v>64</v>
      </c>
      <c r="N61" s="5" t="s">
        <v>47</v>
      </c>
      <c r="O61" s="5" t="s">
        <v>75</v>
      </c>
      <c r="P61" s="5" t="s">
        <v>65</v>
      </c>
      <c r="Q61" s="5" t="s">
        <v>70</v>
      </c>
      <c r="R61" s="1">
        <v>8</v>
      </c>
      <c r="S61" s="1">
        <v>85</v>
      </c>
      <c r="T61" s="1">
        <v>39</v>
      </c>
      <c r="Y61">
        <f t="shared" si="10"/>
        <v>59</v>
      </c>
      <c r="Z61">
        <f t="shared" si="5"/>
        <v>1</v>
      </c>
    </row>
    <row r="62" spans="1:26" x14ac:dyDescent="0.3">
      <c r="A62" s="46">
        <v>47</v>
      </c>
      <c r="B62" s="4"/>
      <c r="C62" s="6" t="s">
        <v>14</v>
      </c>
      <c r="D62" s="5"/>
      <c r="E62" s="5" t="s">
        <v>54</v>
      </c>
      <c r="F62" s="5" t="s">
        <v>71</v>
      </c>
      <c r="G62" s="5" t="s">
        <v>208</v>
      </c>
      <c r="H62" s="5" t="s">
        <v>56</v>
      </c>
      <c r="I62" s="5" t="s">
        <v>61</v>
      </c>
      <c r="J62" s="5" t="s">
        <v>67</v>
      </c>
      <c r="K62" s="5" t="s">
        <v>207</v>
      </c>
      <c r="L62" s="5" t="s">
        <v>63</v>
      </c>
      <c r="M62" s="5" t="s">
        <v>64</v>
      </c>
      <c r="N62" s="5" t="s">
        <v>48</v>
      </c>
      <c r="O62" s="5" t="s">
        <v>75</v>
      </c>
      <c r="P62" s="5" t="s">
        <v>73</v>
      </c>
      <c r="Q62" s="5" t="s">
        <v>57</v>
      </c>
      <c r="R62" s="1">
        <v>8</v>
      </c>
      <c r="S62" s="1">
        <v>82</v>
      </c>
      <c r="T62" s="1">
        <v>38</v>
      </c>
      <c r="Y62">
        <f t="shared" si="10"/>
        <v>60</v>
      </c>
      <c r="Z62">
        <f t="shared" si="5"/>
        <v>0</v>
      </c>
    </row>
    <row r="63" spans="1:26" x14ac:dyDescent="0.3">
      <c r="A63" s="46">
        <v>48</v>
      </c>
      <c r="B63" s="4"/>
      <c r="C63" s="6" t="s">
        <v>19</v>
      </c>
      <c r="D63" s="5"/>
      <c r="E63" s="5" t="s">
        <v>50</v>
      </c>
      <c r="F63" s="5" t="s">
        <v>71</v>
      </c>
      <c r="G63" s="5" t="s">
        <v>208</v>
      </c>
      <c r="H63" s="5" t="s">
        <v>56</v>
      </c>
      <c r="I63" s="5" t="s">
        <v>58</v>
      </c>
      <c r="J63" s="5" t="s">
        <v>67</v>
      </c>
      <c r="K63" s="5" t="s">
        <v>62</v>
      </c>
      <c r="L63" s="5" t="s">
        <v>74</v>
      </c>
      <c r="M63" s="5" t="s">
        <v>64</v>
      </c>
      <c r="N63" s="5" t="s">
        <v>48</v>
      </c>
      <c r="O63" s="5" t="s">
        <v>75</v>
      </c>
      <c r="P63" s="5" t="s">
        <v>65</v>
      </c>
      <c r="Q63" s="5" t="s">
        <v>70</v>
      </c>
      <c r="R63" s="1">
        <v>8</v>
      </c>
      <c r="S63" s="1">
        <v>88</v>
      </c>
      <c r="T63" s="1">
        <v>50</v>
      </c>
      <c r="Y63">
        <f t="shared" si="10"/>
        <v>61</v>
      </c>
      <c r="Z63">
        <f t="shared" si="5"/>
        <v>0</v>
      </c>
    </row>
    <row r="64" spans="1:26" x14ac:dyDescent="0.3">
      <c r="A64" s="46">
        <v>49</v>
      </c>
      <c r="B64" s="4"/>
      <c r="C64" s="6" t="s">
        <v>136</v>
      </c>
      <c r="D64" s="5"/>
      <c r="E64" s="5" t="s">
        <v>50</v>
      </c>
      <c r="F64" s="5" t="s">
        <v>71</v>
      </c>
      <c r="G64" s="5" t="s">
        <v>208</v>
      </c>
      <c r="H64" s="5" t="s">
        <v>56</v>
      </c>
      <c r="I64" s="5" t="s">
        <v>61</v>
      </c>
      <c r="J64" s="5" t="s">
        <v>52</v>
      </c>
      <c r="K64" s="5" t="s">
        <v>207</v>
      </c>
      <c r="L64" s="5" t="s">
        <v>74</v>
      </c>
      <c r="M64" s="5" t="s">
        <v>64</v>
      </c>
      <c r="N64" s="5" t="s">
        <v>48</v>
      </c>
      <c r="O64" s="5" t="s">
        <v>75</v>
      </c>
      <c r="P64" s="5" t="s">
        <v>65</v>
      </c>
      <c r="Q64" s="5" t="s">
        <v>57</v>
      </c>
      <c r="R64" s="1">
        <v>8</v>
      </c>
      <c r="S64" s="1">
        <v>82</v>
      </c>
      <c r="T64" s="1">
        <v>37</v>
      </c>
      <c r="Y64">
        <f t="shared" si="10"/>
        <v>62</v>
      </c>
      <c r="Z64">
        <f t="shared" si="5"/>
        <v>1</v>
      </c>
    </row>
    <row r="65" spans="1:26" x14ac:dyDescent="0.3">
      <c r="A65" s="46">
        <v>50</v>
      </c>
      <c r="B65" s="4"/>
      <c r="C65" s="6" t="s">
        <v>43</v>
      </c>
      <c r="D65" s="5"/>
      <c r="E65" s="5" t="s">
        <v>54</v>
      </c>
      <c r="F65" s="5" t="s">
        <v>71</v>
      </c>
      <c r="G65" s="5" t="s">
        <v>208</v>
      </c>
      <c r="H65" s="5" t="s">
        <v>209</v>
      </c>
      <c r="I65" s="5" t="s">
        <v>61</v>
      </c>
      <c r="J65" s="5" t="s">
        <v>67</v>
      </c>
      <c r="K65" s="5" t="s">
        <v>207</v>
      </c>
      <c r="L65" s="5" t="s">
        <v>63</v>
      </c>
      <c r="M65" s="5" t="s">
        <v>69</v>
      </c>
      <c r="N65" s="5" t="s">
        <v>48</v>
      </c>
      <c r="O65" s="5" t="s">
        <v>75</v>
      </c>
      <c r="P65" s="5" t="s">
        <v>73</v>
      </c>
      <c r="Q65" s="5" t="s">
        <v>57</v>
      </c>
      <c r="R65" s="1">
        <v>8</v>
      </c>
      <c r="S65" s="1">
        <v>77</v>
      </c>
      <c r="T65" s="1">
        <v>37</v>
      </c>
      <c r="Y65">
        <f t="shared" si="10"/>
        <v>63</v>
      </c>
      <c r="Z65">
        <f t="shared" si="5"/>
        <v>0</v>
      </c>
    </row>
    <row r="66" spans="1:26" x14ac:dyDescent="0.3">
      <c r="A66" s="46">
        <v>51</v>
      </c>
      <c r="B66" s="4"/>
      <c r="C66" s="6" t="s">
        <v>88</v>
      </c>
      <c r="D66" s="5"/>
      <c r="E66" s="5" t="s">
        <v>54</v>
      </c>
      <c r="F66" s="5" t="s">
        <v>71</v>
      </c>
      <c r="G66" s="5" t="s">
        <v>208</v>
      </c>
      <c r="H66" s="5" t="s">
        <v>56</v>
      </c>
      <c r="I66" s="5" t="s">
        <v>58</v>
      </c>
      <c r="J66" s="5" t="s">
        <v>52</v>
      </c>
      <c r="K66" s="5" t="s">
        <v>207</v>
      </c>
      <c r="L66" s="5" t="s">
        <v>74</v>
      </c>
      <c r="M66" s="5" t="s">
        <v>64</v>
      </c>
      <c r="N66" s="5" t="s">
        <v>47</v>
      </c>
      <c r="O66" s="5" t="s">
        <v>75</v>
      </c>
      <c r="P66" s="5" t="s">
        <v>73</v>
      </c>
      <c r="Q66" s="5" t="s">
        <v>57</v>
      </c>
      <c r="R66" s="1">
        <v>8</v>
      </c>
      <c r="S66" s="1">
        <v>85</v>
      </c>
      <c r="T66" s="1">
        <v>35</v>
      </c>
      <c r="Y66">
        <f t="shared" si="10"/>
        <v>64</v>
      </c>
      <c r="Z66">
        <f t="shared" si="5"/>
        <v>0</v>
      </c>
    </row>
    <row r="67" spans="1:26" x14ac:dyDescent="0.3">
      <c r="A67" s="46">
        <v>52</v>
      </c>
      <c r="B67" s="4"/>
      <c r="C67" s="6" t="s">
        <v>129</v>
      </c>
      <c r="D67" s="5"/>
      <c r="E67" s="5" t="s">
        <v>54</v>
      </c>
      <c r="F67" s="5" t="s">
        <v>71</v>
      </c>
      <c r="G67" s="5" t="s">
        <v>208</v>
      </c>
      <c r="H67" s="5" t="s">
        <v>209</v>
      </c>
      <c r="I67" s="5" t="s">
        <v>61</v>
      </c>
      <c r="J67" s="5" t="s">
        <v>52</v>
      </c>
      <c r="K67" s="5" t="s">
        <v>207</v>
      </c>
      <c r="L67" s="5" t="s">
        <v>63</v>
      </c>
      <c r="M67" s="5" t="s">
        <v>64</v>
      </c>
      <c r="N67" s="5" t="s">
        <v>47</v>
      </c>
      <c r="O67" s="5" t="s">
        <v>210</v>
      </c>
      <c r="P67" s="5" t="s">
        <v>73</v>
      </c>
      <c r="Q67" s="5" t="s">
        <v>57</v>
      </c>
      <c r="R67" s="1">
        <v>8</v>
      </c>
      <c r="S67" s="1">
        <v>86</v>
      </c>
      <c r="T67" s="1">
        <v>34</v>
      </c>
      <c r="Y67">
        <f t="shared" si="10"/>
        <v>65</v>
      </c>
      <c r="Z67">
        <f t="shared" ref="Z67:Z120" si="11">COUNTIF(T$16:T$179,Y67)</f>
        <v>0</v>
      </c>
    </row>
    <row r="68" spans="1:26" ht="28.8" x14ac:dyDescent="0.3">
      <c r="A68" s="46">
        <v>53</v>
      </c>
      <c r="B68" s="4"/>
      <c r="C68" s="6" t="s">
        <v>191</v>
      </c>
      <c r="D68" s="5"/>
      <c r="E68" s="5" t="s">
        <v>50</v>
      </c>
      <c r="F68" s="5" t="s">
        <v>71</v>
      </c>
      <c r="G68" s="5" t="s">
        <v>208</v>
      </c>
      <c r="H68" s="5" t="s">
        <v>56</v>
      </c>
      <c r="I68" s="5" t="s">
        <v>61</v>
      </c>
      <c r="J68" s="5" t="s">
        <v>52</v>
      </c>
      <c r="K68" s="5" t="s">
        <v>207</v>
      </c>
      <c r="L68" s="5" t="s">
        <v>63</v>
      </c>
      <c r="M68" s="5" t="s">
        <v>64</v>
      </c>
      <c r="N68" s="5" t="s">
        <v>48</v>
      </c>
      <c r="O68" s="5" t="s">
        <v>75</v>
      </c>
      <c r="P68" s="5" t="s">
        <v>73</v>
      </c>
      <c r="Q68" s="5" t="s">
        <v>57</v>
      </c>
      <c r="R68" s="1">
        <v>8</v>
      </c>
      <c r="S68" s="1">
        <v>81</v>
      </c>
      <c r="T68" s="1">
        <v>54</v>
      </c>
      <c r="Y68">
        <f t="shared" si="10"/>
        <v>66</v>
      </c>
      <c r="Z68">
        <f t="shared" si="11"/>
        <v>0</v>
      </c>
    </row>
    <row r="69" spans="1:26" x14ac:dyDescent="0.3">
      <c r="A69" s="46">
        <v>54</v>
      </c>
      <c r="B69" s="4"/>
      <c r="C69" s="6" t="s">
        <v>128</v>
      </c>
      <c r="D69" s="5"/>
      <c r="E69" s="5" t="s">
        <v>50</v>
      </c>
      <c r="F69" s="5" t="s">
        <v>51</v>
      </c>
      <c r="G69" s="5" t="s">
        <v>208</v>
      </c>
      <c r="H69" s="5" t="s">
        <v>209</v>
      </c>
      <c r="I69" s="5" t="s">
        <v>58</v>
      </c>
      <c r="J69" s="5" t="s">
        <v>67</v>
      </c>
      <c r="K69" s="5" t="s">
        <v>62</v>
      </c>
      <c r="L69" s="5" t="s">
        <v>74</v>
      </c>
      <c r="M69" s="5" t="s">
        <v>69</v>
      </c>
      <c r="N69" s="5" t="s">
        <v>48</v>
      </c>
      <c r="O69" s="5" t="s">
        <v>75</v>
      </c>
      <c r="P69" s="5" t="s">
        <v>65</v>
      </c>
      <c r="Q69" s="5" t="s">
        <v>57</v>
      </c>
      <c r="R69" s="1">
        <v>8</v>
      </c>
      <c r="S69" s="1">
        <v>71</v>
      </c>
      <c r="T69" s="1">
        <v>55</v>
      </c>
      <c r="Y69">
        <f t="shared" si="10"/>
        <v>67</v>
      </c>
      <c r="Z69">
        <f t="shared" si="11"/>
        <v>0</v>
      </c>
    </row>
    <row r="70" spans="1:26" ht="28.8" x14ac:dyDescent="0.3">
      <c r="A70" s="46">
        <v>55</v>
      </c>
      <c r="B70" s="4"/>
      <c r="C70" s="6" t="s">
        <v>170</v>
      </c>
      <c r="D70" s="5"/>
      <c r="E70" s="5" t="s">
        <v>50</v>
      </c>
      <c r="F70" s="5" t="s">
        <v>71</v>
      </c>
      <c r="G70" s="5" t="s">
        <v>208</v>
      </c>
      <c r="H70" s="5" t="s">
        <v>56</v>
      </c>
      <c r="I70" s="5" t="s">
        <v>58</v>
      </c>
      <c r="J70" s="5" t="s">
        <v>67</v>
      </c>
      <c r="K70" s="5" t="s">
        <v>62</v>
      </c>
      <c r="L70" s="5" t="s">
        <v>74</v>
      </c>
      <c r="M70" s="5" t="s">
        <v>64</v>
      </c>
      <c r="N70" s="5" t="s">
        <v>48</v>
      </c>
      <c r="O70" s="5" t="s">
        <v>75</v>
      </c>
      <c r="P70" s="5" t="s">
        <v>65</v>
      </c>
      <c r="Q70" s="5" t="s">
        <v>70</v>
      </c>
      <c r="R70" s="1">
        <v>8</v>
      </c>
      <c r="S70" s="1">
        <v>60</v>
      </c>
      <c r="T70" s="1">
        <v>33</v>
      </c>
      <c r="Y70">
        <f t="shared" si="10"/>
        <v>68</v>
      </c>
      <c r="Z70">
        <f t="shared" si="11"/>
        <v>0</v>
      </c>
    </row>
    <row r="71" spans="1:26" ht="28.8" x14ac:dyDescent="0.3">
      <c r="A71" s="46">
        <v>56</v>
      </c>
      <c r="B71" s="4"/>
      <c r="C71" s="6" t="s">
        <v>6</v>
      </c>
      <c r="D71" s="5"/>
      <c r="E71" s="5" t="s">
        <v>54</v>
      </c>
      <c r="F71" s="5" t="s">
        <v>71</v>
      </c>
      <c r="G71" s="5" t="s">
        <v>208</v>
      </c>
      <c r="H71" s="5" t="s">
        <v>56</v>
      </c>
      <c r="I71" s="5" t="s">
        <v>58</v>
      </c>
      <c r="J71" s="5" t="s">
        <v>67</v>
      </c>
      <c r="K71" s="5" t="s">
        <v>207</v>
      </c>
      <c r="L71" s="5" t="s">
        <v>63</v>
      </c>
      <c r="M71" s="5" t="s">
        <v>69</v>
      </c>
      <c r="N71" s="5" t="s">
        <v>48</v>
      </c>
      <c r="O71" s="5" t="s">
        <v>210</v>
      </c>
      <c r="P71" s="5" t="s">
        <v>65</v>
      </c>
      <c r="Q71" s="5" t="s">
        <v>57</v>
      </c>
      <c r="R71" s="1">
        <v>8</v>
      </c>
      <c r="S71" s="1">
        <v>75</v>
      </c>
      <c r="T71" s="1">
        <v>31</v>
      </c>
      <c r="Y71">
        <f t="shared" ref="Y71:Y120" si="12">Y70+1</f>
        <v>69</v>
      </c>
      <c r="Z71">
        <f t="shared" si="11"/>
        <v>0</v>
      </c>
    </row>
    <row r="72" spans="1:26" x14ac:dyDescent="0.3">
      <c r="A72" s="46">
        <v>57</v>
      </c>
      <c r="B72" s="4"/>
      <c r="C72" s="6" t="s">
        <v>79</v>
      </c>
      <c r="D72" s="5"/>
      <c r="E72" s="5" t="s">
        <v>54</v>
      </c>
      <c r="F72" s="5" t="s">
        <v>51</v>
      </c>
      <c r="G72" s="5" t="s">
        <v>208</v>
      </c>
      <c r="H72" s="5" t="s">
        <v>209</v>
      </c>
      <c r="I72" s="5" t="s">
        <v>58</v>
      </c>
      <c r="J72" s="5" t="s">
        <v>52</v>
      </c>
      <c r="K72" s="5" t="s">
        <v>207</v>
      </c>
      <c r="L72" s="5" t="s">
        <v>74</v>
      </c>
      <c r="M72" s="5" t="s">
        <v>64</v>
      </c>
      <c r="N72" s="5" t="s">
        <v>48</v>
      </c>
      <c r="O72" s="5" t="s">
        <v>75</v>
      </c>
      <c r="P72" s="5" t="s">
        <v>73</v>
      </c>
      <c r="Q72" s="5" t="s">
        <v>57</v>
      </c>
      <c r="R72" s="1">
        <v>7</v>
      </c>
      <c r="S72" s="1">
        <v>75</v>
      </c>
      <c r="T72" s="1">
        <v>44</v>
      </c>
      <c r="Y72">
        <f t="shared" si="12"/>
        <v>70</v>
      </c>
      <c r="Z72">
        <f t="shared" si="11"/>
        <v>0</v>
      </c>
    </row>
    <row r="73" spans="1:26" ht="28.8" x14ac:dyDescent="0.3">
      <c r="A73" s="46">
        <v>58</v>
      </c>
      <c r="B73" s="4"/>
      <c r="C73" s="6" t="s">
        <v>15</v>
      </c>
      <c r="D73" s="5"/>
      <c r="E73" s="5" t="s">
        <v>50</v>
      </c>
      <c r="F73" s="5" t="s">
        <v>71</v>
      </c>
      <c r="G73" s="5" t="s">
        <v>66</v>
      </c>
      <c r="H73" s="5" t="s">
        <v>209</v>
      </c>
      <c r="I73" s="5" t="s">
        <v>61</v>
      </c>
      <c r="J73" s="5" t="s">
        <v>52</v>
      </c>
      <c r="K73" s="5" t="s">
        <v>207</v>
      </c>
      <c r="L73" s="5" t="s">
        <v>63</v>
      </c>
      <c r="M73" s="5" t="s">
        <v>64</v>
      </c>
      <c r="N73" s="5" t="s">
        <v>48</v>
      </c>
      <c r="O73" s="5" t="s">
        <v>210</v>
      </c>
      <c r="P73" s="5" t="s">
        <v>65</v>
      </c>
      <c r="Q73" s="5" t="s">
        <v>70</v>
      </c>
      <c r="R73" s="1">
        <v>7</v>
      </c>
      <c r="S73" s="1">
        <v>76</v>
      </c>
      <c r="T73" s="1">
        <v>44</v>
      </c>
      <c r="Y73">
        <f t="shared" si="12"/>
        <v>71</v>
      </c>
      <c r="Z73">
        <f t="shared" si="11"/>
        <v>0</v>
      </c>
    </row>
    <row r="74" spans="1:26" ht="28.8" x14ac:dyDescent="0.3">
      <c r="A74" s="46">
        <v>59</v>
      </c>
      <c r="B74" s="4"/>
      <c r="C74" s="6" t="s">
        <v>167</v>
      </c>
      <c r="D74" s="5"/>
      <c r="E74" s="5" t="s">
        <v>50</v>
      </c>
      <c r="F74" s="5" t="s">
        <v>71</v>
      </c>
      <c r="G74" s="5" t="s">
        <v>208</v>
      </c>
      <c r="H74" s="5" t="s">
        <v>209</v>
      </c>
      <c r="I74" s="5" t="s">
        <v>61</v>
      </c>
      <c r="J74" s="5" t="s">
        <v>52</v>
      </c>
      <c r="K74" s="5" t="s">
        <v>62</v>
      </c>
      <c r="L74" s="5" t="s">
        <v>63</v>
      </c>
      <c r="M74" s="5" t="s">
        <v>64</v>
      </c>
      <c r="N74" s="5" t="s">
        <v>48</v>
      </c>
      <c r="O74" s="5" t="s">
        <v>75</v>
      </c>
      <c r="P74" s="5" t="s">
        <v>73</v>
      </c>
      <c r="Q74" s="5" t="s">
        <v>70</v>
      </c>
      <c r="R74" s="1">
        <v>7</v>
      </c>
      <c r="S74" s="1">
        <v>71</v>
      </c>
      <c r="T74" s="1">
        <v>45</v>
      </c>
      <c r="Y74">
        <f t="shared" si="12"/>
        <v>72</v>
      </c>
      <c r="Z74">
        <f t="shared" si="11"/>
        <v>0</v>
      </c>
    </row>
    <row r="75" spans="1:26" ht="28.8" x14ac:dyDescent="0.3">
      <c r="A75" s="46">
        <v>60</v>
      </c>
      <c r="B75" s="4"/>
      <c r="C75" s="6" t="s">
        <v>174</v>
      </c>
      <c r="D75" s="5"/>
      <c r="E75" s="5" t="s">
        <v>50</v>
      </c>
      <c r="F75" s="5" t="s">
        <v>71</v>
      </c>
      <c r="G75" s="5" t="s">
        <v>208</v>
      </c>
      <c r="H75" s="5" t="s">
        <v>209</v>
      </c>
      <c r="I75" s="5" t="s">
        <v>61</v>
      </c>
      <c r="J75" s="5" t="s">
        <v>67</v>
      </c>
      <c r="K75" s="5" t="s">
        <v>62</v>
      </c>
      <c r="L75" s="5" t="s">
        <v>74</v>
      </c>
      <c r="M75" s="5" t="s">
        <v>64</v>
      </c>
      <c r="N75" s="5" t="s">
        <v>48</v>
      </c>
      <c r="O75" s="5" t="s">
        <v>210</v>
      </c>
      <c r="P75" s="5" t="s">
        <v>73</v>
      </c>
      <c r="Q75" s="5" t="s">
        <v>57</v>
      </c>
      <c r="R75" s="1">
        <v>7</v>
      </c>
      <c r="S75" s="1">
        <v>84</v>
      </c>
      <c r="T75" s="1">
        <v>45</v>
      </c>
      <c r="Y75">
        <f t="shared" si="12"/>
        <v>73</v>
      </c>
      <c r="Z75">
        <f t="shared" si="11"/>
        <v>0</v>
      </c>
    </row>
    <row r="76" spans="1:26" ht="28.8" x14ac:dyDescent="0.3">
      <c r="A76" s="46">
        <v>61</v>
      </c>
      <c r="B76" s="4"/>
      <c r="C76" s="6" t="s">
        <v>177</v>
      </c>
      <c r="D76" s="5"/>
      <c r="E76" s="5" t="s">
        <v>54</v>
      </c>
      <c r="F76" s="5" t="s">
        <v>71</v>
      </c>
      <c r="G76" s="5" t="s">
        <v>208</v>
      </c>
      <c r="H76" s="5" t="s">
        <v>209</v>
      </c>
      <c r="I76" s="5" t="s">
        <v>61</v>
      </c>
      <c r="J76" s="5" t="s">
        <v>52</v>
      </c>
      <c r="K76" s="5" t="s">
        <v>207</v>
      </c>
      <c r="L76" s="5" t="s">
        <v>63</v>
      </c>
      <c r="M76" s="5" t="s">
        <v>69</v>
      </c>
      <c r="N76" s="5" t="s">
        <v>48</v>
      </c>
      <c r="O76" s="5" t="s">
        <v>75</v>
      </c>
      <c r="P76" s="5" t="s">
        <v>73</v>
      </c>
      <c r="Q76" s="5" t="s">
        <v>57</v>
      </c>
      <c r="R76" s="1">
        <v>7</v>
      </c>
      <c r="S76" s="1">
        <v>85</v>
      </c>
      <c r="T76" s="1">
        <v>45</v>
      </c>
      <c r="Y76">
        <f t="shared" si="12"/>
        <v>74</v>
      </c>
      <c r="Z76">
        <f t="shared" si="11"/>
        <v>0</v>
      </c>
    </row>
    <row r="77" spans="1:26" x14ac:dyDescent="0.3">
      <c r="A77" s="46">
        <v>62</v>
      </c>
      <c r="B77" s="4"/>
      <c r="C77" s="6" t="s">
        <v>181</v>
      </c>
      <c r="D77" s="5"/>
      <c r="E77" s="5" t="s">
        <v>54</v>
      </c>
      <c r="F77" s="5" t="s">
        <v>71</v>
      </c>
      <c r="G77" s="5" t="s">
        <v>208</v>
      </c>
      <c r="H77" s="5" t="s">
        <v>209</v>
      </c>
      <c r="I77" s="5" t="s">
        <v>61</v>
      </c>
      <c r="J77" s="5" t="s">
        <v>52</v>
      </c>
      <c r="K77" s="5" t="s">
        <v>207</v>
      </c>
      <c r="L77" s="5" t="s">
        <v>74</v>
      </c>
      <c r="M77" s="5" t="s">
        <v>64</v>
      </c>
      <c r="N77" s="5" t="s">
        <v>48</v>
      </c>
      <c r="O77" s="5" t="s">
        <v>75</v>
      </c>
      <c r="P77" s="5" t="s">
        <v>73</v>
      </c>
      <c r="Q77" s="5" t="s">
        <v>57</v>
      </c>
      <c r="R77" s="1">
        <v>7</v>
      </c>
      <c r="S77" s="1">
        <v>79</v>
      </c>
      <c r="T77" s="1">
        <v>45</v>
      </c>
      <c r="Y77">
        <f t="shared" si="12"/>
        <v>75</v>
      </c>
      <c r="Z77">
        <f t="shared" si="11"/>
        <v>0</v>
      </c>
    </row>
    <row r="78" spans="1:26" ht="28.8" x14ac:dyDescent="0.3">
      <c r="A78" s="46">
        <v>63</v>
      </c>
      <c r="B78" s="4"/>
      <c r="C78" s="6" t="s">
        <v>148</v>
      </c>
      <c r="D78" s="5"/>
      <c r="E78" s="5" t="s">
        <v>50</v>
      </c>
      <c r="F78" s="5" t="s">
        <v>71</v>
      </c>
      <c r="G78" s="5" t="s">
        <v>208</v>
      </c>
      <c r="H78" s="5" t="s">
        <v>56</v>
      </c>
      <c r="I78" s="5" t="s">
        <v>61</v>
      </c>
      <c r="J78" s="5" t="s">
        <v>52</v>
      </c>
      <c r="K78" s="5" t="s">
        <v>62</v>
      </c>
      <c r="L78" s="5" t="s">
        <v>74</v>
      </c>
      <c r="M78" s="5" t="s">
        <v>64</v>
      </c>
      <c r="N78" s="5" t="s">
        <v>48</v>
      </c>
      <c r="O78" s="5" t="s">
        <v>75</v>
      </c>
      <c r="P78" s="5" t="s">
        <v>65</v>
      </c>
      <c r="Q78" s="5" t="s">
        <v>57</v>
      </c>
      <c r="R78" s="1">
        <v>7</v>
      </c>
      <c r="S78" s="1">
        <v>82</v>
      </c>
      <c r="T78" s="1">
        <v>43</v>
      </c>
      <c r="Y78">
        <f t="shared" si="12"/>
        <v>76</v>
      </c>
      <c r="Z78">
        <f t="shared" si="11"/>
        <v>0</v>
      </c>
    </row>
    <row r="79" spans="1:26" ht="28.8" x14ac:dyDescent="0.3">
      <c r="A79" s="46">
        <v>64</v>
      </c>
      <c r="B79" s="4"/>
      <c r="C79" s="6" t="s">
        <v>147</v>
      </c>
      <c r="D79" s="5"/>
      <c r="E79" s="5" t="s">
        <v>50</v>
      </c>
      <c r="F79" s="5" t="s">
        <v>51</v>
      </c>
      <c r="G79" s="5" t="s">
        <v>66</v>
      </c>
      <c r="H79" s="5" t="s">
        <v>56</v>
      </c>
      <c r="I79" s="5" t="s">
        <v>58</v>
      </c>
      <c r="J79" s="5" t="s">
        <v>52</v>
      </c>
      <c r="K79" s="5" t="s">
        <v>207</v>
      </c>
      <c r="L79" s="5" t="s">
        <v>74</v>
      </c>
      <c r="M79" s="5" t="s">
        <v>64</v>
      </c>
      <c r="N79" s="5" t="s">
        <v>48</v>
      </c>
      <c r="O79" s="5" t="s">
        <v>75</v>
      </c>
      <c r="P79" s="5" t="s">
        <v>65</v>
      </c>
      <c r="Q79" s="5" t="s">
        <v>57</v>
      </c>
      <c r="R79" s="1">
        <v>7</v>
      </c>
      <c r="S79" s="1">
        <v>83</v>
      </c>
      <c r="T79" s="1">
        <v>45</v>
      </c>
      <c r="Y79">
        <f t="shared" si="12"/>
        <v>77</v>
      </c>
      <c r="Z79">
        <f t="shared" si="11"/>
        <v>0</v>
      </c>
    </row>
    <row r="80" spans="1:26" ht="28.8" x14ac:dyDescent="0.3">
      <c r="A80" s="46">
        <v>65</v>
      </c>
      <c r="B80" s="4"/>
      <c r="C80" s="6" t="s">
        <v>125</v>
      </c>
      <c r="D80" s="5"/>
      <c r="E80" s="5" t="s">
        <v>54</v>
      </c>
      <c r="F80" s="5" t="s">
        <v>51</v>
      </c>
      <c r="G80" s="5" t="s">
        <v>66</v>
      </c>
      <c r="H80" s="5" t="s">
        <v>209</v>
      </c>
      <c r="I80" s="5" t="s">
        <v>58</v>
      </c>
      <c r="J80" s="5" t="s">
        <v>52</v>
      </c>
      <c r="K80" s="5" t="s">
        <v>207</v>
      </c>
      <c r="L80" s="5" t="s">
        <v>74</v>
      </c>
      <c r="M80" s="5" t="s">
        <v>69</v>
      </c>
      <c r="N80" s="5" t="s">
        <v>47</v>
      </c>
      <c r="O80" s="5" t="s">
        <v>75</v>
      </c>
      <c r="P80" s="5" t="s">
        <v>65</v>
      </c>
      <c r="Q80" s="5" t="s">
        <v>57</v>
      </c>
      <c r="R80" s="1">
        <v>7</v>
      </c>
      <c r="S80" s="1">
        <v>84</v>
      </c>
      <c r="T80" s="1">
        <v>45</v>
      </c>
      <c r="Y80">
        <f t="shared" si="12"/>
        <v>78</v>
      </c>
      <c r="Z80">
        <f t="shared" si="11"/>
        <v>0</v>
      </c>
    </row>
    <row r="81" spans="1:26" ht="28.8" x14ac:dyDescent="0.3">
      <c r="A81" s="46">
        <v>66</v>
      </c>
      <c r="B81" s="4"/>
      <c r="C81" s="6" t="s">
        <v>197</v>
      </c>
      <c r="D81" s="5"/>
      <c r="E81" s="5" t="s">
        <v>54</v>
      </c>
      <c r="F81" s="5" t="s">
        <v>71</v>
      </c>
      <c r="G81" s="5" t="s">
        <v>66</v>
      </c>
      <c r="H81" s="5" t="s">
        <v>56</v>
      </c>
      <c r="I81" s="5" t="s">
        <v>58</v>
      </c>
      <c r="J81" s="5" t="s">
        <v>67</v>
      </c>
      <c r="K81" s="5" t="s">
        <v>207</v>
      </c>
      <c r="L81" s="5" t="s">
        <v>63</v>
      </c>
      <c r="M81" s="5" t="s">
        <v>69</v>
      </c>
      <c r="N81" s="5" t="s">
        <v>48</v>
      </c>
      <c r="O81" s="5" t="s">
        <v>210</v>
      </c>
      <c r="P81" s="5" t="s">
        <v>65</v>
      </c>
      <c r="Q81" s="5" t="s">
        <v>57</v>
      </c>
      <c r="R81" s="1">
        <v>7</v>
      </c>
      <c r="S81" s="1">
        <v>56</v>
      </c>
      <c r="T81" s="1">
        <v>43</v>
      </c>
      <c r="Y81">
        <f t="shared" si="12"/>
        <v>79</v>
      </c>
      <c r="Z81">
        <f t="shared" si="11"/>
        <v>0</v>
      </c>
    </row>
    <row r="82" spans="1:26" ht="28.8" x14ac:dyDescent="0.3">
      <c r="A82" s="46">
        <v>67</v>
      </c>
      <c r="B82" s="4"/>
      <c r="C82" s="6" t="s">
        <v>29</v>
      </c>
      <c r="D82" s="5"/>
      <c r="E82" s="5" t="s">
        <v>54</v>
      </c>
      <c r="F82" s="5" t="s">
        <v>71</v>
      </c>
      <c r="G82" s="5" t="s">
        <v>208</v>
      </c>
      <c r="H82" s="5" t="s">
        <v>209</v>
      </c>
      <c r="I82" s="5" t="s">
        <v>58</v>
      </c>
      <c r="J82" s="5" t="s">
        <v>67</v>
      </c>
      <c r="K82" s="5" t="s">
        <v>207</v>
      </c>
      <c r="L82" s="5" t="s">
        <v>74</v>
      </c>
      <c r="M82" s="5" t="s">
        <v>69</v>
      </c>
      <c r="N82" s="5" t="s">
        <v>48</v>
      </c>
      <c r="O82" s="5" t="s">
        <v>210</v>
      </c>
      <c r="P82" s="5" t="s">
        <v>73</v>
      </c>
      <c r="Q82" s="5" t="s">
        <v>57</v>
      </c>
      <c r="R82" s="1">
        <v>7</v>
      </c>
      <c r="S82" s="1">
        <v>75</v>
      </c>
      <c r="T82" s="1">
        <v>45</v>
      </c>
      <c r="Y82">
        <f t="shared" si="12"/>
        <v>80</v>
      </c>
      <c r="Z82">
        <f t="shared" si="11"/>
        <v>0</v>
      </c>
    </row>
    <row r="83" spans="1:26" ht="28.8" x14ac:dyDescent="0.3">
      <c r="A83" s="46">
        <v>68</v>
      </c>
      <c r="B83" s="4"/>
      <c r="C83" s="6" t="s">
        <v>116</v>
      </c>
      <c r="D83" s="5"/>
      <c r="E83" s="5" t="s">
        <v>54</v>
      </c>
      <c r="F83" s="5" t="s">
        <v>71</v>
      </c>
      <c r="G83" s="5" t="s">
        <v>66</v>
      </c>
      <c r="H83" s="5" t="s">
        <v>56</v>
      </c>
      <c r="I83" s="5" t="s">
        <v>61</v>
      </c>
      <c r="J83" s="5" t="s">
        <v>67</v>
      </c>
      <c r="K83" s="5" t="s">
        <v>62</v>
      </c>
      <c r="L83" s="5" t="s">
        <v>74</v>
      </c>
      <c r="M83" s="5" t="s">
        <v>64</v>
      </c>
      <c r="N83" s="5" t="s">
        <v>47</v>
      </c>
      <c r="O83" s="5" t="s">
        <v>75</v>
      </c>
      <c r="P83" s="5" t="s">
        <v>65</v>
      </c>
      <c r="Q83" s="5" t="s">
        <v>57</v>
      </c>
      <c r="R83" s="1">
        <v>7</v>
      </c>
      <c r="S83" s="1">
        <v>83</v>
      </c>
      <c r="T83" s="1">
        <v>45</v>
      </c>
      <c r="Y83">
        <f t="shared" si="12"/>
        <v>81</v>
      </c>
      <c r="Z83">
        <f t="shared" si="11"/>
        <v>0</v>
      </c>
    </row>
    <row r="84" spans="1:26" x14ac:dyDescent="0.3">
      <c r="A84" s="46">
        <v>69</v>
      </c>
      <c r="B84" s="4"/>
      <c r="C84" s="6" t="s">
        <v>180</v>
      </c>
      <c r="D84" s="5"/>
      <c r="E84" s="5" t="s">
        <v>54</v>
      </c>
      <c r="F84" s="5" t="s">
        <v>71</v>
      </c>
      <c r="G84" s="5" t="s">
        <v>208</v>
      </c>
      <c r="H84" s="5" t="s">
        <v>56</v>
      </c>
      <c r="I84" s="5" t="s">
        <v>61</v>
      </c>
      <c r="J84" s="5" t="s">
        <v>52</v>
      </c>
      <c r="K84" s="5" t="s">
        <v>207</v>
      </c>
      <c r="L84" s="5" t="s">
        <v>63</v>
      </c>
      <c r="M84" s="5" t="s">
        <v>64</v>
      </c>
      <c r="N84" s="5" t="s">
        <v>48</v>
      </c>
      <c r="O84" s="5" t="s">
        <v>75</v>
      </c>
      <c r="P84" s="5" t="s">
        <v>73</v>
      </c>
      <c r="Q84" s="5" t="s">
        <v>57</v>
      </c>
      <c r="R84" s="1">
        <v>7</v>
      </c>
      <c r="S84" s="1">
        <v>82</v>
      </c>
      <c r="T84" s="1">
        <v>45</v>
      </c>
      <c r="Y84">
        <f t="shared" si="12"/>
        <v>82</v>
      </c>
      <c r="Z84">
        <f t="shared" si="11"/>
        <v>0</v>
      </c>
    </row>
    <row r="85" spans="1:26" x14ac:dyDescent="0.3">
      <c r="A85" s="46">
        <v>70</v>
      </c>
      <c r="B85" s="4"/>
      <c r="C85" s="6" t="s">
        <v>155</v>
      </c>
      <c r="D85" s="5"/>
      <c r="E85" s="5" t="s">
        <v>50</v>
      </c>
      <c r="F85" s="5" t="s">
        <v>71</v>
      </c>
      <c r="G85" s="5" t="s">
        <v>208</v>
      </c>
      <c r="H85" s="5" t="s">
        <v>209</v>
      </c>
      <c r="I85" s="5" t="s">
        <v>61</v>
      </c>
      <c r="J85" s="5" t="s">
        <v>52</v>
      </c>
      <c r="K85" s="5" t="s">
        <v>62</v>
      </c>
      <c r="L85" s="5" t="s">
        <v>63</v>
      </c>
      <c r="M85" s="5" t="s">
        <v>69</v>
      </c>
      <c r="N85" s="5" t="s">
        <v>47</v>
      </c>
      <c r="O85" s="5" t="s">
        <v>210</v>
      </c>
      <c r="P85" s="5" t="s">
        <v>73</v>
      </c>
      <c r="Q85" s="5" t="s">
        <v>57</v>
      </c>
      <c r="R85" s="1">
        <v>7</v>
      </c>
      <c r="S85" s="1">
        <v>73</v>
      </c>
      <c r="T85" s="1">
        <v>42</v>
      </c>
      <c r="Y85">
        <f t="shared" si="12"/>
        <v>83</v>
      </c>
      <c r="Z85">
        <f t="shared" si="11"/>
        <v>0</v>
      </c>
    </row>
    <row r="86" spans="1:26" x14ac:dyDescent="0.3">
      <c r="A86" s="46">
        <v>71</v>
      </c>
      <c r="B86" s="4"/>
      <c r="C86" s="6" t="s">
        <v>186</v>
      </c>
      <c r="D86" s="5"/>
      <c r="E86" s="5" t="s">
        <v>54</v>
      </c>
      <c r="F86" s="5" t="s">
        <v>51</v>
      </c>
      <c r="G86" s="5" t="s">
        <v>208</v>
      </c>
      <c r="H86" s="5" t="s">
        <v>209</v>
      </c>
      <c r="I86" s="5" t="s">
        <v>58</v>
      </c>
      <c r="J86" s="5" t="s">
        <v>67</v>
      </c>
      <c r="K86" s="5" t="s">
        <v>207</v>
      </c>
      <c r="L86" s="5" t="s">
        <v>74</v>
      </c>
      <c r="M86" s="5" t="s">
        <v>64</v>
      </c>
      <c r="N86" s="5" t="s">
        <v>48</v>
      </c>
      <c r="O86" s="5" t="s">
        <v>210</v>
      </c>
      <c r="P86" s="5" t="s">
        <v>65</v>
      </c>
      <c r="Q86" s="5" t="s">
        <v>70</v>
      </c>
      <c r="R86" s="1">
        <v>7</v>
      </c>
      <c r="S86" s="1">
        <v>76</v>
      </c>
      <c r="T86" s="1">
        <v>42</v>
      </c>
      <c r="Y86">
        <f t="shared" si="12"/>
        <v>84</v>
      </c>
      <c r="Z86">
        <f t="shared" si="11"/>
        <v>0</v>
      </c>
    </row>
    <row r="87" spans="1:26" ht="43.2" x14ac:dyDescent="0.3">
      <c r="A87" s="46">
        <v>72</v>
      </c>
      <c r="B87" s="4"/>
      <c r="C87" s="6" t="s">
        <v>171</v>
      </c>
      <c r="D87" s="5"/>
      <c r="E87" s="5" t="s">
        <v>50</v>
      </c>
      <c r="F87" s="5" t="s">
        <v>51</v>
      </c>
      <c r="G87" s="5" t="s">
        <v>208</v>
      </c>
      <c r="H87" s="5" t="s">
        <v>209</v>
      </c>
      <c r="I87" s="5" t="s">
        <v>58</v>
      </c>
      <c r="J87" s="5" t="s">
        <v>67</v>
      </c>
      <c r="K87" s="5" t="s">
        <v>62</v>
      </c>
      <c r="L87" s="5" t="s">
        <v>74</v>
      </c>
      <c r="M87" s="5" t="s">
        <v>69</v>
      </c>
      <c r="N87" s="5" t="s">
        <v>47</v>
      </c>
      <c r="O87" s="5" t="s">
        <v>75</v>
      </c>
      <c r="P87" s="5" t="s">
        <v>73</v>
      </c>
      <c r="Q87" s="5" t="s">
        <v>70</v>
      </c>
      <c r="R87" s="1">
        <v>7</v>
      </c>
      <c r="S87" s="1">
        <v>77</v>
      </c>
      <c r="T87" s="1">
        <v>42</v>
      </c>
      <c r="Y87">
        <f t="shared" si="12"/>
        <v>85</v>
      </c>
      <c r="Z87">
        <f t="shared" si="11"/>
        <v>0</v>
      </c>
    </row>
    <row r="88" spans="1:26" x14ac:dyDescent="0.3">
      <c r="A88" s="46">
        <v>73</v>
      </c>
      <c r="B88" s="4"/>
      <c r="C88" s="6" t="s">
        <v>42</v>
      </c>
      <c r="D88" s="5"/>
      <c r="E88" s="5" t="s">
        <v>54</v>
      </c>
      <c r="F88" s="5" t="s">
        <v>71</v>
      </c>
      <c r="G88" s="5" t="s">
        <v>208</v>
      </c>
      <c r="H88" s="5" t="s">
        <v>56</v>
      </c>
      <c r="I88" s="5" t="s">
        <v>58</v>
      </c>
      <c r="J88" s="5" t="s">
        <v>52</v>
      </c>
      <c r="K88" s="5" t="s">
        <v>207</v>
      </c>
      <c r="L88" s="5" t="s">
        <v>74</v>
      </c>
      <c r="M88" s="5" t="s">
        <v>64</v>
      </c>
      <c r="N88" s="5" t="s">
        <v>48</v>
      </c>
      <c r="O88" s="5" t="s">
        <v>210</v>
      </c>
      <c r="P88" s="5" t="s">
        <v>65</v>
      </c>
      <c r="Q88" s="5" t="s">
        <v>57</v>
      </c>
      <c r="R88" s="1">
        <v>7</v>
      </c>
      <c r="S88" s="1">
        <v>79</v>
      </c>
      <c r="T88" s="1">
        <v>42</v>
      </c>
      <c r="Y88">
        <f t="shared" si="12"/>
        <v>86</v>
      </c>
      <c r="Z88">
        <f t="shared" si="11"/>
        <v>0</v>
      </c>
    </row>
    <row r="89" spans="1:26" x14ac:dyDescent="0.3">
      <c r="A89" s="46">
        <v>74</v>
      </c>
      <c r="B89" s="4"/>
      <c r="C89" s="6" t="s">
        <v>33</v>
      </c>
      <c r="D89" s="5"/>
      <c r="E89" s="5" t="s">
        <v>54</v>
      </c>
      <c r="F89" s="5" t="s">
        <v>51</v>
      </c>
      <c r="G89" s="5" t="s">
        <v>66</v>
      </c>
      <c r="H89" s="5" t="s">
        <v>209</v>
      </c>
      <c r="I89" s="5" t="s">
        <v>58</v>
      </c>
      <c r="J89" s="5" t="s">
        <v>67</v>
      </c>
      <c r="K89" s="5" t="s">
        <v>62</v>
      </c>
      <c r="L89" s="5" t="s">
        <v>74</v>
      </c>
      <c r="M89" s="5" t="s">
        <v>64</v>
      </c>
      <c r="N89" s="5" t="s">
        <v>47</v>
      </c>
      <c r="O89" s="5" t="s">
        <v>75</v>
      </c>
      <c r="P89" s="5" t="s">
        <v>73</v>
      </c>
      <c r="Q89" s="5" t="s">
        <v>57</v>
      </c>
      <c r="R89" s="1">
        <v>7</v>
      </c>
      <c r="S89" s="1">
        <v>77</v>
      </c>
      <c r="T89" s="1">
        <v>42</v>
      </c>
      <c r="Y89">
        <f t="shared" si="12"/>
        <v>87</v>
      </c>
      <c r="Z89">
        <f t="shared" si="11"/>
        <v>0</v>
      </c>
    </row>
    <row r="90" spans="1:26" ht="28.8" x14ac:dyDescent="0.3">
      <c r="A90" s="46">
        <v>75</v>
      </c>
      <c r="B90" s="4"/>
      <c r="C90" s="6" t="s">
        <v>22</v>
      </c>
      <c r="D90" s="5"/>
      <c r="E90" s="5" t="s">
        <v>54</v>
      </c>
      <c r="F90" s="5" t="s">
        <v>71</v>
      </c>
      <c r="G90" s="5" t="s">
        <v>208</v>
      </c>
      <c r="H90" s="5" t="s">
        <v>209</v>
      </c>
      <c r="I90" s="5" t="s">
        <v>61</v>
      </c>
      <c r="J90" s="5" t="s">
        <v>67</v>
      </c>
      <c r="K90" s="5" t="s">
        <v>207</v>
      </c>
      <c r="L90" s="5" t="s">
        <v>63</v>
      </c>
      <c r="M90" s="5" t="s">
        <v>69</v>
      </c>
      <c r="N90" s="5" t="s">
        <v>48</v>
      </c>
      <c r="O90" s="5" t="s">
        <v>210</v>
      </c>
      <c r="P90" s="5" t="s">
        <v>73</v>
      </c>
      <c r="Q90" s="5" t="s">
        <v>57</v>
      </c>
      <c r="R90" s="1">
        <v>7</v>
      </c>
      <c r="S90" s="1">
        <v>87</v>
      </c>
      <c r="T90" s="1">
        <v>41</v>
      </c>
      <c r="Y90">
        <f t="shared" si="12"/>
        <v>88</v>
      </c>
      <c r="Z90">
        <f t="shared" si="11"/>
        <v>0</v>
      </c>
    </row>
    <row r="91" spans="1:26" ht="28.8" x14ac:dyDescent="0.3">
      <c r="A91" s="46">
        <v>76</v>
      </c>
      <c r="B91" s="4"/>
      <c r="C91" s="6" t="s">
        <v>164</v>
      </c>
      <c r="D91" s="5"/>
      <c r="E91" s="5" t="s">
        <v>54</v>
      </c>
      <c r="F91" s="5" t="s">
        <v>71</v>
      </c>
      <c r="G91" s="5" t="s">
        <v>66</v>
      </c>
      <c r="H91" s="5" t="s">
        <v>209</v>
      </c>
      <c r="I91" s="5" t="s">
        <v>58</v>
      </c>
      <c r="J91" s="5" t="s">
        <v>67</v>
      </c>
      <c r="K91" s="5" t="s">
        <v>207</v>
      </c>
      <c r="L91" s="5" t="s">
        <v>74</v>
      </c>
      <c r="M91" s="5" t="s">
        <v>69</v>
      </c>
      <c r="N91" s="5" t="s">
        <v>47</v>
      </c>
      <c r="O91" s="5" t="s">
        <v>210</v>
      </c>
      <c r="P91" s="5" t="s">
        <v>73</v>
      </c>
      <c r="Q91" s="5" t="s">
        <v>57</v>
      </c>
      <c r="R91" s="1">
        <v>7</v>
      </c>
      <c r="S91" s="1">
        <v>80</v>
      </c>
      <c r="T91" s="1">
        <v>41</v>
      </c>
      <c r="Y91">
        <f t="shared" si="12"/>
        <v>89</v>
      </c>
      <c r="Z91">
        <f t="shared" si="11"/>
        <v>0</v>
      </c>
    </row>
    <row r="92" spans="1:26" ht="28.8" x14ac:dyDescent="0.3">
      <c r="A92" s="46">
        <v>77</v>
      </c>
      <c r="B92" s="4"/>
      <c r="C92" s="6" t="s">
        <v>122</v>
      </c>
      <c r="D92" s="5"/>
      <c r="E92" s="5" t="s">
        <v>50</v>
      </c>
      <c r="F92" s="5" t="s">
        <v>51</v>
      </c>
      <c r="G92" s="5" t="s">
        <v>208</v>
      </c>
      <c r="H92" s="5" t="s">
        <v>209</v>
      </c>
      <c r="I92" s="5" t="s">
        <v>58</v>
      </c>
      <c r="J92" s="5" t="s">
        <v>67</v>
      </c>
      <c r="K92" s="5" t="s">
        <v>62</v>
      </c>
      <c r="L92" s="5" t="s">
        <v>74</v>
      </c>
      <c r="M92" s="5" t="s">
        <v>69</v>
      </c>
      <c r="N92" s="5" t="s">
        <v>48</v>
      </c>
      <c r="O92" s="5" t="s">
        <v>75</v>
      </c>
      <c r="P92" s="5" t="s">
        <v>65</v>
      </c>
      <c r="Q92" s="5" t="s">
        <v>70</v>
      </c>
      <c r="R92" s="1">
        <v>7</v>
      </c>
      <c r="S92" s="1">
        <v>74</v>
      </c>
      <c r="T92" s="1">
        <v>47</v>
      </c>
      <c r="Y92">
        <f t="shared" si="12"/>
        <v>90</v>
      </c>
      <c r="Z92">
        <f t="shared" si="11"/>
        <v>0</v>
      </c>
    </row>
    <row r="93" spans="1:26" ht="28.8" x14ac:dyDescent="0.3">
      <c r="A93" s="46">
        <v>78</v>
      </c>
      <c r="B93" s="4"/>
      <c r="C93" s="6" t="s">
        <v>159</v>
      </c>
      <c r="D93" s="5"/>
      <c r="E93" s="5" t="s">
        <v>54</v>
      </c>
      <c r="F93" s="5" t="s">
        <v>71</v>
      </c>
      <c r="G93" s="5" t="s">
        <v>208</v>
      </c>
      <c r="H93" s="5" t="s">
        <v>56</v>
      </c>
      <c r="I93" s="5" t="s">
        <v>61</v>
      </c>
      <c r="J93" s="5" t="s">
        <v>67</v>
      </c>
      <c r="K93" s="5" t="s">
        <v>62</v>
      </c>
      <c r="L93" s="5" t="s">
        <v>63</v>
      </c>
      <c r="M93" s="5" t="s">
        <v>69</v>
      </c>
      <c r="N93" s="5" t="s">
        <v>47</v>
      </c>
      <c r="O93" s="5" t="s">
        <v>75</v>
      </c>
      <c r="P93" s="5" t="s">
        <v>73</v>
      </c>
      <c r="Q93" s="5" t="s">
        <v>57</v>
      </c>
      <c r="R93" s="1">
        <v>7</v>
      </c>
      <c r="S93" s="1">
        <v>72</v>
      </c>
      <c r="T93" s="1">
        <v>47</v>
      </c>
      <c r="Y93">
        <f t="shared" si="12"/>
        <v>91</v>
      </c>
      <c r="Z93">
        <f t="shared" si="11"/>
        <v>0</v>
      </c>
    </row>
    <row r="94" spans="1:26" x14ac:dyDescent="0.3">
      <c r="A94" s="46">
        <v>79</v>
      </c>
      <c r="B94" s="4"/>
      <c r="C94" s="6" t="s">
        <v>97</v>
      </c>
      <c r="D94" s="5"/>
      <c r="E94" s="5" t="s">
        <v>54</v>
      </c>
      <c r="F94" s="5" t="s">
        <v>71</v>
      </c>
      <c r="G94" s="5" t="s">
        <v>208</v>
      </c>
      <c r="H94" s="5" t="s">
        <v>56</v>
      </c>
      <c r="I94" s="5" t="s">
        <v>61</v>
      </c>
      <c r="J94" s="5" t="s">
        <v>67</v>
      </c>
      <c r="K94" s="5" t="s">
        <v>207</v>
      </c>
      <c r="L94" s="5" t="s">
        <v>74</v>
      </c>
      <c r="M94" s="5" t="s">
        <v>64</v>
      </c>
      <c r="N94" s="5" t="s">
        <v>48</v>
      </c>
      <c r="O94" s="5" t="s">
        <v>75</v>
      </c>
      <c r="P94" s="5" t="s">
        <v>73</v>
      </c>
      <c r="Q94" s="5" t="s">
        <v>57</v>
      </c>
      <c r="R94" s="1">
        <v>7</v>
      </c>
      <c r="S94" s="1">
        <v>74</v>
      </c>
      <c r="T94" s="1">
        <v>47</v>
      </c>
      <c r="Y94">
        <f t="shared" si="12"/>
        <v>92</v>
      </c>
      <c r="Z94">
        <f t="shared" si="11"/>
        <v>0</v>
      </c>
    </row>
    <row r="95" spans="1:26" ht="28.8" x14ac:dyDescent="0.3">
      <c r="A95" s="46">
        <v>80</v>
      </c>
      <c r="B95" s="4"/>
      <c r="C95" s="6" t="s">
        <v>113</v>
      </c>
      <c r="D95" s="5"/>
      <c r="E95" s="5" t="s">
        <v>54</v>
      </c>
      <c r="F95" s="5" t="s">
        <v>71</v>
      </c>
      <c r="G95" s="5" t="s">
        <v>208</v>
      </c>
      <c r="H95" s="5" t="s">
        <v>209</v>
      </c>
      <c r="I95" s="5" t="s">
        <v>58</v>
      </c>
      <c r="J95" s="5" t="s">
        <v>67</v>
      </c>
      <c r="K95" s="5" t="s">
        <v>207</v>
      </c>
      <c r="L95" s="5" t="s">
        <v>74</v>
      </c>
      <c r="M95" s="5" t="s">
        <v>69</v>
      </c>
      <c r="N95" s="5" t="s">
        <v>48</v>
      </c>
      <c r="O95" s="5" t="s">
        <v>210</v>
      </c>
      <c r="P95" s="5" t="s">
        <v>73</v>
      </c>
      <c r="Q95" s="5" t="s">
        <v>57</v>
      </c>
      <c r="R95" s="1">
        <v>7</v>
      </c>
      <c r="S95" s="1">
        <v>85</v>
      </c>
      <c r="T95" s="1">
        <v>47</v>
      </c>
      <c r="Y95">
        <f t="shared" si="12"/>
        <v>93</v>
      </c>
      <c r="Z95">
        <f t="shared" si="11"/>
        <v>0</v>
      </c>
    </row>
    <row r="96" spans="1:26" x14ac:dyDescent="0.3">
      <c r="A96" s="46">
        <v>81</v>
      </c>
      <c r="B96" s="4"/>
      <c r="C96" s="6" t="s">
        <v>157</v>
      </c>
      <c r="D96" s="5"/>
      <c r="E96" s="5" t="s">
        <v>54</v>
      </c>
      <c r="F96" s="5" t="s">
        <v>71</v>
      </c>
      <c r="G96" s="5" t="s">
        <v>208</v>
      </c>
      <c r="H96" s="5" t="s">
        <v>209</v>
      </c>
      <c r="I96" s="5" t="s">
        <v>58</v>
      </c>
      <c r="J96" s="5" t="s">
        <v>52</v>
      </c>
      <c r="K96" s="5" t="s">
        <v>207</v>
      </c>
      <c r="L96" s="5" t="s">
        <v>74</v>
      </c>
      <c r="M96" s="5" t="s">
        <v>64</v>
      </c>
      <c r="N96" s="5" t="s">
        <v>48</v>
      </c>
      <c r="O96" s="5" t="s">
        <v>210</v>
      </c>
      <c r="P96" s="5" t="s">
        <v>73</v>
      </c>
      <c r="Q96" s="5" t="s">
        <v>57</v>
      </c>
      <c r="R96" s="1">
        <v>7</v>
      </c>
      <c r="S96" s="1">
        <v>72</v>
      </c>
      <c r="T96" s="1">
        <v>41</v>
      </c>
      <c r="Y96">
        <f t="shared" si="12"/>
        <v>94</v>
      </c>
      <c r="Z96">
        <f t="shared" si="11"/>
        <v>0</v>
      </c>
    </row>
    <row r="97" spans="1:26" x14ac:dyDescent="0.3">
      <c r="A97" s="46">
        <v>82</v>
      </c>
      <c r="B97" s="4"/>
      <c r="C97" s="6" t="s">
        <v>93</v>
      </c>
      <c r="D97" s="5"/>
      <c r="E97" s="5" t="s">
        <v>54</v>
      </c>
      <c r="F97" s="5" t="s">
        <v>71</v>
      </c>
      <c r="G97" s="5" t="s">
        <v>66</v>
      </c>
      <c r="H97" s="5" t="s">
        <v>209</v>
      </c>
      <c r="I97" s="5" t="s">
        <v>58</v>
      </c>
      <c r="J97" s="5" t="s">
        <v>52</v>
      </c>
      <c r="K97" s="5" t="s">
        <v>207</v>
      </c>
      <c r="L97" s="5" t="s">
        <v>63</v>
      </c>
      <c r="M97" s="5" t="s">
        <v>69</v>
      </c>
      <c r="N97" s="5" t="s">
        <v>47</v>
      </c>
      <c r="O97" s="5" t="s">
        <v>210</v>
      </c>
      <c r="P97" s="5" t="s">
        <v>73</v>
      </c>
      <c r="Q97" s="5" t="s">
        <v>57</v>
      </c>
      <c r="R97" s="1">
        <v>7</v>
      </c>
      <c r="S97" s="1">
        <v>81</v>
      </c>
      <c r="T97" s="1">
        <v>41</v>
      </c>
      <c r="Y97">
        <f t="shared" si="12"/>
        <v>95</v>
      </c>
      <c r="Z97">
        <f t="shared" si="11"/>
        <v>0</v>
      </c>
    </row>
    <row r="98" spans="1:26" x14ac:dyDescent="0.3">
      <c r="A98" s="46">
        <v>83</v>
      </c>
      <c r="B98" s="4"/>
      <c r="C98" s="6" t="s">
        <v>119</v>
      </c>
      <c r="D98" s="5"/>
      <c r="E98" s="5" t="s">
        <v>54</v>
      </c>
      <c r="F98" s="5" t="s">
        <v>51</v>
      </c>
      <c r="G98" s="5" t="s">
        <v>208</v>
      </c>
      <c r="H98" s="5" t="s">
        <v>209</v>
      </c>
      <c r="I98" s="5" t="s">
        <v>58</v>
      </c>
      <c r="J98" s="5" t="s">
        <v>67</v>
      </c>
      <c r="K98" s="5" t="s">
        <v>207</v>
      </c>
      <c r="L98" s="5" t="s">
        <v>63</v>
      </c>
      <c r="M98" s="5" t="s">
        <v>69</v>
      </c>
      <c r="N98" s="5" t="s">
        <v>48</v>
      </c>
      <c r="O98" s="5" t="s">
        <v>210</v>
      </c>
      <c r="P98" s="5" t="s">
        <v>73</v>
      </c>
      <c r="Q98" s="5" t="s">
        <v>57</v>
      </c>
      <c r="R98" s="1">
        <v>7</v>
      </c>
      <c r="S98" s="1">
        <v>87</v>
      </c>
      <c r="T98" s="1">
        <v>41</v>
      </c>
      <c r="Y98">
        <f t="shared" si="12"/>
        <v>96</v>
      </c>
      <c r="Z98">
        <f t="shared" si="11"/>
        <v>0</v>
      </c>
    </row>
    <row r="99" spans="1:26" ht="28.8" x14ac:dyDescent="0.3">
      <c r="A99" s="46">
        <v>84</v>
      </c>
      <c r="B99" s="4"/>
      <c r="C99" s="6" t="s">
        <v>107</v>
      </c>
      <c r="D99" s="5"/>
      <c r="E99" s="5" t="s">
        <v>54</v>
      </c>
      <c r="F99" s="5" t="s">
        <v>71</v>
      </c>
      <c r="G99" s="5" t="s">
        <v>208</v>
      </c>
      <c r="H99" s="5" t="s">
        <v>209</v>
      </c>
      <c r="I99" s="5" t="s">
        <v>58</v>
      </c>
      <c r="J99" s="5" t="s">
        <v>52</v>
      </c>
      <c r="K99" s="5" t="s">
        <v>207</v>
      </c>
      <c r="L99" s="5" t="s">
        <v>74</v>
      </c>
      <c r="M99" s="5" t="s">
        <v>69</v>
      </c>
      <c r="N99" s="5" t="s">
        <v>48</v>
      </c>
      <c r="O99" s="5" t="s">
        <v>75</v>
      </c>
      <c r="P99" s="5" t="s">
        <v>73</v>
      </c>
      <c r="Q99" s="5" t="s">
        <v>57</v>
      </c>
      <c r="R99" s="1">
        <v>7</v>
      </c>
      <c r="S99" s="1">
        <v>78</v>
      </c>
      <c r="T99" s="1">
        <v>48</v>
      </c>
      <c r="Y99">
        <f t="shared" si="12"/>
        <v>97</v>
      </c>
      <c r="Z99">
        <f t="shared" si="11"/>
        <v>0</v>
      </c>
    </row>
    <row r="100" spans="1:26" x14ac:dyDescent="0.3">
      <c r="A100" s="46">
        <v>85</v>
      </c>
      <c r="B100" s="4"/>
      <c r="C100" s="6" t="s">
        <v>152</v>
      </c>
      <c r="D100" s="5"/>
      <c r="E100" s="5" t="s">
        <v>50</v>
      </c>
      <c r="F100" s="5" t="s">
        <v>71</v>
      </c>
      <c r="G100" s="5" t="s">
        <v>208</v>
      </c>
      <c r="H100" s="5" t="s">
        <v>209</v>
      </c>
      <c r="I100" s="5" t="s">
        <v>58</v>
      </c>
      <c r="J100" s="5" t="s">
        <v>52</v>
      </c>
      <c r="K100" s="5" t="s">
        <v>62</v>
      </c>
      <c r="L100" s="5" t="s">
        <v>74</v>
      </c>
      <c r="M100" s="5" t="s">
        <v>69</v>
      </c>
      <c r="N100" s="5" t="s">
        <v>48</v>
      </c>
      <c r="O100" s="5" t="s">
        <v>210</v>
      </c>
      <c r="P100" s="5" t="s">
        <v>65</v>
      </c>
      <c r="Q100" s="5" t="s">
        <v>57</v>
      </c>
      <c r="R100" s="1">
        <v>7</v>
      </c>
      <c r="S100" s="1">
        <v>88</v>
      </c>
      <c r="T100" s="1">
        <v>40</v>
      </c>
      <c r="Y100">
        <f t="shared" si="12"/>
        <v>98</v>
      </c>
      <c r="Z100">
        <f t="shared" si="11"/>
        <v>0</v>
      </c>
    </row>
    <row r="101" spans="1:26" ht="28.8" x14ac:dyDescent="0.3">
      <c r="A101" s="46">
        <v>86</v>
      </c>
      <c r="B101" s="4"/>
      <c r="C101" s="6" t="s">
        <v>24</v>
      </c>
      <c r="D101" s="5"/>
      <c r="E101" s="5" t="s">
        <v>54</v>
      </c>
      <c r="F101" s="5" t="s">
        <v>71</v>
      </c>
      <c r="G101" s="5" t="s">
        <v>66</v>
      </c>
      <c r="H101" s="5" t="s">
        <v>209</v>
      </c>
      <c r="I101" s="5" t="s">
        <v>58</v>
      </c>
      <c r="J101" s="5" t="s">
        <v>52</v>
      </c>
      <c r="K101" s="5" t="s">
        <v>207</v>
      </c>
      <c r="L101" s="5" t="s">
        <v>63</v>
      </c>
      <c r="M101" s="5" t="s">
        <v>69</v>
      </c>
      <c r="N101" s="5" t="s">
        <v>48</v>
      </c>
      <c r="O101" s="5" t="s">
        <v>210</v>
      </c>
      <c r="P101" s="5" t="s">
        <v>65</v>
      </c>
      <c r="Q101" s="5" t="s">
        <v>57</v>
      </c>
      <c r="R101" s="1">
        <v>7</v>
      </c>
      <c r="S101" s="1">
        <v>79</v>
      </c>
      <c r="T101" s="1">
        <v>39</v>
      </c>
      <c r="Y101">
        <f t="shared" si="12"/>
        <v>99</v>
      </c>
      <c r="Z101">
        <f t="shared" si="11"/>
        <v>0</v>
      </c>
    </row>
    <row r="102" spans="1:26" ht="28.8" x14ac:dyDescent="0.3">
      <c r="A102" s="46">
        <v>87</v>
      </c>
      <c r="B102" s="4"/>
      <c r="C102" s="6" t="s">
        <v>25</v>
      </c>
      <c r="D102" s="5"/>
      <c r="E102" s="5" t="s">
        <v>54</v>
      </c>
      <c r="F102" s="5" t="s">
        <v>71</v>
      </c>
      <c r="G102" s="5" t="s">
        <v>66</v>
      </c>
      <c r="H102" s="5" t="s">
        <v>56</v>
      </c>
      <c r="I102" s="5" t="s">
        <v>58</v>
      </c>
      <c r="J102" s="5" t="s">
        <v>67</v>
      </c>
      <c r="K102" s="5" t="s">
        <v>207</v>
      </c>
      <c r="L102" s="5" t="s">
        <v>63</v>
      </c>
      <c r="M102" s="5" t="s">
        <v>69</v>
      </c>
      <c r="N102" s="5" t="s">
        <v>48</v>
      </c>
      <c r="O102" s="5" t="s">
        <v>75</v>
      </c>
      <c r="P102" s="5" t="s">
        <v>73</v>
      </c>
      <c r="Q102" s="5" t="s">
        <v>57</v>
      </c>
      <c r="R102" s="1">
        <v>7</v>
      </c>
      <c r="S102" s="1">
        <v>82</v>
      </c>
      <c r="T102" s="1">
        <v>39</v>
      </c>
      <c r="Y102">
        <f t="shared" si="12"/>
        <v>100</v>
      </c>
      <c r="Z102">
        <f t="shared" si="11"/>
        <v>0</v>
      </c>
    </row>
    <row r="103" spans="1:26" ht="28.8" x14ac:dyDescent="0.3">
      <c r="A103" s="46">
        <v>88</v>
      </c>
      <c r="B103" s="4"/>
      <c r="C103" s="6" t="s">
        <v>115</v>
      </c>
      <c r="D103" s="5"/>
      <c r="E103" s="5" t="s">
        <v>54</v>
      </c>
      <c r="F103" s="5" t="s">
        <v>51</v>
      </c>
      <c r="G103" s="5" t="s">
        <v>208</v>
      </c>
      <c r="H103" s="5" t="s">
        <v>209</v>
      </c>
      <c r="I103" s="5" t="s">
        <v>58</v>
      </c>
      <c r="J103" s="5" t="s">
        <v>67</v>
      </c>
      <c r="K103" s="5" t="s">
        <v>207</v>
      </c>
      <c r="L103" s="5" t="s">
        <v>74</v>
      </c>
      <c r="M103" s="5" t="s">
        <v>69</v>
      </c>
      <c r="N103" s="5" t="s">
        <v>48</v>
      </c>
      <c r="O103" s="5" t="s">
        <v>75</v>
      </c>
      <c r="P103" s="5" t="s">
        <v>73</v>
      </c>
      <c r="Q103" s="5" t="s">
        <v>57</v>
      </c>
      <c r="R103" s="1">
        <v>7</v>
      </c>
      <c r="S103" s="1">
        <v>78</v>
      </c>
      <c r="T103" s="1">
        <v>51</v>
      </c>
      <c r="Y103">
        <f t="shared" si="12"/>
        <v>101</v>
      </c>
      <c r="Z103">
        <f t="shared" si="11"/>
        <v>0</v>
      </c>
    </row>
    <row r="104" spans="1:26" x14ac:dyDescent="0.3">
      <c r="A104" s="46">
        <v>89</v>
      </c>
      <c r="B104" s="4"/>
      <c r="C104" s="6" t="s">
        <v>195</v>
      </c>
      <c r="D104" s="5"/>
      <c r="E104" s="5" t="s">
        <v>54</v>
      </c>
      <c r="F104" s="5" t="s">
        <v>71</v>
      </c>
      <c r="G104" s="5" t="s">
        <v>208</v>
      </c>
      <c r="H104" s="5" t="s">
        <v>209</v>
      </c>
      <c r="I104" s="5" t="s">
        <v>58</v>
      </c>
      <c r="J104" s="5" t="s">
        <v>52</v>
      </c>
      <c r="K104" s="5" t="s">
        <v>62</v>
      </c>
      <c r="L104" s="5" t="s">
        <v>74</v>
      </c>
      <c r="M104" s="5" t="s">
        <v>64</v>
      </c>
      <c r="N104" s="5" t="s">
        <v>48</v>
      </c>
      <c r="O104" s="5" t="s">
        <v>210</v>
      </c>
      <c r="P104" s="5" t="s">
        <v>65</v>
      </c>
      <c r="Q104" s="5" t="s">
        <v>57</v>
      </c>
      <c r="R104" s="1">
        <v>7</v>
      </c>
      <c r="S104" s="1">
        <v>59</v>
      </c>
      <c r="T104" s="1">
        <v>37</v>
      </c>
      <c r="Y104">
        <f t="shared" si="12"/>
        <v>102</v>
      </c>
      <c r="Z104">
        <f t="shared" si="11"/>
        <v>0</v>
      </c>
    </row>
    <row r="105" spans="1:26" x14ac:dyDescent="0.3">
      <c r="A105" s="46">
        <v>90</v>
      </c>
      <c r="B105" s="4"/>
      <c r="C105" s="6" t="s">
        <v>142</v>
      </c>
      <c r="D105" s="5"/>
      <c r="E105" s="5" t="s">
        <v>50</v>
      </c>
      <c r="F105" s="5" t="s">
        <v>71</v>
      </c>
      <c r="G105" s="5" t="s">
        <v>208</v>
      </c>
      <c r="H105" s="5" t="s">
        <v>56</v>
      </c>
      <c r="I105" s="5" t="s">
        <v>61</v>
      </c>
      <c r="J105" s="5" t="s">
        <v>67</v>
      </c>
      <c r="K105" s="5" t="s">
        <v>207</v>
      </c>
      <c r="L105" s="5" t="s">
        <v>74</v>
      </c>
      <c r="M105" s="5" t="s">
        <v>64</v>
      </c>
      <c r="N105" s="5" t="s">
        <v>47</v>
      </c>
      <c r="O105" s="5" t="s">
        <v>210</v>
      </c>
      <c r="P105" s="5" t="s">
        <v>73</v>
      </c>
      <c r="Q105" s="5" t="s">
        <v>70</v>
      </c>
      <c r="R105" s="1">
        <v>7</v>
      </c>
      <c r="S105" s="1">
        <v>83</v>
      </c>
      <c r="T105" s="1">
        <v>51</v>
      </c>
      <c r="Y105">
        <f t="shared" si="12"/>
        <v>103</v>
      </c>
      <c r="Z105">
        <f t="shared" si="11"/>
        <v>0</v>
      </c>
    </row>
    <row r="106" spans="1:26" ht="28.8" x14ac:dyDescent="0.3">
      <c r="A106" s="46">
        <v>91</v>
      </c>
      <c r="B106" s="4"/>
      <c r="C106" s="6" t="s">
        <v>27</v>
      </c>
      <c r="D106" s="5"/>
      <c r="E106" s="5" t="s">
        <v>54</v>
      </c>
      <c r="F106" s="5" t="s">
        <v>71</v>
      </c>
      <c r="G106" s="5" t="s">
        <v>66</v>
      </c>
      <c r="H106" s="5" t="s">
        <v>209</v>
      </c>
      <c r="I106" s="5" t="s">
        <v>61</v>
      </c>
      <c r="J106" s="5" t="s">
        <v>52</v>
      </c>
      <c r="K106" s="5" t="s">
        <v>207</v>
      </c>
      <c r="L106" s="5" t="s">
        <v>63</v>
      </c>
      <c r="M106" s="5" t="s">
        <v>64</v>
      </c>
      <c r="N106" s="5" t="s">
        <v>47</v>
      </c>
      <c r="O106" s="5" t="s">
        <v>210</v>
      </c>
      <c r="P106" s="5" t="s">
        <v>73</v>
      </c>
      <c r="Q106" s="5" t="s">
        <v>57</v>
      </c>
      <c r="R106" s="1">
        <v>7</v>
      </c>
      <c r="S106" s="1">
        <v>91</v>
      </c>
      <c r="T106" s="1">
        <v>53</v>
      </c>
      <c r="Y106">
        <f t="shared" si="12"/>
        <v>104</v>
      </c>
      <c r="Z106">
        <f t="shared" si="11"/>
        <v>0</v>
      </c>
    </row>
    <row r="107" spans="1:26" x14ac:dyDescent="0.3">
      <c r="A107" s="46">
        <v>92</v>
      </c>
      <c r="B107" s="4"/>
      <c r="C107" s="6" t="s">
        <v>105</v>
      </c>
      <c r="D107" s="5"/>
      <c r="E107" s="5" t="s">
        <v>50</v>
      </c>
      <c r="F107" s="5" t="s">
        <v>51</v>
      </c>
      <c r="G107" s="5" t="s">
        <v>208</v>
      </c>
      <c r="H107" s="5" t="s">
        <v>56</v>
      </c>
      <c r="I107" s="5" t="s">
        <v>58</v>
      </c>
      <c r="J107" s="5" t="s">
        <v>52</v>
      </c>
      <c r="K107" s="5" t="s">
        <v>207</v>
      </c>
      <c r="L107" s="5" t="s">
        <v>63</v>
      </c>
      <c r="M107" s="5" t="s">
        <v>64</v>
      </c>
      <c r="N107" s="5" t="s">
        <v>48</v>
      </c>
      <c r="O107" s="5" t="s">
        <v>210</v>
      </c>
      <c r="P107" s="5" t="s">
        <v>65</v>
      </c>
      <c r="Q107" s="5" t="s">
        <v>70</v>
      </c>
      <c r="R107" s="1">
        <v>7</v>
      </c>
      <c r="S107" s="1">
        <v>81</v>
      </c>
      <c r="T107" s="1">
        <v>56</v>
      </c>
      <c r="Y107">
        <f t="shared" si="12"/>
        <v>105</v>
      </c>
      <c r="Z107">
        <f t="shared" si="11"/>
        <v>0</v>
      </c>
    </row>
    <row r="108" spans="1:26" x14ac:dyDescent="0.3">
      <c r="A108" s="46">
        <v>93</v>
      </c>
      <c r="B108" s="4"/>
      <c r="C108" s="6" t="s">
        <v>126</v>
      </c>
      <c r="D108" s="5"/>
      <c r="E108" s="5" t="s">
        <v>54</v>
      </c>
      <c r="F108" s="5" t="s">
        <v>71</v>
      </c>
      <c r="G108" s="5" t="s">
        <v>208</v>
      </c>
      <c r="H108" s="5" t="s">
        <v>56</v>
      </c>
      <c r="I108" s="5" t="s">
        <v>61</v>
      </c>
      <c r="J108" s="5" t="s">
        <v>52</v>
      </c>
      <c r="K108" s="5" t="s">
        <v>207</v>
      </c>
      <c r="L108" s="5" t="s">
        <v>63</v>
      </c>
      <c r="M108" s="5" t="s">
        <v>69</v>
      </c>
      <c r="N108" s="5" t="s">
        <v>48</v>
      </c>
      <c r="O108" s="5" t="s">
        <v>75</v>
      </c>
      <c r="P108" s="5" t="s">
        <v>65</v>
      </c>
      <c r="Q108" s="5" t="s">
        <v>57</v>
      </c>
      <c r="R108" s="1">
        <v>7</v>
      </c>
      <c r="S108" s="1">
        <v>84</v>
      </c>
      <c r="T108" s="1">
        <v>57</v>
      </c>
      <c r="Y108">
        <f t="shared" si="12"/>
        <v>106</v>
      </c>
      <c r="Z108">
        <f t="shared" si="11"/>
        <v>0</v>
      </c>
    </row>
    <row r="109" spans="1:26" ht="28.8" x14ac:dyDescent="0.3">
      <c r="A109" s="46">
        <v>94</v>
      </c>
      <c r="B109" s="4"/>
      <c r="C109" s="6" t="s">
        <v>124</v>
      </c>
      <c r="D109" s="5"/>
      <c r="E109" s="5" t="s">
        <v>50</v>
      </c>
      <c r="F109" s="5" t="s">
        <v>71</v>
      </c>
      <c r="G109" s="5" t="s">
        <v>208</v>
      </c>
      <c r="H109" s="5" t="s">
        <v>56</v>
      </c>
      <c r="I109" s="5" t="s">
        <v>61</v>
      </c>
      <c r="J109" s="5" t="s">
        <v>67</v>
      </c>
      <c r="K109" s="5" t="s">
        <v>207</v>
      </c>
      <c r="L109" s="5" t="s">
        <v>74</v>
      </c>
      <c r="M109" s="5" t="s">
        <v>64</v>
      </c>
      <c r="N109" s="5" t="s">
        <v>48</v>
      </c>
      <c r="O109" s="5" t="s">
        <v>75</v>
      </c>
      <c r="P109" s="5" t="s">
        <v>73</v>
      </c>
      <c r="Q109" s="5" t="s">
        <v>70</v>
      </c>
      <c r="R109" s="1">
        <v>7</v>
      </c>
      <c r="S109" s="1">
        <v>64</v>
      </c>
      <c r="T109" s="1">
        <v>59</v>
      </c>
      <c r="Y109">
        <f t="shared" si="12"/>
        <v>107</v>
      </c>
      <c r="Z109">
        <f t="shared" si="11"/>
        <v>0</v>
      </c>
    </row>
    <row r="110" spans="1:26" ht="28.8" x14ac:dyDescent="0.3">
      <c r="A110" s="46">
        <v>95</v>
      </c>
      <c r="B110" s="4"/>
      <c r="C110" s="6" t="s">
        <v>34</v>
      </c>
      <c r="D110" s="5"/>
      <c r="E110" s="5" t="s">
        <v>54</v>
      </c>
      <c r="F110" s="5" t="s">
        <v>71</v>
      </c>
      <c r="G110" s="5" t="s">
        <v>208</v>
      </c>
      <c r="H110" s="5" t="s">
        <v>56</v>
      </c>
      <c r="I110" s="5" t="s">
        <v>61</v>
      </c>
      <c r="J110" s="5" t="s">
        <v>67</v>
      </c>
      <c r="K110" s="5" t="s">
        <v>207</v>
      </c>
      <c r="L110" s="5" t="s">
        <v>74</v>
      </c>
      <c r="M110" s="5" t="s">
        <v>64</v>
      </c>
      <c r="N110" s="5" t="s">
        <v>48</v>
      </c>
      <c r="O110" s="5" t="s">
        <v>75</v>
      </c>
      <c r="P110" s="5" t="s">
        <v>73</v>
      </c>
      <c r="Q110" s="5" t="s">
        <v>57</v>
      </c>
      <c r="R110" s="1">
        <v>7</v>
      </c>
      <c r="S110" s="1">
        <v>74</v>
      </c>
      <c r="T110" s="1">
        <v>27</v>
      </c>
      <c r="Y110">
        <f t="shared" si="12"/>
        <v>108</v>
      </c>
      <c r="Z110">
        <f t="shared" si="11"/>
        <v>0</v>
      </c>
    </row>
    <row r="111" spans="1:26" x14ac:dyDescent="0.3">
      <c r="A111" s="46">
        <v>96</v>
      </c>
      <c r="B111" s="4"/>
      <c r="C111" s="6" t="s">
        <v>127</v>
      </c>
      <c r="D111" s="5"/>
      <c r="E111" s="5" t="s">
        <v>54</v>
      </c>
      <c r="F111" s="5" t="s">
        <v>71</v>
      </c>
      <c r="G111" s="5" t="s">
        <v>66</v>
      </c>
      <c r="H111" s="5" t="s">
        <v>209</v>
      </c>
      <c r="I111" s="5" t="s">
        <v>58</v>
      </c>
      <c r="J111" s="5" t="s">
        <v>52</v>
      </c>
      <c r="K111" s="5" t="s">
        <v>207</v>
      </c>
      <c r="L111" s="5" t="s">
        <v>74</v>
      </c>
      <c r="M111" s="5" t="s">
        <v>64</v>
      </c>
      <c r="N111" s="5" t="s">
        <v>48</v>
      </c>
      <c r="O111" s="5" t="s">
        <v>210</v>
      </c>
      <c r="P111" s="5" t="s">
        <v>65</v>
      </c>
      <c r="Q111" s="5" t="s">
        <v>57</v>
      </c>
      <c r="R111" s="1">
        <v>7</v>
      </c>
      <c r="S111" s="1">
        <v>77</v>
      </c>
      <c r="T111" s="1">
        <v>62</v>
      </c>
      <c r="Y111">
        <f t="shared" si="12"/>
        <v>109</v>
      </c>
      <c r="Z111">
        <f t="shared" si="11"/>
        <v>0</v>
      </c>
    </row>
    <row r="112" spans="1:26" ht="28.8" x14ac:dyDescent="0.3">
      <c r="A112" s="46">
        <v>97</v>
      </c>
      <c r="B112" s="4"/>
      <c r="C112" s="6" t="s">
        <v>87</v>
      </c>
      <c r="D112" s="5"/>
      <c r="E112" s="5" t="s">
        <v>50</v>
      </c>
      <c r="F112" s="5" t="s">
        <v>71</v>
      </c>
      <c r="G112" s="5" t="s">
        <v>66</v>
      </c>
      <c r="H112" s="5" t="s">
        <v>56</v>
      </c>
      <c r="I112" s="5" t="s">
        <v>61</v>
      </c>
      <c r="J112" s="5" t="s">
        <v>52</v>
      </c>
      <c r="K112" s="5" t="s">
        <v>62</v>
      </c>
      <c r="L112" s="5" t="s">
        <v>74</v>
      </c>
      <c r="M112" s="5" t="s">
        <v>64</v>
      </c>
      <c r="N112" s="5" t="s">
        <v>47</v>
      </c>
      <c r="O112" s="5" t="s">
        <v>75</v>
      </c>
      <c r="P112" s="5" t="s">
        <v>65</v>
      </c>
      <c r="Q112" s="5" t="s">
        <v>70</v>
      </c>
      <c r="R112" s="1">
        <v>6</v>
      </c>
      <c r="S112" s="1">
        <v>69</v>
      </c>
      <c r="T112" s="1">
        <v>44</v>
      </c>
      <c r="Y112">
        <f t="shared" si="12"/>
        <v>110</v>
      </c>
      <c r="Z112">
        <f t="shared" si="11"/>
        <v>0</v>
      </c>
    </row>
    <row r="113" spans="1:26" x14ac:dyDescent="0.3">
      <c r="A113" s="46">
        <v>98</v>
      </c>
      <c r="B113" s="4"/>
      <c r="C113" s="6" t="s">
        <v>38</v>
      </c>
      <c r="D113" s="5"/>
      <c r="E113" s="5" t="s">
        <v>50</v>
      </c>
      <c r="F113" s="5" t="s">
        <v>71</v>
      </c>
      <c r="G113" s="5" t="s">
        <v>66</v>
      </c>
      <c r="H113" s="5" t="s">
        <v>56</v>
      </c>
      <c r="I113" s="5" t="s">
        <v>61</v>
      </c>
      <c r="J113" s="5" t="s">
        <v>52</v>
      </c>
      <c r="K113" s="5" t="s">
        <v>62</v>
      </c>
      <c r="L113" s="5" t="s">
        <v>63</v>
      </c>
      <c r="M113" s="5" t="s">
        <v>64</v>
      </c>
      <c r="N113" s="5" t="s">
        <v>47</v>
      </c>
      <c r="O113" s="5" t="s">
        <v>210</v>
      </c>
      <c r="P113" s="5" t="s">
        <v>65</v>
      </c>
      <c r="Q113" s="5" t="s">
        <v>70</v>
      </c>
      <c r="R113" s="1">
        <v>6</v>
      </c>
      <c r="S113" s="1">
        <v>85</v>
      </c>
      <c r="T113" s="1">
        <v>43</v>
      </c>
      <c r="Y113">
        <f t="shared" si="12"/>
        <v>111</v>
      </c>
      <c r="Z113">
        <f t="shared" si="11"/>
        <v>0</v>
      </c>
    </row>
    <row r="114" spans="1:26" ht="43.2" x14ac:dyDescent="0.3">
      <c r="A114" s="46">
        <v>99</v>
      </c>
      <c r="B114" s="4"/>
      <c r="C114" s="6" t="s">
        <v>132</v>
      </c>
      <c r="D114" s="5"/>
      <c r="E114" s="5" t="s">
        <v>54</v>
      </c>
      <c r="F114" s="5" t="s">
        <v>71</v>
      </c>
      <c r="G114" s="5" t="s">
        <v>66</v>
      </c>
      <c r="H114" s="5" t="s">
        <v>56</v>
      </c>
      <c r="I114" s="5" t="s">
        <v>58</v>
      </c>
      <c r="J114" s="5" t="s">
        <v>67</v>
      </c>
      <c r="K114" s="5" t="s">
        <v>207</v>
      </c>
      <c r="L114" s="5" t="s">
        <v>63</v>
      </c>
      <c r="M114" s="5" t="s">
        <v>69</v>
      </c>
      <c r="N114" s="5" t="s">
        <v>48</v>
      </c>
      <c r="O114" s="5" t="s">
        <v>210</v>
      </c>
      <c r="P114" s="5" t="s">
        <v>73</v>
      </c>
      <c r="Q114" s="5" t="s">
        <v>57</v>
      </c>
      <c r="R114" s="1">
        <v>6</v>
      </c>
      <c r="S114" s="1">
        <v>79</v>
      </c>
      <c r="T114" s="1">
        <v>43</v>
      </c>
      <c r="Y114">
        <f t="shared" si="12"/>
        <v>112</v>
      </c>
      <c r="Z114">
        <f t="shared" si="11"/>
        <v>0</v>
      </c>
    </row>
    <row r="115" spans="1:26" x14ac:dyDescent="0.3">
      <c r="A115" s="46">
        <v>100</v>
      </c>
      <c r="B115" s="4"/>
      <c r="C115" s="6" t="s">
        <v>178</v>
      </c>
      <c r="D115" s="5"/>
      <c r="E115" s="5" t="s">
        <v>54</v>
      </c>
      <c r="F115" s="5" t="s">
        <v>71</v>
      </c>
      <c r="G115" s="5" t="s">
        <v>208</v>
      </c>
      <c r="H115" s="5" t="s">
        <v>209</v>
      </c>
      <c r="I115" s="5" t="s">
        <v>61</v>
      </c>
      <c r="J115" s="5" t="s">
        <v>52</v>
      </c>
      <c r="K115" s="5" t="s">
        <v>207</v>
      </c>
      <c r="L115" s="5" t="s">
        <v>74</v>
      </c>
      <c r="M115" s="5" t="s">
        <v>64</v>
      </c>
      <c r="N115" s="5" t="s">
        <v>48</v>
      </c>
      <c r="O115" s="5" t="s">
        <v>210</v>
      </c>
      <c r="P115" s="5" t="s">
        <v>65</v>
      </c>
      <c r="Q115" s="5" t="s">
        <v>70</v>
      </c>
      <c r="R115" s="1">
        <v>6</v>
      </c>
      <c r="S115" s="1">
        <v>76</v>
      </c>
      <c r="T115" s="1">
        <v>43</v>
      </c>
      <c r="Y115">
        <f t="shared" si="12"/>
        <v>113</v>
      </c>
      <c r="Z115">
        <f t="shared" si="11"/>
        <v>0</v>
      </c>
    </row>
    <row r="116" spans="1:26" x14ac:dyDescent="0.3">
      <c r="A116" s="46">
        <v>101</v>
      </c>
      <c r="B116" s="4"/>
      <c r="C116" s="6" t="s">
        <v>39</v>
      </c>
      <c r="D116" s="5"/>
      <c r="E116" s="5" t="s">
        <v>50</v>
      </c>
      <c r="F116" s="5" t="s">
        <v>51</v>
      </c>
      <c r="G116" s="5" t="s">
        <v>66</v>
      </c>
      <c r="H116" s="5" t="s">
        <v>56</v>
      </c>
      <c r="I116" s="5" t="s">
        <v>61</v>
      </c>
      <c r="J116" s="5" t="s">
        <v>52</v>
      </c>
      <c r="K116" s="5" t="s">
        <v>207</v>
      </c>
      <c r="L116" s="5" t="s">
        <v>63</v>
      </c>
      <c r="M116" s="5" t="s">
        <v>64</v>
      </c>
      <c r="N116" s="5" t="s">
        <v>47</v>
      </c>
      <c r="O116" s="5" t="s">
        <v>210</v>
      </c>
      <c r="P116" s="5" t="s">
        <v>73</v>
      </c>
      <c r="Q116" s="5" t="s">
        <v>57</v>
      </c>
      <c r="R116" s="1">
        <v>6</v>
      </c>
      <c r="S116" s="1">
        <v>80</v>
      </c>
      <c r="T116" s="1">
        <v>42</v>
      </c>
      <c r="Y116">
        <f t="shared" si="12"/>
        <v>114</v>
      </c>
      <c r="Z116">
        <f t="shared" si="11"/>
        <v>0</v>
      </c>
    </row>
    <row r="117" spans="1:26" ht="28.8" x14ac:dyDescent="0.3">
      <c r="A117" s="46">
        <v>102</v>
      </c>
      <c r="B117" s="4"/>
      <c r="C117" s="6" t="s">
        <v>80</v>
      </c>
      <c r="D117" s="5"/>
      <c r="E117" s="5" t="s">
        <v>50</v>
      </c>
      <c r="F117" s="5" t="s">
        <v>51</v>
      </c>
      <c r="G117" s="5" t="s">
        <v>66</v>
      </c>
      <c r="H117" s="5" t="s">
        <v>56</v>
      </c>
      <c r="I117" s="5" t="s">
        <v>58</v>
      </c>
      <c r="J117" s="5" t="s">
        <v>52</v>
      </c>
      <c r="K117" s="5" t="s">
        <v>62</v>
      </c>
      <c r="L117" s="5" t="s">
        <v>74</v>
      </c>
      <c r="M117" s="5" t="s">
        <v>64</v>
      </c>
      <c r="N117" s="5" t="s">
        <v>47</v>
      </c>
      <c r="O117" s="5" t="s">
        <v>75</v>
      </c>
      <c r="P117" s="5" t="s">
        <v>73</v>
      </c>
      <c r="Q117" s="5" t="s">
        <v>57</v>
      </c>
      <c r="R117" s="1">
        <v>6</v>
      </c>
      <c r="S117" s="1">
        <v>80</v>
      </c>
      <c r="T117" s="1">
        <v>46</v>
      </c>
      <c r="Y117">
        <f t="shared" si="12"/>
        <v>115</v>
      </c>
      <c r="Z117">
        <f t="shared" si="11"/>
        <v>0</v>
      </c>
    </row>
    <row r="118" spans="1:26" x14ac:dyDescent="0.3">
      <c r="A118" s="46">
        <v>103</v>
      </c>
      <c r="B118" s="4"/>
      <c r="C118" s="6" t="s">
        <v>173</v>
      </c>
      <c r="D118" s="5"/>
      <c r="E118" s="5" t="s">
        <v>54</v>
      </c>
      <c r="F118" s="5" t="s">
        <v>71</v>
      </c>
      <c r="G118" s="5" t="s">
        <v>208</v>
      </c>
      <c r="H118" s="5" t="s">
        <v>56</v>
      </c>
      <c r="I118" s="5" t="s">
        <v>61</v>
      </c>
      <c r="J118" s="5" t="s">
        <v>67</v>
      </c>
      <c r="K118" s="5" t="s">
        <v>207</v>
      </c>
      <c r="L118" s="5" t="s">
        <v>63</v>
      </c>
      <c r="M118" s="5" t="s">
        <v>69</v>
      </c>
      <c r="N118" s="5" t="s">
        <v>48</v>
      </c>
      <c r="O118" s="5" t="s">
        <v>75</v>
      </c>
      <c r="P118" s="5" t="s">
        <v>73</v>
      </c>
      <c r="Q118" s="5" t="s">
        <v>70</v>
      </c>
      <c r="R118" s="1">
        <v>6</v>
      </c>
      <c r="S118" s="1">
        <v>82</v>
      </c>
      <c r="T118" s="1">
        <v>46</v>
      </c>
      <c r="Y118">
        <f t="shared" si="12"/>
        <v>116</v>
      </c>
      <c r="Z118">
        <f t="shared" si="11"/>
        <v>0</v>
      </c>
    </row>
    <row r="119" spans="1:26" ht="28.8" x14ac:dyDescent="0.3">
      <c r="A119" s="46">
        <v>104</v>
      </c>
      <c r="B119" s="4"/>
      <c r="C119" s="6" t="s">
        <v>114</v>
      </c>
      <c r="D119" s="5"/>
      <c r="E119" s="5" t="s">
        <v>50</v>
      </c>
      <c r="F119" s="5" t="s">
        <v>51</v>
      </c>
      <c r="G119" s="5" t="s">
        <v>66</v>
      </c>
      <c r="H119" s="5" t="s">
        <v>56</v>
      </c>
      <c r="I119" s="5" t="s">
        <v>58</v>
      </c>
      <c r="J119" s="5" t="s">
        <v>52</v>
      </c>
      <c r="K119" s="5" t="s">
        <v>207</v>
      </c>
      <c r="L119" s="5" t="s">
        <v>63</v>
      </c>
      <c r="M119" s="5" t="s">
        <v>69</v>
      </c>
      <c r="N119" s="5" t="s">
        <v>47</v>
      </c>
      <c r="O119" s="5" t="s">
        <v>210</v>
      </c>
      <c r="P119" s="5" t="s">
        <v>73</v>
      </c>
      <c r="Q119" s="5" t="s">
        <v>57</v>
      </c>
      <c r="R119" s="1">
        <v>6</v>
      </c>
      <c r="S119" s="1">
        <v>81</v>
      </c>
      <c r="T119" s="1">
        <v>47</v>
      </c>
      <c r="Y119">
        <f t="shared" si="12"/>
        <v>117</v>
      </c>
      <c r="Z119">
        <f t="shared" si="11"/>
        <v>0</v>
      </c>
    </row>
    <row r="120" spans="1:26" x14ac:dyDescent="0.3">
      <c r="A120" s="46">
        <v>105</v>
      </c>
      <c r="B120" s="4"/>
      <c r="C120" s="6" t="s">
        <v>40</v>
      </c>
      <c r="D120" s="5"/>
      <c r="E120" s="5" t="s">
        <v>50</v>
      </c>
      <c r="F120" s="5" t="s">
        <v>71</v>
      </c>
      <c r="G120" s="5" t="s">
        <v>66</v>
      </c>
      <c r="H120" s="5" t="s">
        <v>56</v>
      </c>
      <c r="I120" s="5" t="s">
        <v>61</v>
      </c>
      <c r="J120" s="5" t="s">
        <v>67</v>
      </c>
      <c r="K120" s="5" t="s">
        <v>207</v>
      </c>
      <c r="L120" s="5" t="s">
        <v>74</v>
      </c>
      <c r="M120" s="5" t="s">
        <v>69</v>
      </c>
      <c r="N120" s="5" t="s">
        <v>47</v>
      </c>
      <c r="O120" s="5" t="s">
        <v>210</v>
      </c>
      <c r="P120" s="5" t="s">
        <v>73</v>
      </c>
      <c r="Q120" s="5" t="s">
        <v>57</v>
      </c>
      <c r="R120" s="1">
        <v>6</v>
      </c>
      <c r="S120" s="1">
        <v>83</v>
      </c>
      <c r="T120" s="1">
        <v>41</v>
      </c>
      <c r="Y120">
        <f t="shared" si="12"/>
        <v>118</v>
      </c>
      <c r="Z120">
        <f t="shared" si="11"/>
        <v>0</v>
      </c>
    </row>
    <row r="121" spans="1:26" ht="28.8" x14ac:dyDescent="0.3">
      <c r="A121" s="46">
        <v>106</v>
      </c>
      <c r="B121" s="4"/>
      <c r="C121" s="6" t="s">
        <v>153</v>
      </c>
      <c r="D121" s="5"/>
      <c r="E121" s="5" t="s">
        <v>54</v>
      </c>
      <c r="F121" s="5" t="s">
        <v>51</v>
      </c>
      <c r="G121" s="5" t="s">
        <v>208</v>
      </c>
      <c r="H121" s="5" t="s">
        <v>209</v>
      </c>
      <c r="I121" s="5" t="s">
        <v>58</v>
      </c>
      <c r="J121" s="5" t="s">
        <v>52</v>
      </c>
      <c r="K121" s="5" t="s">
        <v>207</v>
      </c>
      <c r="L121" s="5" t="s">
        <v>63</v>
      </c>
      <c r="M121" s="5" t="s">
        <v>69</v>
      </c>
      <c r="N121" s="5" t="s">
        <v>48</v>
      </c>
      <c r="O121" s="5" t="s">
        <v>75</v>
      </c>
      <c r="P121" s="5" t="s">
        <v>73</v>
      </c>
      <c r="Q121" s="5" t="s">
        <v>70</v>
      </c>
      <c r="R121" s="1">
        <v>6</v>
      </c>
      <c r="S121" s="1">
        <v>77</v>
      </c>
      <c r="T121" s="1">
        <v>41</v>
      </c>
    </row>
    <row r="122" spans="1:26" x14ac:dyDescent="0.3">
      <c r="A122" s="46">
        <v>107</v>
      </c>
      <c r="B122" s="4"/>
      <c r="C122" s="6" t="s">
        <v>106</v>
      </c>
      <c r="D122" s="5"/>
      <c r="E122" s="5" t="s">
        <v>50</v>
      </c>
      <c r="F122" s="5" t="s">
        <v>51</v>
      </c>
      <c r="G122" s="5" t="s">
        <v>66</v>
      </c>
      <c r="H122" s="5" t="s">
        <v>209</v>
      </c>
      <c r="I122" s="5" t="s">
        <v>58</v>
      </c>
      <c r="J122" s="5" t="s">
        <v>52</v>
      </c>
      <c r="K122" s="5" t="s">
        <v>207</v>
      </c>
      <c r="L122" s="5" t="s">
        <v>63</v>
      </c>
      <c r="M122" s="5" t="s">
        <v>69</v>
      </c>
      <c r="N122" s="5" t="s">
        <v>48</v>
      </c>
      <c r="O122" s="5" t="s">
        <v>75</v>
      </c>
      <c r="P122" s="5" t="s">
        <v>73</v>
      </c>
      <c r="Q122" s="5" t="s">
        <v>70</v>
      </c>
      <c r="R122" s="1">
        <v>6</v>
      </c>
      <c r="S122" s="1">
        <v>78</v>
      </c>
      <c r="T122" s="1">
        <v>48</v>
      </c>
    </row>
    <row r="123" spans="1:26" ht="28.8" x14ac:dyDescent="0.3">
      <c r="A123" s="46">
        <v>108</v>
      </c>
      <c r="B123" s="4"/>
      <c r="C123" s="6" t="s">
        <v>17</v>
      </c>
      <c r="D123" s="5"/>
      <c r="E123" s="5" t="s">
        <v>50</v>
      </c>
      <c r="F123" s="5" t="s">
        <v>71</v>
      </c>
      <c r="G123" s="5" t="s">
        <v>66</v>
      </c>
      <c r="H123" s="5" t="s">
        <v>56</v>
      </c>
      <c r="I123" s="5" t="s">
        <v>61</v>
      </c>
      <c r="J123" s="5" t="s">
        <v>67</v>
      </c>
      <c r="K123" s="5" t="s">
        <v>207</v>
      </c>
      <c r="L123" s="5" t="s">
        <v>74</v>
      </c>
      <c r="M123" s="5" t="s">
        <v>64</v>
      </c>
      <c r="N123" s="5" t="s">
        <v>48</v>
      </c>
      <c r="O123" s="5" t="s">
        <v>75</v>
      </c>
      <c r="P123" s="5" t="s">
        <v>73</v>
      </c>
      <c r="Q123" s="5" t="s">
        <v>70</v>
      </c>
      <c r="R123" s="1">
        <v>6</v>
      </c>
      <c r="S123" s="1">
        <v>83</v>
      </c>
      <c r="T123" s="1">
        <v>40</v>
      </c>
    </row>
    <row r="124" spans="1:26" ht="28.8" x14ac:dyDescent="0.3">
      <c r="A124" s="46">
        <v>109</v>
      </c>
      <c r="B124" s="4"/>
      <c r="C124" s="6" t="s">
        <v>104</v>
      </c>
      <c r="D124" s="5"/>
      <c r="E124" s="5" t="s">
        <v>54</v>
      </c>
      <c r="F124" s="5" t="s">
        <v>71</v>
      </c>
      <c r="G124" s="5" t="s">
        <v>208</v>
      </c>
      <c r="H124" s="5" t="s">
        <v>56</v>
      </c>
      <c r="I124" s="5" t="s">
        <v>58</v>
      </c>
      <c r="J124" s="5" t="s">
        <v>52</v>
      </c>
      <c r="K124" s="5" t="s">
        <v>207</v>
      </c>
      <c r="L124" s="5" t="s">
        <v>74</v>
      </c>
      <c r="M124" s="5" t="s">
        <v>69</v>
      </c>
      <c r="N124" s="5" t="s">
        <v>48</v>
      </c>
      <c r="O124" s="5" t="s">
        <v>210</v>
      </c>
      <c r="P124" s="5" t="s">
        <v>65</v>
      </c>
      <c r="Q124" s="5" t="s">
        <v>57</v>
      </c>
      <c r="R124" s="1">
        <v>6</v>
      </c>
      <c r="S124" s="1">
        <v>77</v>
      </c>
      <c r="T124" s="1">
        <v>40</v>
      </c>
    </row>
    <row r="125" spans="1:26" ht="28.8" x14ac:dyDescent="0.3">
      <c r="A125" s="46">
        <v>110</v>
      </c>
      <c r="B125" s="4"/>
      <c r="C125" s="6" t="s">
        <v>30</v>
      </c>
      <c r="D125" s="5"/>
      <c r="E125" s="5" t="s">
        <v>54</v>
      </c>
      <c r="F125" s="5" t="s">
        <v>71</v>
      </c>
      <c r="G125" s="5" t="s">
        <v>66</v>
      </c>
      <c r="H125" s="5" t="s">
        <v>209</v>
      </c>
      <c r="I125" s="5" t="s">
        <v>58</v>
      </c>
      <c r="J125" s="5" t="s">
        <v>52</v>
      </c>
      <c r="K125" s="5" t="s">
        <v>207</v>
      </c>
      <c r="L125" s="5" t="s">
        <v>74</v>
      </c>
      <c r="M125" s="5" t="s">
        <v>64</v>
      </c>
      <c r="N125" s="5" t="s">
        <v>48</v>
      </c>
      <c r="O125" s="5" t="s">
        <v>75</v>
      </c>
      <c r="P125" s="5" t="s">
        <v>73</v>
      </c>
      <c r="Q125" s="5" t="s">
        <v>70</v>
      </c>
      <c r="R125" s="1">
        <v>6</v>
      </c>
      <c r="S125" s="1">
        <v>81</v>
      </c>
      <c r="T125" s="1">
        <v>49</v>
      </c>
    </row>
    <row r="126" spans="1:26" x14ac:dyDescent="0.3">
      <c r="A126" s="46">
        <v>111</v>
      </c>
      <c r="B126" s="4"/>
      <c r="C126" s="6" t="s">
        <v>35</v>
      </c>
      <c r="D126" s="5"/>
      <c r="E126" s="5" t="s">
        <v>54</v>
      </c>
      <c r="F126" s="5" t="s">
        <v>51</v>
      </c>
      <c r="G126" s="5" t="s">
        <v>208</v>
      </c>
      <c r="H126" s="5" t="s">
        <v>209</v>
      </c>
      <c r="I126" s="5" t="s">
        <v>58</v>
      </c>
      <c r="J126" s="5" t="s">
        <v>52</v>
      </c>
      <c r="K126" s="5" t="s">
        <v>207</v>
      </c>
      <c r="L126" s="5" t="s">
        <v>74</v>
      </c>
      <c r="M126" s="5" t="s">
        <v>69</v>
      </c>
      <c r="N126" s="5" t="s">
        <v>47</v>
      </c>
      <c r="O126" s="5" t="s">
        <v>210</v>
      </c>
      <c r="P126" s="5" t="s">
        <v>73</v>
      </c>
      <c r="Q126" s="5" t="s">
        <v>57</v>
      </c>
      <c r="R126" s="1">
        <v>6</v>
      </c>
      <c r="S126" s="1">
        <v>77</v>
      </c>
      <c r="T126" s="1">
        <v>49</v>
      </c>
    </row>
    <row r="127" spans="1:26" x14ac:dyDescent="0.3">
      <c r="A127" s="46">
        <v>112</v>
      </c>
      <c r="B127" s="4"/>
      <c r="C127" s="6" t="s">
        <v>23</v>
      </c>
      <c r="D127" s="5"/>
      <c r="E127" s="5" t="s">
        <v>54</v>
      </c>
      <c r="F127" s="5" t="s">
        <v>71</v>
      </c>
      <c r="G127" s="5" t="s">
        <v>208</v>
      </c>
      <c r="H127" s="5" t="s">
        <v>209</v>
      </c>
      <c r="I127" s="5" t="s">
        <v>61</v>
      </c>
      <c r="J127" s="5" t="s">
        <v>52</v>
      </c>
      <c r="K127" s="5" t="s">
        <v>207</v>
      </c>
      <c r="L127" s="5" t="s">
        <v>74</v>
      </c>
      <c r="M127" s="5" t="s">
        <v>64</v>
      </c>
      <c r="N127" s="5" t="s">
        <v>48</v>
      </c>
      <c r="O127" s="5" t="s">
        <v>210</v>
      </c>
      <c r="P127" s="5" t="s">
        <v>73</v>
      </c>
      <c r="Q127" s="5" t="s">
        <v>57</v>
      </c>
      <c r="R127" s="1">
        <v>6</v>
      </c>
      <c r="S127" s="1">
        <v>80</v>
      </c>
      <c r="T127" s="1">
        <v>38</v>
      </c>
    </row>
    <row r="128" spans="1:26" x14ac:dyDescent="0.3">
      <c r="A128" s="46">
        <v>113</v>
      </c>
      <c r="B128" s="4"/>
      <c r="C128" s="6" t="s">
        <v>18</v>
      </c>
      <c r="D128" s="5"/>
      <c r="E128" s="5" t="s">
        <v>54</v>
      </c>
      <c r="F128" s="5" t="s">
        <v>71</v>
      </c>
      <c r="G128" s="5" t="s">
        <v>208</v>
      </c>
      <c r="H128" s="5" t="s">
        <v>56</v>
      </c>
      <c r="I128" s="5" t="s">
        <v>58</v>
      </c>
      <c r="J128" s="5" t="s">
        <v>52</v>
      </c>
      <c r="K128" s="5" t="s">
        <v>207</v>
      </c>
      <c r="L128" s="5" t="s">
        <v>63</v>
      </c>
      <c r="M128" s="5" t="s">
        <v>64</v>
      </c>
      <c r="N128" s="5" t="s">
        <v>48</v>
      </c>
      <c r="O128" s="5" t="s">
        <v>210</v>
      </c>
      <c r="P128" s="5" t="s">
        <v>73</v>
      </c>
      <c r="Q128" s="5" t="s">
        <v>70</v>
      </c>
      <c r="R128" s="1">
        <v>6</v>
      </c>
      <c r="S128" s="1">
        <v>68</v>
      </c>
      <c r="T128" s="1">
        <v>38</v>
      </c>
    </row>
    <row r="129" spans="1:20" ht="28.8" x14ac:dyDescent="0.3">
      <c r="A129" s="46">
        <v>114</v>
      </c>
      <c r="B129" s="4"/>
      <c r="C129" s="6" t="s">
        <v>193</v>
      </c>
      <c r="D129" s="5"/>
      <c r="E129" s="5" t="s">
        <v>54</v>
      </c>
      <c r="F129" s="5" t="s">
        <v>71</v>
      </c>
      <c r="G129" s="5" t="s">
        <v>208</v>
      </c>
      <c r="H129" s="5" t="s">
        <v>209</v>
      </c>
      <c r="I129" s="5" t="s">
        <v>61</v>
      </c>
      <c r="J129" s="5" t="s">
        <v>52</v>
      </c>
      <c r="K129" s="5" t="s">
        <v>207</v>
      </c>
      <c r="L129" s="5" t="s">
        <v>74</v>
      </c>
      <c r="M129" s="5" t="s">
        <v>69</v>
      </c>
      <c r="N129" s="5" t="s">
        <v>48</v>
      </c>
      <c r="O129" s="5" t="s">
        <v>75</v>
      </c>
      <c r="P129" s="5" t="s">
        <v>73</v>
      </c>
      <c r="Q129" s="5" t="s">
        <v>57</v>
      </c>
      <c r="R129" s="1">
        <v>6</v>
      </c>
      <c r="S129" s="1">
        <v>75</v>
      </c>
      <c r="T129" s="1">
        <v>38</v>
      </c>
    </row>
    <row r="130" spans="1:20" x14ac:dyDescent="0.3">
      <c r="A130" s="46">
        <v>115</v>
      </c>
      <c r="B130" s="4"/>
      <c r="C130" s="6" t="s">
        <v>130</v>
      </c>
      <c r="D130" s="5"/>
      <c r="E130" s="5" t="s">
        <v>54</v>
      </c>
      <c r="F130" s="5" t="s">
        <v>71</v>
      </c>
      <c r="G130" s="5" t="s">
        <v>66</v>
      </c>
      <c r="H130" s="5" t="s">
        <v>56</v>
      </c>
      <c r="I130" s="5" t="s">
        <v>61</v>
      </c>
      <c r="J130" s="5" t="s">
        <v>67</v>
      </c>
      <c r="K130" s="5" t="s">
        <v>207</v>
      </c>
      <c r="L130" s="5" t="s">
        <v>63</v>
      </c>
      <c r="M130" s="5" t="s">
        <v>69</v>
      </c>
      <c r="N130" s="5" t="s">
        <v>48</v>
      </c>
      <c r="O130" s="5" t="s">
        <v>75</v>
      </c>
      <c r="P130" s="5" t="s">
        <v>73</v>
      </c>
      <c r="Q130" s="5" t="s">
        <v>57</v>
      </c>
      <c r="R130" s="1">
        <v>6</v>
      </c>
      <c r="S130" s="1">
        <v>77</v>
      </c>
      <c r="T130" s="1">
        <v>37</v>
      </c>
    </row>
    <row r="131" spans="1:20" x14ac:dyDescent="0.3">
      <c r="A131" s="46">
        <v>116</v>
      </c>
      <c r="B131" s="4"/>
      <c r="C131" s="6" t="s">
        <v>144</v>
      </c>
      <c r="D131" s="5"/>
      <c r="E131" s="5" t="s">
        <v>54</v>
      </c>
      <c r="F131" s="5" t="s">
        <v>71</v>
      </c>
      <c r="G131" s="5" t="s">
        <v>66</v>
      </c>
      <c r="H131" s="5" t="s">
        <v>56</v>
      </c>
      <c r="I131" s="5" t="s">
        <v>61</v>
      </c>
      <c r="J131" s="5" t="s">
        <v>52</v>
      </c>
      <c r="K131" s="5" t="s">
        <v>207</v>
      </c>
      <c r="L131" s="5" t="s">
        <v>63</v>
      </c>
      <c r="M131" s="5" t="s">
        <v>64</v>
      </c>
      <c r="N131" s="5" t="s">
        <v>47</v>
      </c>
      <c r="O131" s="5" t="s">
        <v>75</v>
      </c>
      <c r="P131" s="5" t="s">
        <v>73</v>
      </c>
      <c r="Q131" s="5" t="s">
        <v>70</v>
      </c>
      <c r="R131" s="1">
        <v>6</v>
      </c>
      <c r="S131" s="1">
        <v>80</v>
      </c>
      <c r="T131" s="1">
        <v>51</v>
      </c>
    </row>
    <row r="132" spans="1:20" ht="28.8" x14ac:dyDescent="0.3">
      <c r="A132" s="46">
        <v>117</v>
      </c>
      <c r="B132" s="4"/>
      <c r="C132" s="6" t="s">
        <v>103</v>
      </c>
      <c r="D132" s="5"/>
      <c r="E132" s="5" t="s">
        <v>54</v>
      </c>
      <c r="F132" s="5" t="s">
        <v>71</v>
      </c>
      <c r="G132" s="5" t="s">
        <v>208</v>
      </c>
      <c r="H132" s="5" t="s">
        <v>56</v>
      </c>
      <c r="I132" s="5" t="s">
        <v>58</v>
      </c>
      <c r="J132" s="5" t="s">
        <v>52</v>
      </c>
      <c r="K132" s="5" t="s">
        <v>62</v>
      </c>
      <c r="L132" s="5" t="s">
        <v>74</v>
      </c>
      <c r="M132" s="5" t="s">
        <v>64</v>
      </c>
      <c r="N132" s="5" t="s">
        <v>48</v>
      </c>
      <c r="O132" s="5" t="s">
        <v>75</v>
      </c>
      <c r="P132" s="5" t="s">
        <v>73</v>
      </c>
      <c r="Q132" s="5" t="s">
        <v>57</v>
      </c>
      <c r="R132" s="1">
        <v>6</v>
      </c>
      <c r="S132" s="1">
        <v>78</v>
      </c>
      <c r="T132" s="1">
        <v>37</v>
      </c>
    </row>
    <row r="133" spans="1:20" ht="28.8" x14ac:dyDescent="0.3">
      <c r="A133" s="46">
        <v>118</v>
      </c>
      <c r="B133" s="4"/>
      <c r="C133" s="6" t="s">
        <v>176</v>
      </c>
      <c r="D133" s="5"/>
      <c r="E133" s="5" t="s">
        <v>54</v>
      </c>
      <c r="F133" s="5" t="s">
        <v>71</v>
      </c>
      <c r="G133" s="5" t="s">
        <v>208</v>
      </c>
      <c r="H133" s="5" t="s">
        <v>56</v>
      </c>
      <c r="I133" s="5" t="s">
        <v>61</v>
      </c>
      <c r="J133" s="5" t="s">
        <v>67</v>
      </c>
      <c r="K133" s="5" t="s">
        <v>207</v>
      </c>
      <c r="L133" s="5" t="s">
        <v>74</v>
      </c>
      <c r="M133" s="5" t="s">
        <v>69</v>
      </c>
      <c r="N133" s="5" t="s">
        <v>48</v>
      </c>
      <c r="O133" s="5" t="s">
        <v>75</v>
      </c>
      <c r="P133" s="5" t="s">
        <v>73</v>
      </c>
      <c r="Q133" s="5" t="s">
        <v>57</v>
      </c>
      <c r="R133" s="1">
        <v>6</v>
      </c>
      <c r="S133" s="1">
        <v>81</v>
      </c>
      <c r="T133" s="1">
        <v>52</v>
      </c>
    </row>
    <row r="134" spans="1:20" ht="28.8" x14ac:dyDescent="0.3">
      <c r="A134" s="46">
        <v>119</v>
      </c>
      <c r="B134" s="4"/>
      <c r="C134" s="6" t="s">
        <v>133</v>
      </c>
      <c r="D134" s="5"/>
      <c r="E134" s="5" t="s">
        <v>54</v>
      </c>
      <c r="F134" s="5" t="s">
        <v>71</v>
      </c>
      <c r="G134" s="5" t="s">
        <v>208</v>
      </c>
      <c r="H134" s="5" t="s">
        <v>56</v>
      </c>
      <c r="I134" s="5" t="s">
        <v>61</v>
      </c>
      <c r="J134" s="5" t="s">
        <v>67</v>
      </c>
      <c r="K134" s="5" t="s">
        <v>207</v>
      </c>
      <c r="L134" s="5" t="s">
        <v>63</v>
      </c>
      <c r="M134" s="5" t="s">
        <v>69</v>
      </c>
      <c r="N134" s="5" t="s">
        <v>48</v>
      </c>
      <c r="O134" s="5" t="s">
        <v>210</v>
      </c>
      <c r="P134" s="5" t="s">
        <v>73</v>
      </c>
      <c r="Q134" s="5" t="s">
        <v>57</v>
      </c>
      <c r="R134" s="1">
        <v>6</v>
      </c>
      <c r="S134" s="1">
        <v>72</v>
      </c>
      <c r="T134" s="1">
        <v>36</v>
      </c>
    </row>
    <row r="135" spans="1:20" x14ac:dyDescent="0.3">
      <c r="A135" s="46">
        <v>120</v>
      </c>
      <c r="B135" s="4"/>
      <c r="C135" s="6" t="s">
        <v>82</v>
      </c>
      <c r="D135" s="5"/>
      <c r="E135" s="5" t="s">
        <v>54</v>
      </c>
      <c r="F135" s="5" t="s">
        <v>51</v>
      </c>
      <c r="G135" s="5" t="s">
        <v>208</v>
      </c>
      <c r="H135" s="5" t="s">
        <v>209</v>
      </c>
      <c r="I135" s="5" t="s">
        <v>61</v>
      </c>
      <c r="J135" s="5" t="s">
        <v>52</v>
      </c>
      <c r="K135" s="5" t="s">
        <v>207</v>
      </c>
      <c r="L135" s="5" t="s">
        <v>74</v>
      </c>
      <c r="M135" s="5" t="s">
        <v>64</v>
      </c>
      <c r="N135" s="5" t="s">
        <v>48</v>
      </c>
      <c r="O135" s="5" t="s">
        <v>210</v>
      </c>
      <c r="P135" s="5" t="s">
        <v>65</v>
      </c>
      <c r="Q135" s="5" t="s">
        <v>57</v>
      </c>
      <c r="R135" s="1">
        <v>6</v>
      </c>
      <c r="S135" s="1">
        <v>75</v>
      </c>
      <c r="T135" s="1">
        <v>36</v>
      </c>
    </row>
    <row r="136" spans="1:20" x14ac:dyDescent="0.3">
      <c r="A136" s="46">
        <v>121</v>
      </c>
      <c r="B136" s="4"/>
      <c r="C136" s="6" t="s">
        <v>94</v>
      </c>
      <c r="D136" s="5"/>
      <c r="E136" s="5" t="s">
        <v>54</v>
      </c>
      <c r="F136" s="5" t="s">
        <v>51</v>
      </c>
      <c r="G136" s="5" t="s">
        <v>208</v>
      </c>
      <c r="H136" s="5" t="s">
        <v>56</v>
      </c>
      <c r="I136" s="5" t="s">
        <v>61</v>
      </c>
      <c r="J136" s="5" t="s">
        <v>67</v>
      </c>
      <c r="K136" s="5" t="s">
        <v>207</v>
      </c>
      <c r="L136" s="5" t="s">
        <v>74</v>
      </c>
      <c r="M136" s="5" t="s">
        <v>69</v>
      </c>
      <c r="N136" s="5" t="s">
        <v>48</v>
      </c>
      <c r="O136" s="5" t="s">
        <v>75</v>
      </c>
      <c r="P136" s="5" t="s">
        <v>65</v>
      </c>
      <c r="Q136" s="5" t="s">
        <v>57</v>
      </c>
      <c r="R136" s="1">
        <v>6</v>
      </c>
      <c r="S136" s="1">
        <v>90</v>
      </c>
      <c r="T136" s="1">
        <v>54</v>
      </c>
    </row>
    <row r="137" spans="1:20" x14ac:dyDescent="0.3">
      <c r="A137" s="46">
        <v>122</v>
      </c>
      <c r="B137" s="4"/>
      <c r="C137" s="6" t="s">
        <v>31</v>
      </c>
      <c r="D137" s="5"/>
      <c r="E137" s="5" t="s">
        <v>54</v>
      </c>
      <c r="F137" s="5" t="s">
        <v>71</v>
      </c>
      <c r="G137" s="5" t="s">
        <v>208</v>
      </c>
      <c r="H137" s="5" t="s">
        <v>209</v>
      </c>
      <c r="I137" s="5" t="s">
        <v>61</v>
      </c>
      <c r="J137" s="5" t="s">
        <v>52</v>
      </c>
      <c r="K137" s="5" t="s">
        <v>207</v>
      </c>
      <c r="L137" s="5" t="s">
        <v>74</v>
      </c>
      <c r="M137" s="5" t="s">
        <v>69</v>
      </c>
      <c r="N137" s="5" t="s">
        <v>48</v>
      </c>
      <c r="O137" s="5" t="s">
        <v>210</v>
      </c>
      <c r="P137" s="5" t="s">
        <v>73</v>
      </c>
      <c r="Q137" s="5" t="s">
        <v>57</v>
      </c>
      <c r="R137" s="1">
        <v>5</v>
      </c>
      <c r="S137" s="1">
        <v>73</v>
      </c>
      <c r="T137" s="1">
        <v>44</v>
      </c>
    </row>
    <row r="138" spans="1:20" ht="28.8" x14ac:dyDescent="0.3">
      <c r="A138" s="46">
        <v>123</v>
      </c>
      <c r="B138" s="4"/>
      <c r="C138" s="6" t="s">
        <v>146</v>
      </c>
      <c r="D138" s="5"/>
      <c r="E138" s="5" t="s">
        <v>50</v>
      </c>
      <c r="F138" s="5" t="s">
        <v>71</v>
      </c>
      <c r="G138" s="5" t="s">
        <v>66</v>
      </c>
      <c r="H138" s="5" t="s">
        <v>209</v>
      </c>
      <c r="I138" s="5" t="s">
        <v>61</v>
      </c>
      <c r="J138" s="5" t="s">
        <v>52</v>
      </c>
      <c r="K138" s="5" t="s">
        <v>62</v>
      </c>
      <c r="L138" s="5" t="s">
        <v>74</v>
      </c>
      <c r="M138" s="5" t="s">
        <v>69</v>
      </c>
      <c r="N138" s="5" t="s">
        <v>48</v>
      </c>
      <c r="O138" s="5" t="s">
        <v>210</v>
      </c>
      <c r="P138" s="5" t="s">
        <v>65</v>
      </c>
      <c r="Q138" s="5" t="s">
        <v>57</v>
      </c>
      <c r="R138" s="1">
        <v>5</v>
      </c>
      <c r="S138" s="1">
        <v>77</v>
      </c>
      <c r="T138" s="1">
        <v>44</v>
      </c>
    </row>
    <row r="139" spans="1:20" x14ac:dyDescent="0.3">
      <c r="A139" s="46">
        <v>124</v>
      </c>
      <c r="B139" s="4"/>
      <c r="C139" s="6" t="s">
        <v>95</v>
      </c>
      <c r="D139" s="5"/>
      <c r="E139" s="5" t="s">
        <v>54</v>
      </c>
      <c r="F139" s="5" t="s">
        <v>71</v>
      </c>
      <c r="G139" s="5" t="s">
        <v>208</v>
      </c>
      <c r="H139" s="5" t="s">
        <v>56</v>
      </c>
      <c r="I139" s="5" t="s">
        <v>58</v>
      </c>
      <c r="J139" s="5" t="s">
        <v>52</v>
      </c>
      <c r="K139" s="5" t="s">
        <v>62</v>
      </c>
      <c r="L139" s="5" t="s">
        <v>74</v>
      </c>
      <c r="M139" s="5" t="s">
        <v>69</v>
      </c>
      <c r="N139" s="5" t="s">
        <v>48</v>
      </c>
      <c r="O139" s="5" t="s">
        <v>210</v>
      </c>
      <c r="P139" s="5" t="s">
        <v>65</v>
      </c>
      <c r="Q139" s="5" t="s">
        <v>57</v>
      </c>
      <c r="R139" s="1">
        <v>5</v>
      </c>
      <c r="S139" s="1">
        <v>84</v>
      </c>
      <c r="T139" s="1">
        <v>44</v>
      </c>
    </row>
    <row r="140" spans="1:20" x14ac:dyDescent="0.3">
      <c r="A140" s="46">
        <v>125</v>
      </c>
      <c r="B140" s="4"/>
      <c r="C140" s="6" t="s">
        <v>86</v>
      </c>
      <c r="D140" s="5"/>
      <c r="E140" s="5" t="s">
        <v>50</v>
      </c>
      <c r="F140" s="5" t="s">
        <v>51</v>
      </c>
      <c r="G140" s="5" t="s">
        <v>66</v>
      </c>
      <c r="H140" s="5" t="s">
        <v>209</v>
      </c>
      <c r="I140" s="5" t="s">
        <v>58</v>
      </c>
      <c r="J140" s="5" t="s">
        <v>52</v>
      </c>
      <c r="K140" s="5" t="s">
        <v>207</v>
      </c>
      <c r="L140" s="5" t="s">
        <v>74</v>
      </c>
      <c r="M140" s="5" t="s">
        <v>69</v>
      </c>
      <c r="N140" s="5" t="s">
        <v>47</v>
      </c>
      <c r="O140" s="5" t="s">
        <v>210</v>
      </c>
      <c r="P140" s="5" t="s">
        <v>73</v>
      </c>
      <c r="Q140" s="5" t="s">
        <v>70</v>
      </c>
      <c r="R140" s="1">
        <v>5</v>
      </c>
      <c r="S140" s="1">
        <v>74</v>
      </c>
      <c r="T140" s="1">
        <v>45</v>
      </c>
    </row>
    <row r="141" spans="1:20" ht="28.8" x14ac:dyDescent="0.3">
      <c r="A141" s="46">
        <v>126</v>
      </c>
      <c r="B141" s="4"/>
      <c r="C141" s="6" t="s">
        <v>175</v>
      </c>
      <c r="D141" s="5"/>
      <c r="E141" s="5" t="s">
        <v>54</v>
      </c>
      <c r="F141" s="5" t="s">
        <v>71</v>
      </c>
      <c r="G141" s="5" t="s">
        <v>66</v>
      </c>
      <c r="H141" s="5" t="s">
        <v>56</v>
      </c>
      <c r="I141" s="5" t="s">
        <v>58</v>
      </c>
      <c r="J141" s="5" t="s">
        <v>67</v>
      </c>
      <c r="K141" s="5" t="s">
        <v>207</v>
      </c>
      <c r="L141" s="5" t="s">
        <v>63</v>
      </c>
      <c r="M141" s="5" t="s">
        <v>69</v>
      </c>
      <c r="N141" s="5" t="s">
        <v>48</v>
      </c>
      <c r="O141" s="5" t="s">
        <v>210</v>
      </c>
      <c r="P141" s="5" t="s">
        <v>73</v>
      </c>
      <c r="Q141" s="5" t="s">
        <v>70</v>
      </c>
      <c r="R141" s="1">
        <v>5</v>
      </c>
      <c r="S141" s="1">
        <v>68</v>
      </c>
      <c r="T141" s="1">
        <v>45</v>
      </c>
    </row>
    <row r="142" spans="1:20" ht="28.8" x14ac:dyDescent="0.3">
      <c r="A142" s="46">
        <v>127</v>
      </c>
      <c r="B142" s="4"/>
      <c r="C142" s="6" t="s">
        <v>41</v>
      </c>
      <c r="D142" s="5"/>
      <c r="E142" s="5" t="s">
        <v>50</v>
      </c>
      <c r="F142" s="5" t="s">
        <v>71</v>
      </c>
      <c r="G142" s="5" t="s">
        <v>66</v>
      </c>
      <c r="H142" s="5" t="s">
        <v>209</v>
      </c>
      <c r="I142" s="5" t="s">
        <v>61</v>
      </c>
      <c r="J142" s="5" t="s">
        <v>52</v>
      </c>
      <c r="K142" s="5" t="s">
        <v>62</v>
      </c>
      <c r="L142" s="5" t="s">
        <v>74</v>
      </c>
      <c r="M142" s="5" t="s">
        <v>69</v>
      </c>
      <c r="N142" s="5" t="s">
        <v>48</v>
      </c>
      <c r="O142" s="5" t="s">
        <v>75</v>
      </c>
      <c r="P142" s="5" t="s">
        <v>73</v>
      </c>
      <c r="Q142" s="5" t="s">
        <v>57</v>
      </c>
      <c r="R142" s="1">
        <v>5</v>
      </c>
      <c r="S142" s="1">
        <v>71</v>
      </c>
      <c r="T142" s="1">
        <v>43</v>
      </c>
    </row>
    <row r="143" spans="1:20" x14ac:dyDescent="0.3">
      <c r="A143" s="46">
        <v>128</v>
      </c>
      <c r="B143" s="4"/>
      <c r="C143" s="6" t="s">
        <v>85</v>
      </c>
      <c r="D143" s="5"/>
      <c r="E143" s="5" t="s">
        <v>54</v>
      </c>
      <c r="F143" s="5" t="s">
        <v>71</v>
      </c>
      <c r="G143" s="5" t="s">
        <v>66</v>
      </c>
      <c r="H143" s="5" t="s">
        <v>56</v>
      </c>
      <c r="I143" s="5" t="s">
        <v>61</v>
      </c>
      <c r="J143" s="5" t="s">
        <v>67</v>
      </c>
      <c r="K143" s="5" t="s">
        <v>62</v>
      </c>
      <c r="L143" s="5" t="s">
        <v>63</v>
      </c>
      <c r="M143" s="5" t="s">
        <v>64</v>
      </c>
      <c r="N143" s="5" t="s">
        <v>48</v>
      </c>
      <c r="O143" s="5" t="s">
        <v>210</v>
      </c>
      <c r="P143" s="5" t="s">
        <v>65</v>
      </c>
      <c r="Q143" s="5" t="s">
        <v>70</v>
      </c>
      <c r="R143" s="1">
        <v>5</v>
      </c>
      <c r="S143" s="1">
        <v>82</v>
      </c>
      <c r="T143" s="1">
        <v>45</v>
      </c>
    </row>
    <row r="144" spans="1:20" ht="28.8" x14ac:dyDescent="0.3">
      <c r="A144" s="46">
        <v>129</v>
      </c>
      <c r="B144" s="4"/>
      <c r="C144" s="6" t="s">
        <v>102</v>
      </c>
      <c r="D144" s="5"/>
      <c r="E144" s="5" t="s">
        <v>54</v>
      </c>
      <c r="F144" s="5" t="s">
        <v>51</v>
      </c>
      <c r="G144" s="5" t="s">
        <v>208</v>
      </c>
      <c r="H144" s="5" t="s">
        <v>56</v>
      </c>
      <c r="I144" s="5" t="s">
        <v>61</v>
      </c>
      <c r="J144" s="5" t="s">
        <v>67</v>
      </c>
      <c r="K144" s="5" t="s">
        <v>62</v>
      </c>
      <c r="L144" s="5" t="s">
        <v>74</v>
      </c>
      <c r="M144" s="5" t="s">
        <v>69</v>
      </c>
      <c r="N144" s="5" t="s">
        <v>48</v>
      </c>
      <c r="O144" s="5" t="s">
        <v>75</v>
      </c>
      <c r="P144" s="5" t="s">
        <v>65</v>
      </c>
      <c r="Q144" s="5" t="s">
        <v>57</v>
      </c>
      <c r="R144" s="1">
        <v>5</v>
      </c>
      <c r="S144" s="1">
        <v>76</v>
      </c>
      <c r="T144" s="1">
        <v>43</v>
      </c>
    </row>
    <row r="145" spans="1:20" x14ac:dyDescent="0.3">
      <c r="A145" s="46">
        <v>130</v>
      </c>
      <c r="B145" s="4"/>
      <c r="C145" s="6" t="s">
        <v>161</v>
      </c>
      <c r="D145" s="5"/>
      <c r="E145" s="5" t="s">
        <v>54</v>
      </c>
      <c r="F145" s="5" t="s">
        <v>51</v>
      </c>
      <c r="G145" s="5" t="s">
        <v>208</v>
      </c>
      <c r="H145" s="5" t="s">
        <v>209</v>
      </c>
      <c r="I145" s="5" t="s">
        <v>61</v>
      </c>
      <c r="J145" s="5" t="s">
        <v>52</v>
      </c>
      <c r="K145" s="5" t="s">
        <v>62</v>
      </c>
      <c r="L145" s="5" t="s">
        <v>63</v>
      </c>
      <c r="M145" s="5" t="s">
        <v>69</v>
      </c>
      <c r="N145" s="5" t="s">
        <v>48</v>
      </c>
      <c r="O145" s="5" t="s">
        <v>75</v>
      </c>
      <c r="P145" s="5" t="s">
        <v>73</v>
      </c>
      <c r="Q145" s="5" t="s">
        <v>57</v>
      </c>
      <c r="R145" s="1">
        <v>5</v>
      </c>
      <c r="S145" s="1">
        <v>76</v>
      </c>
      <c r="T145" s="1">
        <v>41</v>
      </c>
    </row>
    <row r="146" spans="1:20" ht="28.8" x14ac:dyDescent="0.3">
      <c r="A146" s="46">
        <v>131</v>
      </c>
      <c r="B146" s="4"/>
      <c r="C146" s="6" t="s">
        <v>182</v>
      </c>
      <c r="D146" s="5"/>
      <c r="E146" s="5" t="s">
        <v>54</v>
      </c>
      <c r="F146" s="5" t="s">
        <v>71</v>
      </c>
      <c r="G146" s="5" t="s">
        <v>208</v>
      </c>
      <c r="H146" s="5" t="s">
        <v>209</v>
      </c>
      <c r="I146" s="5" t="s">
        <v>61</v>
      </c>
      <c r="J146" s="5" t="s">
        <v>52</v>
      </c>
      <c r="K146" s="5" t="s">
        <v>62</v>
      </c>
      <c r="L146" s="5" t="s">
        <v>74</v>
      </c>
      <c r="M146" s="5" t="s">
        <v>64</v>
      </c>
      <c r="N146" s="5" t="s">
        <v>48</v>
      </c>
      <c r="O146" s="5" t="s">
        <v>210</v>
      </c>
      <c r="P146" s="5" t="s">
        <v>65</v>
      </c>
      <c r="Q146" s="5" t="s">
        <v>70</v>
      </c>
      <c r="R146" s="1">
        <v>5</v>
      </c>
      <c r="S146" s="1">
        <v>68</v>
      </c>
      <c r="T146" s="1">
        <v>41</v>
      </c>
    </row>
    <row r="147" spans="1:20" x14ac:dyDescent="0.3">
      <c r="A147" s="46">
        <v>132</v>
      </c>
      <c r="B147" s="4"/>
      <c r="C147" s="6" t="s">
        <v>138</v>
      </c>
      <c r="D147" s="5"/>
      <c r="E147" s="5" t="s">
        <v>54</v>
      </c>
      <c r="F147" s="5" t="s">
        <v>71</v>
      </c>
      <c r="G147" s="5" t="s">
        <v>208</v>
      </c>
      <c r="H147" s="5" t="s">
        <v>56</v>
      </c>
      <c r="I147" s="5" t="s">
        <v>58</v>
      </c>
      <c r="J147" s="5" t="s">
        <v>52</v>
      </c>
      <c r="K147" s="5" t="s">
        <v>207</v>
      </c>
      <c r="L147" s="5" t="s">
        <v>74</v>
      </c>
      <c r="M147" s="5" t="s">
        <v>69</v>
      </c>
      <c r="N147" s="5" t="s">
        <v>48</v>
      </c>
      <c r="O147" s="5" t="s">
        <v>75</v>
      </c>
      <c r="P147" s="5" t="s">
        <v>73</v>
      </c>
      <c r="Q147" s="5" t="s">
        <v>70</v>
      </c>
      <c r="R147" s="1">
        <v>5</v>
      </c>
      <c r="S147" s="1">
        <v>82</v>
      </c>
      <c r="T147" s="1">
        <v>41</v>
      </c>
    </row>
    <row r="148" spans="1:20" x14ac:dyDescent="0.3">
      <c r="A148" s="46">
        <v>133</v>
      </c>
      <c r="B148" s="4"/>
      <c r="C148" s="6" t="s">
        <v>201</v>
      </c>
      <c r="D148" s="5"/>
      <c r="E148" s="5" t="s">
        <v>54</v>
      </c>
      <c r="F148" s="5" t="s">
        <v>51</v>
      </c>
      <c r="G148" s="5" t="s">
        <v>66</v>
      </c>
      <c r="H148" s="5" t="s">
        <v>56</v>
      </c>
      <c r="I148" s="5" t="s">
        <v>61</v>
      </c>
      <c r="J148" s="5" t="s">
        <v>67</v>
      </c>
      <c r="K148" s="5" t="s">
        <v>207</v>
      </c>
      <c r="L148" s="5" t="s">
        <v>63</v>
      </c>
      <c r="M148" s="5" t="s">
        <v>69</v>
      </c>
      <c r="N148" s="5" t="s">
        <v>47</v>
      </c>
      <c r="O148" s="5" t="s">
        <v>210</v>
      </c>
      <c r="P148" s="5" t="s">
        <v>73</v>
      </c>
      <c r="Q148" s="5" t="s">
        <v>57</v>
      </c>
      <c r="R148" s="1">
        <v>5</v>
      </c>
      <c r="S148" s="1">
        <v>65</v>
      </c>
      <c r="T148" s="1">
        <v>40</v>
      </c>
    </row>
    <row r="149" spans="1:20" x14ac:dyDescent="0.3">
      <c r="A149" s="46">
        <v>134</v>
      </c>
      <c r="B149" s="4"/>
      <c r="C149" s="6" t="s">
        <v>189</v>
      </c>
      <c r="D149" s="5"/>
      <c r="E149" s="5" t="s">
        <v>54</v>
      </c>
      <c r="F149" s="5" t="s">
        <v>71</v>
      </c>
      <c r="G149" s="5" t="s">
        <v>208</v>
      </c>
      <c r="H149" s="5" t="s">
        <v>209</v>
      </c>
      <c r="I149" s="5" t="s">
        <v>58</v>
      </c>
      <c r="J149" s="5" t="s">
        <v>52</v>
      </c>
      <c r="K149" s="5" t="s">
        <v>207</v>
      </c>
      <c r="L149" s="5" t="s">
        <v>74</v>
      </c>
      <c r="M149" s="5" t="s">
        <v>69</v>
      </c>
      <c r="N149" s="5" t="s">
        <v>48</v>
      </c>
      <c r="O149" s="5" t="s">
        <v>210</v>
      </c>
      <c r="P149" s="5" t="s">
        <v>73</v>
      </c>
      <c r="Q149" s="5" t="s">
        <v>70</v>
      </c>
      <c r="R149" s="1">
        <v>5</v>
      </c>
      <c r="S149" s="1">
        <v>84</v>
      </c>
      <c r="T149" s="1">
        <v>40</v>
      </c>
    </row>
    <row r="150" spans="1:20" x14ac:dyDescent="0.3">
      <c r="A150" s="46">
        <v>135</v>
      </c>
      <c r="B150" s="4"/>
      <c r="C150" s="6" t="s">
        <v>12</v>
      </c>
      <c r="D150" s="5"/>
      <c r="E150" s="5" t="s">
        <v>54</v>
      </c>
      <c r="F150" s="5" t="s">
        <v>71</v>
      </c>
      <c r="G150" s="5" t="s">
        <v>66</v>
      </c>
      <c r="H150" s="5" t="s">
        <v>56</v>
      </c>
      <c r="I150" s="5" t="s">
        <v>58</v>
      </c>
      <c r="J150" s="5" t="s">
        <v>52</v>
      </c>
      <c r="K150" s="5" t="s">
        <v>207</v>
      </c>
      <c r="L150" s="5" t="s">
        <v>63</v>
      </c>
      <c r="M150" s="5" t="s">
        <v>69</v>
      </c>
      <c r="N150" s="5" t="s">
        <v>48</v>
      </c>
      <c r="O150" s="5" t="s">
        <v>210</v>
      </c>
      <c r="P150" s="5" t="s">
        <v>73</v>
      </c>
      <c r="Q150" s="5" t="s">
        <v>57</v>
      </c>
      <c r="R150" s="1">
        <v>5</v>
      </c>
      <c r="S150" s="1">
        <v>76</v>
      </c>
      <c r="T150" s="1">
        <v>40</v>
      </c>
    </row>
    <row r="151" spans="1:20" x14ac:dyDescent="0.3">
      <c r="A151" s="46">
        <v>136</v>
      </c>
      <c r="B151" s="4"/>
      <c r="C151" s="6" t="s">
        <v>120</v>
      </c>
      <c r="D151" s="5"/>
      <c r="E151" s="5" t="s">
        <v>54</v>
      </c>
      <c r="F151" s="5" t="s">
        <v>51</v>
      </c>
      <c r="G151" s="5" t="s">
        <v>208</v>
      </c>
      <c r="H151" s="5" t="s">
        <v>209</v>
      </c>
      <c r="I151" s="5" t="s">
        <v>61</v>
      </c>
      <c r="J151" s="5" t="s">
        <v>52</v>
      </c>
      <c r="K151" s="5" t="s">
        <v>207</v>
      </c>
      <c r="L151" s="5" t="s">
        <v>74</v>
      </c>
      <c r="M151" s="5" t="s">
        <v>64</v>
      </c>
      <c r="N151" s="5" t="s">
        <v>48</v>
      </c>
      <c r="O151" s="5" t="s">
        <v>210</v>
      </c>
      <c r="P151" s="5" t="s">
        <v>73</v>
      </c>
      <c r="Q151" s="5" t="s">
        <v>57</v>
      </c>
      <c r="R151" s="1">
        <v>5</v>
      </c>
      <c r="S151" s="1">
        <v>74</v>
      </c>
      <c r="T151" s="1">
        <v>48</v>
      </c>
    </row>
    <row r="152" spans="1:20" ht="28.8" x14ac:dyDescent="0.3">
      <c r="A152" s="46">
        <v>137</v>
      </c>
      <c r="B152" s="4"/>
      <c r="C152" s="6" t="s">
        <v>134</v>
      </c>
      <c r="D152" s="5"/>
      <c r="E152" s="5" t="s">
        <v>54</v>
      </c>
      <c r="F152" s="5" t="s">
        <v>71</v>
      </c>
      <c r="G152" s="5" t="s">
        <v>66</v>
      </c>
      <c r="H152" s="5" t="s">
        <v>56</v>
      </c>
      <c r="I152" s="5" t="s">
        <v>61</v>
      </c>
      <c r="J152" s="5" t="s">
        <v>67</v>
      </c>
      <c r="K152" s="5" t="s">
        <v>207</v>
      </c>
      <c r="L152" s="5" t="s">
        <v>74</v>
      </c>
      <c r="M152" s="5" t="s">
        <v>69</v>
      </c>
      <c r="N152" s="5" t="s">
        <v>48</v>
      </c>
      <c r="O152" s="5" t="s">
        <v>210</v>
      </c>
      <c r="P152" s="5" t="s">
        <v>65</v>
      </c>
      <c r="Q152" s="5" t="s">
        <v>57</v>
      </c>
      <c r="R152" s="1">
        <v>5</v>
      </c>
      <c r="S152" s="1">
        <v>74</v>
      </c>
      <c r="T152" s="1">
        <v>37</v>
      </c>
    </row>
    <row r="153" spans="1:20" ht="43.2" x14ac:dyDescent="0.3">
      <c r="A153" s="46">
        <v>138</v>
      </c>
      <c r="B153" s="4"/>
      <c r="C153" s="6" t="s">
        <v>188</v>
      </c>
      <c r="D153" s="5"/>
      <c r="E153" s="5" t="s">
        <v>54</v>
      </c>
      <c r="F153" s="5" t="s">
        <v>71</v>
      </c>
      <c r="G153" s="5" t="s">
        <v>66</v>
      </c>
      <c r="H153" s="5" t="s">
        <v>209</v>
      </c>
      <c r="I153" s="5" t="s">
        <v>61</v>
      </c>
      <c r="J153" s="5" t="s">
        <v>67</v>
      </c>
      <c r="K153" s="5" t="s">
        <v>207</v>
      </c>
      <c r="L153" s="5" t="s">
        <v>74</v>
      </c>
      <c r="M153" s="5" t="s">
        <v>69</v>
      </c>
      <c r="N153" s="5" t="s">
        <v>48</v>
      </c>
      <c r="O153" s="5" t="s">
        <v>210</v>
      </c>
      <c r="P153" s="5" t="s">
        <v>73</v>
      </c>
      <c r="Q153" s="5" t="s">
        <v>57</v>
      </c>
      <c r="R153" s="1">
        <v>5</v>
      </c>
      <c r="S153" s="1">
        <v>75</v>
      </c>
      <c r="T153" s="1">
        <v>37</v>
      </c>
    </row>
    <row r="154" spans="1:20" ht="28.8" x14ac:dyDescent="0.3">
      <c r="A154" s="46">
        <v>139</v>
      </c>
      <c r="B154" s="4"/>
      <c r="C154" s="6" t="s">
        <v>179</v>
      </c>
      <c r="D154" s="5"/>
      <c r="E154" s="5" t="s">
        <v>54</v>
      </c>
      <c r="F154" s="5" t="s">
        <v>51</v>
      </c>
      <c r="G154" s="5" t="s">
        <v>66</v>
      </c>
      <c r="H154" s="5" t="s">
        <v>56</v>
      </c>
      <c r="I154" s="5" t="s">
        <v>58</v>
      </c>
      <c r="J154" s="5" t="s">
        <v>67</v>
      </c>
      <c r="K154" s="5" t="s">
        <v>62</v>
      </c>
      <c r="L154" s="5" t="s">
        <v>63</v>
      </c>
      <c r="M154" s="5" t="s">
        <v>64</v>
      </c>
      <c r="N154" s="5" t="s">
        <v>48</v>
      </c>
      <c r="O154" s="5" t="s">
        <v>210</v>
      </c>
      <c r="P154" s="5" t="s">
        <v>73</v>
      </c>
      <c r="Q154" s="5" t="s">
        <v>57</v>
      </c>
      <c r="R154" s="1">
        <v>5</v>
      </c>
      <c r="S154" s="1">
        <v>76</v>
      </c>
      <c r="T154" s="1">
        <v>36</v>
      </c>
    </row>
    <row r="155" spans="1:20" x14ac:dyDescent="0.3">
      <c r="A155" s="46">
        <v>140</v>
      </c>
      <c r="B155" s="4"/>
      <c r="C155" s="6" t="s">
        <v>118</v>
      </c>
      <c r="D155" s="5"/>
      <c r="E155" s="5" t="s">
        <v>54</v>
      </c>
      <c r="F155" s="5" t="s">
        <v>71</v>
      </c>
      <c r="G155" s="5" t="s">
        <v>66</v>
      </c>
      <c r="H155" s="5" t="s">
        <v>209</v>
      </c>
      <c r="I155" s="5" t="s">
        <v>61</v>
      </c>
      <c r="J155" s="5" t="s">
        <v>52</v>
      </c>
      <c r="K155" s="5" t="s">
        <v>207</v>
      </c>
      <c r="L155" s="5" t="s">
        <v>74</v>
      </c>
      <c r="M155" s="5" t="s">
        <v>69</v>
      </c>
      <c r="N155" s="5" t="s">
        <v>48</v>
      </c>
      <c r="O155" s="5" t="s">
        <v>75</v>
      </c>
      <c r="P155" s="5" t="s">
        <v>73</v>
      </c>
      <c r="Q155" s="5" t="s">
        <v>57</v>
      </c>
      <c r="R155" s="1">
        <v>5</v>
      </c>
      <c r="S155" s="1">
        <v>75</v>
      </c>
      <c r="T155" s="1">
        <v>52</v>
      </c>
    </row>
    <row r="156" spans="1:20" ht="28.8" x14ac:dyDescent="0.3">
      <c r="A156" s="46">
        <v>141</v>
      </c>
      <c r="B156" s="4"/>
      <c r="C156" s="6" t="s">
        <v>135</v>
      </c>
      <c r="D156" s="5"/>
      <c r="E156" s="5" t="s">
        <v>54</v>
      </c>
      <c r="F156" s="5" t="s">
        <v>51</v>
      </c>
      <c r="G156" s="5" t="s">
        <v>208</v>
      </c>
      <c r="H156" s="5" t="s">
        <v>56</v>
      </c>
      <c r="I156" s="5" t="s">
        <v>58</v>
      </c>
      <c r="J156" s="5" t="s">
        <v>67</v>
      </c>
      <c r="K156" s="5" t="s">
        <v>62</v>
      </c>
      <c r="L156" s="5" t="s">
        <v>63</v>
      </c>
      <c r="M156" s="5" t="s">
        <v>69</v>
      </c>
      <c r="N156" s="5" t="s">
        <v>48</v>
      </c>
      <c r="O156" s="5" t="s">
        <v>75</v>
      </c>
      <c r="P156" s="5" t="s">
        <v>73</v>
      </c>
      <c r="Q156" s="5" t="s">
        <v>70</v>
      </c>
      <c r="R156" s="1">
        <v>5</v>
      </c>
      <c r="S156" s="1">
        <v>78</v>
      </c>
      <c r="T156" s="1">
        <v>32</v>
      </c>
    </row>
    <row r="157" spans="1:20" ht="28.8" x14ac:dyDescent="0.3">
      <c r="A157" s="46">
        <v>142</v>
      </c>
      <c r="B157" s="4"/>
      <c r="C157" s="6" t="s">
        <v>200</v>
      </c>
      <c r="D157" s="5"/>
      <c r="E157" s="5" t="s">
        <v>54</v>
      </c>
      <c r="F157" s="5" t="s">
        <v>71</v>
      </c>
      <c r="G157" s="5" t="s">
        <v>66</v>
      </c>
      <c r="H157" s="5" t="s">
        <v>209</v>
      </c>
      <c r="I157" s="5" t="s">
        <v>61</v>
      </c>
      <c r="J157" s="5" t="s">
        <v>52</v>
      </c>
      <c r="K157" s="5" t="s">
        <v>207</v>
      </c>
      <c r="L157" s="5" t="s">
        <v>74</v>
      </c>
      <c r="M157" s="5" t="s">
        <v>64</v>
      </c>
      <c r="N157" s="5" t="s">
        <v>48</v>
      </c>
      <c r="O157" s="5" t="s">
        <v>75</v>
      </c>
      <c r="P157" s="5" t="s">
        <v>73</v>
      </c>
      <c r="Q157" s="5" t="s">
        <v>70</v>
      </c>
      <c r="R157" s="1">
        <v>5</v>
      </c>
      <c r="S157" s="1">
        <v>63</v>
      </c>
      <c r="T157" s="1">
        <v>57</v>
      </c>
    </row>
    <row r="158" spans="1:20" ht="28.8" x14ac:dyDescent="0.3">
      <c r="A158" s="46">
        <v>143</v>
      </c>
      <c r="B158" s="4"/>
      <c r="C158" s="6" t="s">
        <v>172</v>
      </c>
      <c r="D158" s="5"/>
      <c r="E158" s="5" t="s">
        <v>54</v>
      </c>
      <c r="F158" s="5" t="s">
        <v>51</v>
      </c>
      <c r="G158" s="5" t="s">
        <v>66</v>
      </c>
      <c r="H158" s="5" t="s">
        <v>56</v>
      </c>
      <c r="I158" s="5" t="s">
        <v>61</v>
      </c>
      <c r="J158" s="5" t="s">
        <v>52</v>
      </c>
      <c r="K158" s="5" t="s">
        <v>207</v>
      </c>
      <c r="L158" s="5" t="s">
        <v>63</v>
      </c>
      <c r="M158" s="5" t="s">
        <v>69</v>
      </c>
      <c r="N158" s="5" t="s">
        <v>47</v>
      </c>
      <c r="O158" s="5" t="s">
        <v>210</v>
      </c>
      <c r="P158" s="5" t="s">
        <v>65</v>
      </c>
      <c r="Q158" s="5" t="s">
        <v>70</v>
      </c>
      <c r="R158" s="1">
        <v>4</v>
      </c>
      <c r="S158" s="1">
        <v>79</v>
      </c>
      <c r="T158" s="1">
        <v>44</v>
      </c>
    </row>
    <row r="159" spans="1:20" ht="28.8" x14ac:dyDescent="0.3">
      <c r="A159" s="46">
        <v>144</v>
      </c>
      <c r="B159" s="4"/>
      <c r="C159" s="6" t="s">
        <v>108</v>
      </c>
      <c r="D159" s="5"/>
      <c r="E159" s="5" t="s">
        <v>54</v>
      </c>
      <c r="F159" s="5" t="s">
        <v>51</v>
      </c>
      <c r="G159" s="5" t="s">
        <v>66</v>
      </c>
      <c r="H159" s="5" t="s">
        <v>56</v>
      </c>
      <c r="I159" s="5" t="s">
        <v>61</v>
      </c>
      <c r="J159" s="5" t="s">
        <v>52</v>
      </c>
      <c r="K159" s="5" t="s">
        <v>207</v>
      </c>
      <c r="L159" s="5" t="s">
        <v>74</v>
      </c>
      <c r="M159" s="5" t="s">
        <v>64</v>
      </c>
      <c r="N159" s="5" t="s">
        <v>48</v>
      </c>
      <c r="O159" s="5" t="s">
        <v>75</v>
      </c>
      <c r="P159" s="5" t="s">
        <v>73</v>
      </c>
      <c r="Q159" s="5" t="s">
        <v>57</v>
      </c>
      <c r="R159" s="1">
        <v>4</v>
      </c>
      <c r="S159" s="1">
        <v>79</v>
      </c>
      <c r="T159" s="1">
        <v>45</v>
      </c>
    </row>
    <row r="160" spans="1:20" ht="28.8" x14ac:dyDescent="0.3">
      <c r="A160" s="46">
        <v>145</v>
      </c>
      <c r="B160" s="4"/>
      <c r="C160" s="6" t="s">
        <v>165</v>
      </c>
      <c r="D160" s="5"/>
      <c r="E160" s="5" t="s">
        <v>50</v>
      </c>
      <c r="F160" s="5" t="s">
        <v>51</v>
      </c>
      <c r="G160" s="5" t="s">
        <v>66</v>
      </c>
      <c r="H160" s="5" t="s">
        <v>56</v>
      </c>
      <c r="I160" s="5" t="s">
        <v>61</v>
      </c>
      <c r="J160" s="5" t="s">
        <v>67</v>
      </c>
      <c r="K160" s="5" t="s">
        <v>62</v>
      </c>
      <c r="L160" s="5" t="s">
        <v>63</v>
      </c>
      <c r="M160" s="5" t="s">
        <v>69</v>
      </c>
      <c r="N160" s="5" t="s">
        <v>47</v>
      </c>
      <c r="O160" s="5" t="s">
        <v>210</v>
      </c>
      <c r="P160" s="5" t="s">
        <v>73</v>
      </c>
      <c r="Q160" s="5" t="s">
        <v>70</v>
      </c>
      <c r="R160" s="1">
        <v>4</v>
      </c>
      <c r="S160" s="1">
        <v>71</v>
      </c>
      <c r="T160" s="1">
        <v>46</v>
      </c>
    </row>
    <row r="161" spans="1:20" x14ac:dyDescent="0.3">
      <c r="A161" s="46">
        <v>146</v>
      </c>
      <c r="B161" s="4"/>
      <c r="C161" s="6" t="s">
        <v>121</v>
      </c>
      <c r="D161" s="5"/>
      <c r="E161" s="5" t="s">
        <v>54</v>
      </c>
      <c r="F161" s="5" t="s">
        <v>71</v>
      </c>
      <c r="G161" s="5" t="s">
        <v>208</v>
      </c>
      <c r="H161" s="5" t="s">
        <v>56</v>
      </c>
      <c r="I161" s="5" t="s">
        <v>61</v>
      </c>
      <c r="J161" s="5" t="s">
        <v>52</v>
      </c>
      <c r="K161" s="5" t="s">
        <v>207</v>
      </c>
      <c r="L161" s="5" t="s">
        <v>74</v>
      </c>
      <c r="M161" s="5" t="s">
        <v>69</v>
      </c>
      <c r="N161" s="5" t="s">
        <v>48</v>
      </c>
      <c r="O161" s="5" t="s">
        <v>75</v>
      </c>
      <c r="P161" s="5" t="s">
        <v>73</v>
      </c>
      <c r="Q161" s="5" t="s">
        <v>70</v>
      </c>
      <c r="R161" s="1">
        <v>4</v>
      </c>
      <c r="S161" s="1">
        <v>89</v>
      </c>
      <c r="T161" s="1">
        <v>42</v>
      </c>
    </row>
    <row r="162" spans="1:20" ht="28.8" x14ac:dyDescent="0.3">
      <c r="A162" s="46">
        <v>147</v>
      </c>
      <c r="B162" s="4"/>
      <c r="C162" s="6" t="s">
        <v>36</v>
      </c>
      <c r="D162" s="5"/>
      <c r="E162" s="5" t="s">
        <v>54</v>
      </c>
      <c r="F162" s="5" t="s">
        <v>71</v>
      </c>
      <c r="G162" s="5" t="s">
        <v>208</v>
      </c>
      <c r="H162" s="5" t="s">
        <v>56</v>
      </c>
      <c r="I162" s="5" t="s">
        <v>61</v>
      </c>
      <c r="J162" s="5" t="s">
        <v>67</v>
      </c>
      <c r="K162" s="5" t="s">
        <v>207</v>
      </c>
      <c r="L162" s="5" t="s">
        <v>74</v>
      </c>
      <c r="M162" s="5" t="s">
        <v>69</v>
      </c>
      <c r="N162" s="5" t="s">
        <v>48</v>
      </c>
      <c r="O162" s="5" t="s">
        <v>210</v>
      </c>
      <c r="P162" s="5" t="s">
        <v>73</v>
      </c>
      <c r="Q162" s="5" t="s">
        <v>70</v>
      </c>
      <c r="R162" s="1">
        <v>4</v>
      </c>
      <c r="S162" s="1">
        <v>74</v>
      </c>
      <c r="T162" s="1">
        <v>42</v>
      </c>
    </row>
    <row r="163" spans="1:20" ht="28.8" x14ac:dyDescent="0.3">
      <c r="A163" s="46">
        <v>148</v>
      </c>
      <c r="B163" s="4"/>
      <c r="C163" s="6" t="s">
        <v>160</v>
      </c>
      <c r="D163" s="5"/>
      <c r="E163" s="5" t="s">
        <v>54</v>
      </c>
      <c r="F163" s="5" t="s">
        <v>71</v>
      </c>
      <c r="G163" s="5" t="s">
        <v>208</v>
      </c>
      <c r="H163" s="5" t="s">
        <v>56</v>
      </c>
      <c r="I163" s="5" t="s">
        <v>61</v>
      </c>
      <c r="J163" s="5" t="s">
        <v>52</v>
      </c>
      <c r="K163" s="5" t="s">
        <v>62</v>
      </c>
      <c r="L163" s="5" t="s">
        <v>74</v>
      </c>
      <c r="M163" s="5" t="s">
        <v>69</v>
      </c>
      <c r="N163" s="5" t="s">
        <v>47</v>
      </c>
      <c r="O163" s="5" t="s">
        <v>210</v>
      </c>
      <c r="P163" s="5" t="s">
        <v>65</v>
      </c>
      <c r="Q163" s="5" t="s">
        <v>70</v>
      </c>
      <c r="R163" s="1">
        <v>4</v>
      </c>
      <c r="S163" s="1">
        <v>47</v>
      </c>
      <c r="T163" s="1">
        <v>41</v>
      </c>
    </row>
    <row r="164" spans="1:20" x14ac:dyDescent="0.3">
      <c r="A164" s="46">
        <v>149</v>
      </c>
      <c r="B164" s="4"/>
      <c r="C164" s="6" t="s">
        <v>44</v>
      </c>
      <c r="D164" s="5"/>
      <c r="E164" s="5" t="s">
        <v>54</v>
      </c>
      <c r="F164" s="5" t="s">
        <v>71</v>
      </c>
      <c r="G164" s="5" t="s">
        <v>66</v>
      </c>
      <c r="H164" s="5" t="s">
        <v>56</v>
      </c>
      <c r="I164" s="5" t="s">
        <v>61</v>
      </c>
      <c r="J164" s="5" t="s">
        <v>52</v>
      </c>
      <c r="K164" s="5" t="s">
        <v>207</v>
      </c>
      <c r="L164" s="5" t="s">
        <v>74</v>
      </c>
      <c r="M164" s="5" t="s">
        <v>69</v>
      </c>
      <c r="N164" s="5" t="s">
        <v>48</v>
      </c>
      <c r="O164" s="5" t="s">
        <v>75</v>
      </c>
      <c r="P164" s="5" t="s">
        <v>73</v>
      </c>
      <c r="Q164" s="5" t="s">
        <v>57</v>
      </c>
      <c r="R164" s="1">
        <v>4</v>
      </c>
      <c r="S164" s="1">
        <v>86</v>
      </c>
      <c r="T164" s="1">
        <v>41</v>
      </c>
    </row>
    <row r="165" spans="1:20" x14ac:dyDescent="0.3">
      <c r="A165" s="46">
        <v>150</v>
      </c>
      <c r="B165" s="4"/>
      <c r="C165" s="6" t="s">
        <v>141</v>
      </c>
      <c r="D165" s="5"/>
      <c r="E165" s="5" t="s">
        <v>50</v>
      </c>
      <c r="F165" s="5" t="s">
        <v>51</v>
      </c>
      <c r="G165" s="5" t="s">
        <v>66</v>
      </c>
      <c r="H165" s="5" t="s">
        <v>56</v>
      </c>
      <c r="I165" s="5" t="s">
        <v>58</v>
      </c>
      <c r="J165" s="5" t="s">
        <v>67</v>
      </c>
      <c r="K165" s="5" t="s">
        <v>62</v>
      </c>
      <c r="L165" s="5" t="s">
        <v>63</v>
      </c>
      <c r="M165" s="5" t="s">
        <v>69</v>
      </c>
      <c r="N165" s="5" t="s">
        <v>48</v>
      </c>
      <c r="O165" s="5" t="s">
        <v>210</v>
      </c>
      <c r="P165" s="5" t="s">
        <v>73</v>
      </c>
      <c r="Q165" s="5" t="s">
        <v>70</v>
      </c>
      <c r="R165" s="1">
        <v>4</v>
      </c>
      <c r="S165" s="1">
        <v>75</v>
      </c>
      <c r="T165" s="1">
        <v>39</v>
      </c>
    </row>
    <row r="166" spans="1:20" x14ac:dyDescent="0.3">
      <c r="A166" s="46">
        <v>151</v>
      </c>
      <c r="B166" s="4"/>
      <c r="C166" s="6" t="s">
        <v>149</v>
      </c>
      <c r="D166" s="5"/>
      <c r="E166" s="5" t="s">
        <v>50</v>
      </c>
      <c r="F166" s="5" t="s">
        <v>71</v>
      </c>
      <c r="G166" s="5" t="s">
        <v>66</v>
      </c>
      <c r="H166" s="5" t="s">
        <v>56</v>
      </c>
      <c r="I166" s="5" t="s">
        <v>58</v>
      </c>
      <c r="J166" s="5" t="s">
        <v>52</v>
      </c>
      <c r="K166" s="5" t="s">
        <v>62</v>
      </c>
      <c r="L166" s="5" t="s">
        <v>63</v>
      </c>
      <c r="M166" s="5" t="s">
        <v>69</v>
      </c>
      <c r="N166" s="5" t="s">
        <v>48</v>
      </c>
      <c r="O166" s="5" t="s">
        <v>210</v>
      </c>
      <c r="P166" s="5" t="s">
        <v>73</v>
      </c>
      <c r="Q166" s="5" t="s">
        <v>70</v>
      </c>
      <c r="R166" s="1">
        <v>4</v>
      </c>
      <c r="S166" s="1">
        <v>75</v>
      </c>
      <c r="T166" s="1">
        <v>52</v>
      </c>
    </row>
    <row r="167" spans="1:20" ht="28.8" x14ac:dyDescent="0.3">
      <c r="A167" s="46">
        <v>152</v>
      </c>
      <c r="B167" s="4"/>
      <c r="C167" s="6" t="s">
        <v>123</v>
      </c>
      <c r="D167" s="5"/>
      <c r="E167" s="5" t="s">
        <v>50</v>
      </c>
      <c r="F167" s="5" t="s">
        <v>71</v>
      </c>
      <c r="G167" s="5" t="s">
        <v>66</v>
      </c>
      <c r="H167" s="5" t="s">
        <v>56</v>
      </c>
      <c r="I167" s="5" t="s">
        <v>61</v>
      </c>
      <c r="J167" s="5" t="s">
        <v>52</v>
      </c>
      <c r="K167" s="5" t="s">
        <v>207</v>
      </c>
      <c r="L167" s="5" t="s">
        <v>63</v>
      </c>
      <c r="M167" s="5" t="s">
        <v>69</v>
      </c>
      <c r="N167" s="5" t="s">
        <v>48</v>
      </c>
      <c r="O167" s="5" t="s">
        <v>210</v>
      </c>
      <c r="P167" s="5" t="s">
        <v>73</v>
      </c>
      <c r="Q167" s="5" t="s">
        <v>70</v>
      </c>
      <c r="R167" s="1">
        <v>4</v>
      </c>
      <c r="S167" s="1">
        <v>79</v>
      </c>
      <c r="T167" s="1">
        <v>55</v>
      </c>
    </row>
    <row r="168" spans="1:20" ht="28.8" x14ac:dyDescent="0.3">
      <c r="A168" s="46">
        <v>153</v>
      </c>
      <c r="B168" s="4"/>
      <c r="C168" s="6" t="s">
        <v>158</v>
      </c>
      <c r="D168" s="5"/>
      <c r="E168" s="5" t="s">
        <v>54</v>
      </c>
      <c r="F168" s="5" t="s">
        <v>71</v>
      </c>
      <c r="G168" s="5" t="s">
        <v>66</v>
      </c>
      <c r="H168" s="5" t="s">
        <v>209</v>
      </c>
      <c r="I168" s="5" t="s">
        <v>61</v>
      </c>
      <c r="J168" s="5" t="s">
        <v>52</v>
      </c>
      <c r="K168" s="5" t="s">
        <v>62</v>
      </c>
      <c r="L168" s="5" t="s">
        <v>74</v>
      </c>
      <c r="M168" s="5" t="s">
        <v>69</v>
      </c>
      <c r="N168" s="5" t="s">
        <v>48</v>
      </c>
      <c r="O168" s="5" t="s">
        <v>210</v>
      </c>
      <c r="P168" s="5" t="s">
        <v>73</v>
      </c>
      <c r="Q168" s="5" t="s">
        <v>57</v>
      </c>
      <c r="R168" s="1">
        <v>3</v>
      </c>
      <c r="S168" s="1">
        <v>73</v>
      </c>
      <c r="T168" s="1">
        <v>51</v>
      </c>
    </row>
    <row r="169" spans="1:20" ht="28.8" x14ac:dyDescent="0.3">
      <c r="A169" s="46">
        <v>154</v>
      </c>
      <c r="B169" s="4"/>
      <c r="C169" s="6" t="s">
        <v>196</v>
      </c>
      <c r="D169" s="5"/>
      <c r="E169" s="5" t="s">
        <v>54</v>
      </c>
      <c r="F169" s="5" t="s">
        <v>51</v>
      </c>
      <c r="G169" s="5" t="s">
        <v>66</v>
      </c>
      <c r="H169" s="5" t="s">
        <v>209</v>
      </c>
      <c r="I169" s="5" t="s">
        <v>61</v>
      </c>
      <c r="J169" s="5" t="s">
        <v>52</v>
      </c>
      <c r="K169" s="5" t="s">
        <v>62</v>
      </c>
      <c r="L169" s="5" t="s">
        <v>63</v>
      </c>
      <c r="M169" s="5" t="s">
        <v>69</v>
      </c>
      <c r="N169" s="5" t="s">
        <v>47</v>
      </c>
      <c r="O169" s="5" t="s">
        <v>210</v>
      </c>
      <c r="P169" s="5" t="s">
        <v>73</v>
      </c>
      <c r="Q169" s="5" t="s">
        <v>70</v>
      </c>
      <c r="R169" s="1">
        <v>3</v>
      </c>
      <c r="S169" s="1">
        <v>72</v>
      </c>
      <c r="T169" s="1">
        <v>35</v>
      </c>
    </row>
    <row r="170" spans="1:20" ht="28.8" x14ac:dyDescent="0.3">
      <c r="A170" s="46">
        <v>155</v>
      </c>
      <c r="B170" s="4"/>
      <c r="C170" s="6" t="s">
        <v>184</v>
      </c>
      <c r="D170" s="5"/>
      <c r="E170" s="5" t="s">
        <v>50</v>
      </c>
      <c r="F170" s="5" t="s">
        <v>71</v>
      </c>
      <c r="G170" s="5" t="s">
        <v>66</v>
      </c>
      <c r="H170" s="5" t="s">
        <v>56</v>
      </c>
      <c r="I170" s="5" t="s">
        <v>61</v>
      </c>
      <c r="J170" s="5" t="s">
        <v>52</v>
      </c>
      <c r="K170" s="5" t="s">
        <v>62</v>
      </c>
      <c r="L170" s="5" t="s">
        <v>74</v>
      </c>
      <c r="M170" s="5" t="s">
        <v>69</v>
      </c>
      <c r="N170" s="5" t="s">
        <v>47</v>
      </c>
      <c r="O170" s="5" t="s">
        <v>210</v>
      </c>
      <c r="P170" s="5" t="s">
        <v>73</v>
      </c>
      <c r="Q170" s="5" t="s">
        <v>70</v>
      </c>
      <c r="R170" s="1">
        <v>3</v>
      </c>
      <c r="S170" s="1">
        <v>76</v>
      </c>
      <c r="T170" s="1">
        <v>34</v>
      </c>
    </row>
    <row r="171" spans="1:20" ht="28.8" x14ac:dyDescent="0.3">
      <c r="A171" s="46">
        <v>156</v>
      </c>
      <c r="B171" s="4"/>
      <c r="C171" s="6" t="s">
        <v>89</v>
      </c>
      <c r="D171" s="5"/>
      <c r="E171" s="5" t="s">
        <v>54</v>
      </c>
      <c r="F171" s="5" t="s">
        <v>51</v>
      </c>
      <c r="G171" s="5" t="s">
        <v>208</v>
      </c>
      <c r="H171" s="5" t="s">
        <v>56</v>
      </c>
      <c r="I171" s="5" t="s">
        <v>61</v>
      </c>
      <c r="J171" s="5" t="s">
        <v>52</v>
      </c>
      <c r="K171" s="5" t="s">
        <v>207</v>
      </c>
      <c r="L171" s="5" t="s">
        <v>74</v>
      </c>
      <c r="M171" s="5" t="s">
        <v>69</v>
      </c>
      <c r="N171" s="5" t="s">
        <v>48</v>
      </c>
      <c r="O171" s="5" t="s">
        <v>210</v>
      </c>
      <c r="P171" s="5" t="s">
        <v>73</v>
      </c>
      <c r="Q171" s="5" t="s">
        <v>70</v>
      </c>
      <c r="R171" s="1">
        <v>2</v>
      </c>
      <c r="S171" s="1">
        <v>76</v>
      </c>
      <c r="T171" s="1">
        <v>45</v>
      </c>
    </row>
    <row r="172" spans="1:20" x14ac:dyDescent="0.3">
      <c r="A172" s="46">
        <v>157</v>
      </c>
      <c r="B172" s="4"/>
      <c r="C172" s="6" t="s">
        <v>45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1">
        <v>0</v>
      </c>
      <c r="S172" s="1">
        <v>69</v>
      </c>
      <c r="T172" s="1"/>
    </row>
    <row r="173" spans="1:20" x14ac:dyDescent="0.3">
      <c r="A173" s="46">
        <v>158</v>
      </c>
      <c r="B173" s="4"/>
      <c r="C173" s="6" t="s">
        <v>91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1">
        <v>0</v>
      </c>
      <c r="S173" s="1">
        <v>72</v>
      </c>
      <c r="T173" s="1"/>
    </row>
    <row r="174" spans="1:20" ht="28.8" x14ac:dyDescent="0.3">
      <c r="A174" s="46">
        <v>159</v>
      </c>
      <c r="B174" s="4"/>
      <c r="C174" s="6" t="s">
        <v>198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1">
        <v>0</v>
      </c>
      <c r="S174" s="1">
        <v>72</v>
      </c>
      <c r="T174" s="1"/>
    </row>
    <row r="175" spans="1:20" x14ac:dyDescent="0.3">
      <c r="A175" s="46">
        <v>160</v>
      </c>
      <c r="B175" s="4"/>
      <c r="C175" s="6" t="s">
        <v>145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1">
        <v>0</v>
      </c>
      <c r="S175" s="1">
        <v>65</v>
      </c>
      <c r="T175" s="1"/>
    </row>
    <row r="176" spans="1:20" ht="28.8" x14ac:dyDescent="0.3">
      <c r="A176" s="46">
        <v>161</v>
      </c>
      <c r="B176" s="4"/>
      <c r="C176" s="6" t="s">
        <v>92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1">
        <v>0</v>
      </c>
      <c r="S176" s="1">
        <v>73</v>
      </c>
      <c r="T176" s="1"/>
    </row>
    <row r="177" spans="1:20" x14ac:dyDescent="0.3">
      <c r="A177" s="46">
        <v>162</v>
      </c>
      <c r="B177" s="4"/>
      <c r="C177" s="6" t="s">
        <v>131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1">
        <v>0</v>
      </c>
      <c r="S177" s="1">
        <v>51</v>
      </c>
      <c r="T177" s="1"/>
    </row>
    <row r="178" spans="1:20" x14ac:dyDescent="0.3">
      <c r="A178" s="46">
        <v>163</v>
      </c>
      <c r="B178" s="4"/>
      <c r="C178" s="6" t="s">
        <v>101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1">
        <v>0</v>
      </c>
      <c r="S178" s="1">
        <v>71</v>
      </c>
      <c r="T178" s="1"/>
    </row>
  </sheetData>
  <mergeCells count="4">
    <mergeCell ref="A9:A15"/>
    <mergeCell ref="B9:B15"/>
    <mergeCell ref="R9:R15"/>
    <mergeCell ref="S9:S15"/>
  </mergeCells>
  <conditionalFormatting sqref="Q2:Q3 Q7 E2:N3 E7:N7">
    <cfRule type="cellIs" dxfId="45" priority="17" operator="equal">
      <formula>"Y"</formula>
    </cfRule>
    <cfRule type="cellIs" dxfId="44" priority="18" operator="equal">
      <formula>"N"</formula>
    </cfRule>
  </conditionalFormatting>
  <conditionalFormatting sqref="S7">
    <cfRule type="cellIs" dxfId="43" priority="15" operator="equal">
      <formula>"Y"</formula>
    </cfRule>
    <cfRule type="cellIs" dxfId="42" priority="16" operator="equal">
      <formula>"N"</formula>
    </cfRule>
  </conditionalFormatting>
  <conditionalFormatting sqref="O4">
    <cfRule type="colorScale" priority="14">
      <colorScale>
        <cfvo type="min"/>
        <cfvo type="max"/>
        <color rgb="FFFF7128"/>
        <color rgb="FFFFEF9C"/>
      </colorScale>
    </cfRule>
  </conditionalFormatting>
  <conditionalFormatting sqref="O2:O3">
    <cfRule type="cellIs" dxfId="41" priority="12" operator="equal">
      <formula>"Y"</formula>
    </cfRule>
    <cfRule type="cellIs" dxfId="40" priority="13" operator="equal">
      <formula>"N"</formula>
    </cfRule>
  </conditionalFormatting>
  <conditionalFormatting sqref="O7">
    <cfRule type="cellIs" dxfId="39" priority="10" operator="equal">
      <formula>"Y"</formula>
    </cfRule>
    <cfRule type="cellIs" dxfId="38" priority="11" operator="equal">
      <formula>"N"</formula>
    </cfRule>
  </conditionalFormatting>
  <conditionalFormatting sqref="P4">
    <cfRule type="colorScale" priority="9">
      <colorScale>
        <cfvo type="min"/>
        <cfvo type="max"/>
        <color rgb="FFFF7128"/>
        <color rgb="FFFFEF9C"/>
      </colorScale>
    </cfRule>
  </conditionalFormatting>
  <conditionalFormatting sqref="E4:N4 Q4">
    <cfRule type="colorScale" priority="19">
      <colorScale>
        <cfvo type="min"/>
        <cfvo type="max"/>
        <color rgb="FFFF7128"/>
        <color rgb="FFFFEF9C"/>
      </colorScale>
    </cfRule>
  </conditionalFormatting>
  <conditionalFormatting sqref="P7">
    <cfRule type="cellIs" dxfId="37" priority="3" operator="equal">
      <formula>"Y"</formula>
    </cfRule>
    <cfRule type="cellIs" dxfId="36" priority="4" operator="equal">
      <formula>"N"</formula>
    </cfRule>
  </conditionalFormatting>
  <conditionalFormatting sqref="P2:P3">
    <cfRule type="cellIs" dxfId="35" priority="1" operator="equal">
      <formula>"Y"</formula>
    </cfRule>
    <cfRule type="cellIs" dxfId="34" priority="2" operator="equal">
      <formula>"N"</formula>
    </cfRule>
  </conditionalFormatting>
  <hyperlinks>
    <hyperlink ref="C16" r:id="rId1" display="https://www.poolhost.com/profootball/playerstats/1668461"/>
    <hyperlink ref="C17" r:id="rId2" display="https://www.poolhost.com/profootball/playerstats/1656464"/>
    <hyperlink ref="C18" r:id="rId3" display="https://www.poolhost.com/profootball/playerstats/1705029"/>
    <hyperlink ref="C19" r:id="rId4" display="https://www.poolhost.com/profootball/playerstats/1732290"/>
    <hyperlink ref="C20" r:id="rId5" display="https://www.poolhost.com/profootball/playerstats/1660811"/>
    <hyperlink ref="C21" r:id="rId6" display="https://www.poolhost.com/profootball/playerstats/1707988"/>
    <hyperlink ref="C22" r:id="rId7" display="https://www.poolhost.com/profootball/playerstats/1723980"/>
    <hyperlink ref="C23" r:id="rId8" display="https://www.poolhost.com/profootball/playerstats/1661981"/>
    <hyperlink ref="C24" r:id="rId9" display="https://www.poolhost.com/profootball/playerstats/1654791"/>
    <hyperlink ref="C25" r:id="rId10" display="https://www.poolhost.com/profootball/playerstats/1731780"/>
    <hyperlink ref="C26" r:id="rId11" display="https://www.poolhost.com/profootball/playerstats/1709552"/>
    <hyperlink ref="C27" r:id="rId12" display="https://www.poolhost.com/profootball/playerstats/1662306"/>
    <hyperlink ref="C28" r:id="rId13" display="https://www.poolhost.com/profootball/playerstats/1673761"/>
    <hyperlink ref="C29" r:id="rId14" display="https://www.poolhost.com/profootball/playerstats/1654649"/>
    <hyperlink ref="C30" r:id="rId15" display="https://www.poolhost.com/profootball/playerstats/1702449"/>
    <hyperlink ref="C31" r:id="rId16" display="https://www.poolhost.com/profootball/playerstats/1680041"/>
    <hyperlink ref="C32" r:id="rId17" display="https://www.poolhost.com/profootball/playerstats/1735486"/>
    <hyperlink ref="C33" r:id="rId18" display="https://www.poolhost.com/profootball/playerstats/1668682"/>
    <hyperlink ref="C34" r:id="rId19" display="https://www.poolhost.com/profootball/playerstats/1715552"/>
    <hyperlink ref="C35" r:id="rId20" display="https://www.poolhost.com/profootball/playerstats/1699810"/>
    <hyperlink ref="C36" r:id="rId21" display="https://www.poolhost.com/profootball/playerstats/1679667"/>
    <hyperlink ref="C37" r:id="rId22" display="https://www.poolhost.com/profootball/playerstats/1665631"/>
    <hyperlink ref="C38" r:id="rId23" display="https://www.poolhost.com/profootball/playerstats/1697912"/>
    <hyperlink ref="C39" r:id="rId24" display="https://www.poolhost.com/profootball/playerstats/1681958"/>
    <hyperlink ref="C40" r:id="rId25" display="https://www.poolhost.com/profootball/playerstats/1694017"/>
    <hyperlink ref="C41" r:id="rId26" display="https://www.poolhost.com/profootball/playerstats/1666449"/>
    <hyperlink ref="C42" r:id="rId27" display="https://www.poolhost.com/profootball/playerstats/1662606"/>
    <hyperlink ref="C43" r:id="rId28" display="https://www.poolhost.com/profootball/playerstats/1732851"/>
    <hyperlink ref="C44" r:id="rId29" display="https://www.poolhost.com/profootball/playerstats/1666034"/>
    <hyperlink ref="C45" r:id="rId30" display="https://www.poolhost.com/profootball/playerstats/1676654"/>
    <hyperlink ref="C46" r:id="rId31" display="https://www.poolhost.com/profootball/playerstats/1678632"/>
    <hyperlink ref="C47" r:id="rId32" display="https://www.poolhost.com/profootball/playerstats/1732788"/>
    <hyperlink ref="C48" r:id="rId33" display="https://www.poolhost.com/profootball/playerstats/1704294"/>
    <hyperlink ref="C49" r:id="rId34" display="https://www.poolhost.com/profootball/playerstats/1654485"/>
    <hyperlink ref="C50" r:id="rId35" display="https://www.poolhost.com/profootball/playerstats/1673248"/>
    <hyperlink ref="C51" r:id="rId36" display="https://www.poolhost.com/profootball/playerstats/1730347"/>
    <hyperlink ref="C52" r:id="rId37" display="https://www.poolhost.com/profootball/playerstats/1654484"/>
    <hyperlink ref="C53" r:id="rId38" display="https://www.poolhost.com/profootball/playerstats/1673222"/>
    <hyperlink ref="C54" r:id="rId39" display="https://www.poolhost.com/profootball/playerstats/1685066"/>
    <hyperlink ref="C55" r:id="rId40" display="https://www.poolhost.com/profootball/playerstats/1686727"/>
    <hyperlink ref="C56" r:id="rId41" display="https://www.poolhost.com/profootball/playerstats/1712780"/>
    <hyperlink ref="C57" r:id="rId42" display="https://www.poolhost.com/profootball/playerstats/1727170"/>
    <hyperlink ref="C58" r:id="rId43" display="https://www.poolhost.com/profootball/playerstats/1674022"/>
    <hyperlink ref="C59" r:id="rId44" display="https://www.poolhost.com/profootball/playerstats/1679009"/>
    <hyperlink ref="C60" r:id="rId45" display="https://www.poolhost.com/profootball/playerstats/1726632"/>
    <hyperlink ref="C61" r:id="rId46" display="https://www.poolhost.com/profootball/playerstats/1703435"/>
    <hyperlink ref="C62" r:id="rId47" display="https://www.poolhost.com/profootball/playerstats/1695492"/>
    <hyperlink ref="C63" r:id="rId48" display="https://www.poolhost.com/profootball/playerstats/1667866"/>
    <hyperlink ref="C64" r:id="rId49" display="https://www.poolhost.com/profootball/playerstats/1683389"/>
    <hyperlink ref="C65" r:id="rId50" display="https://www.poolhost.com/profootball/playerstats/1671748"/>
    <hyperlink ref="C66" r:id="rId51" display="https://www.poolhost.com/profootball/playerstats/1665614"/>
    <hyperlink ref="C67" r:id="rId52" display="https://www.poolhost.com/profootball/playerstats/1731690"/>
    <hyperlink ref="C68" r:id="rId53" display="https://www.poolhost.com/profootball/playerstats/1691673"/>
    <hyperlink ref="C69" r:id="rId54" display="https://www.poolhost.com/profootball/playerstats/1669323"/>
    <hyperlink ref="C70" r:id="rId55" display="https://www.poolhost.com/profootball/playerstats/1704026"/>
    <hyperlink ref="C71" r:id="rId56" display="https://www.poolhost.com/profootball/playerstats/1665979"/>
    <hyperlink ref="C72" r:id="rId57" display="https://www.poolhost.com/profootball/playerstats/1699660"/>
    <hyperlink ref="C73" r:id="rId58" display="https://www.poolhost.com/profootball/playerstats/1673234"/>
    <hyperlink ref="C74" r:id="rId59" display="https://www.poolhost.com/profootball/playerstats/1666027"/>
    <hyperlink ref="C75" r:id="rId60" display="https://www.poolhost.com/profootball/playerstats/1655488"/>
    <hyperlink ref="C76" r:id="rId61" display="https://www.poolhost.com/profootball/playerstats/1659875"/>
    <hyperlink ref="C77" r:id="rId62" display="https://www.poolhost.com/profootball/playerstats/1659846"/>
    <hyperlink ref="C78" r:id="rId63" display="https://www.poolhost.com/profootball/playerstats/1696717"/>
    <hyperlink ref="C79" r:id="rId64" display="https://www.poolhost.com/profootball/playerstats/1669212"/>
    <hyperlink ref="C80" r:id="rId65" display="https://www.poolhost.com/profootball/playerstats/1701053"/>
    <hyperlink ref="C81" r:id="rId66" display="https://www.poolhost.com/profootball/playerstats/1732996"/>
    <hyperlink ref="C82" r:id="rId67" display="https://www.poolhost.com/profootball/playerstats/1730676"/>
    <hyperlink ref="C83" r:id="rId68" display="https://www.poolhost.com/profootball/playerstats/1665810"/>
    <hyperlink ref="C84" r:id="rId69" display="https://www.poolhost.com/profootball/playerstats/1699295"/>
    <hyperlink ref="C85" r:id="rId70" display="https://www.poolhost.com/profootball/playerstats/1654500"/>
    <hyperlink ref="C86" r:id="rId71" display="https://www.poolhost.com/profootball/playerstats/1728787"/>
    <hyperlink ref="C87" r:id="rId72" display="https://www.poolhost.com/profootball/playerstats/1681946"/>
    <hyperlink ref="C88" r:id="rId73" display="https://www.poolhost.com/profootball/playerstats/1677370"/>
    <hyperlink ref="C89" r:id="rId74" display="https://www.poolhost.com/profootball/playerstats/1676125"/>
    <hyperlink ref="C90" r:id="rId75" display="https://www.poolhost.com/profootball/playerstats/1671837"/>
    <hyperlink ref="C91" r:id="rId76" display="https://www.poolhost.com/profootball/playerstats/1701354"/>
    <hyperlink ref="C92" r:id="rId77" display="https://www.poolhost.com/profootball/playerstats/1695716"/>
    <hyperlink ref="C93" r:id="rId78" display="https://www.poolhost.com/profootball/playerstats/1654448"/>
    <hyperlink ref="C94" r:id="rId79" display="https://www.poolhost.com/profootball/playerstats/1670484"/>
    <hyperlink ref="C95" r:id="rId80" display="https://www.poolhost.com/profootball/playerstats/1708448"/>
    <hyperlink ref="C96" r:id="rId81" display="https://www.poolhost.com/profootball/playerstats/1654603"/>
    <hyperlink ref="C97" r:id="rId82" display="https://www.poolhost.com/profootball/playerstats/1684266"/>
    <hyperlink ref="C98" r:id="rId83" display="https://www.poolhost.com/profootball/playerstats/1694354"/>
    <hyperlink ref="C99" r:id="rId84" display="https://www.poolhost.com/profootball/playerstats/1674086"/>
    <hyperlink ref="C100" r:id="rId85" display="https://www.poolhost.com/profootball/playerstats/1721307"/>
    <hyperlink ref="C101" r:id="rId86" display="https://www.poolhost.com/profootball/playerstats/1657214"/>
    <hyperlink ref="C102" r:id="rId87" display="https://www.poolhost.com/profootball/playerstats/1649341"/>
    <hyperlink ref="C103" r:id="rId88" display="https://www.poolhost.com/profootball/playerstats/1666092"/>
    <hyperlink ref="C104" r:id="rId89" display="https://www.poolhost.com/profootball/playerstats/1663641"/>
    <hyperlink ref="C105" r:id="rId90" display="https://www.poolhost.com/profootball/playerstats/1679300"/>
    <hyperlink ref="C106" r:id="rId91" display="https://www.poolhost.com/profootball/playerstats/1657583"/>
    <hyperlink ref="C107" r:id="rId92" display="https://www.poolhost.com/profootball/playerstats/1654634"/>
    <hyperlink ref="C108" r:id="rId93" display="https://www.poolhost.com/profootball/playerstats/1708805"/>
    <hyperlink ref="C109" r:id="rId94" display="https://www.poolhost.com/profootball/playerstats/1681897"/>
    <hyperlink ref="C110" r:id="rId95" display="https://www.poolhost.com/profootball/playerstats/1729262"/>
    <hyperlink ref="C111" r:id="rId96" display="https://www.poolhost.com/profootball/playerstats/1669305"/>
    <hyperlink ref="C112" r:id="rId97" display="https://www.poolhost.com/profootball/playerstats/1684290"/>
    <hyperlink ref="C113" r:id="rId98" display="https://www.poolhost.com/profootball/playerstats/1668687"/>
    <hyperlink ref="C114" r:id="rId99" display="https://www.poolhost.com/profootball/playerstats/1672298"/>
    <hyperlink ref="C115" r:id="rId100" display="https://www.poolhost.com/profootball/playerstats/1722286"/>
    <hyperlink ref="C116" r:id="rId101" display="https://www.poolhost.com/profootball/playerstats/1661711"/>
    <hyperlink ref="C117" r:id="rId102" display="https://www.poolhost.com/profootball/playerstats/1684491"/>
    <hyperlink ref="C118" r:id="rId103" display="https://www.poolhost.com/profootball/playerstats/1722206"/>
    <hyperlink ref="C119" r:id="rId104" display="https://www.poolhost.com/profootball/playerstats/1659558"/>
    <hyperlink ref="C120" r:id="rId105" display="https://www.poolhost.com/profootball/playerstats/1657024"/>
    <hyperlink ref="C121" r:id="rId106" display="https://www.poolhost.com/profootball/playerstats/1685256"/>
    <hyperlink ref="C122" r:id="rId107" display="https://www.poolhost.com/profootball/playerstats/1666473"/>
    <hyperlink ref="C123" r:id="rId108" display="https://www.poolhost.com/profootball/playerstats/1657103"/>
    <hyperlink ref="C124" r:id="rId109" display="https://www.poolhost.com/profootball/playerstats/1725535"/>
    <hyperlink ref="C125" r:id="rId110" display="https://www.poolhost.com/profootball/playerstats/1678667"/>
    <hyperlink ref="C126" r:id="rId111" display="https://www.poolhost.com/profootball/playerstats/1732254"/>
    <hyperlink ref="C127" r:id="rId112" display="https://www.poolhost.com/profootball/playerstats/1705346"/>
    <hyperlink ref="C128" r:id="rId113" display="https://www.poolhost.com/profootball/playerstats/1667376"/>
    <hyperlink ref="C129" r:id="rId114" display="https://www.poolhost.com/profootball/playerstats/1657801"/>
    <hyperlink ref="C130" r:id="rId115" display="https://www.poolhost.com/profootball/playerstats/1734363"/>
    <hyperlink ref="C131" r:id="rId116" display="https://www.poolhost.com/profootball/playerstats/1709781"/>
    <hyperlink ref="C132" r:id="rId117" display="https://www.poolhost.com/profootball/playerstats/1726326"/>
    <hyperlink ref="C133" r:id="rId118" display="https://www.poolhost.com/profootball/playerstats/1682884"/>
    <hyperlink ref="C134" r:id="rId119" display="https://www.poolhost.com/profootball/playerstats/1731755"/>
    <hyperlink ref="C135" r:id="rId120" display="https://www.poolhost.com/profootball/playerstats/1727817"/>
    <hyperlink ref="C136" r:id="rId121" display="https://www.poolhost.com/profootball/playerstats/1732411"/>
    <hyperlink ref="C137" r:id="rId122" display="https://www.poolhost.com/profootball/playerstats/1703401"/>
    <hyperlink ref="C138" r:id="rId123" display="https://www.poolhost.com/profootball/playerstats/1654623"/>
    <hyperlink ref="C139" r:id="rId124" display="https://www.poolhost.com/profootball/playerstats/1733218"/>
    <hyperlink ref="C140" r:id="rId125" display="https://www.poolhost.com/profootball/playerstats/1658459"/>
    <hyperlink ref="C141" r:id="rId126" display="https://www.poolhost.com/profootball/playerstats/1687892"/>
    <hyperlink ref="C142" r:id="rId127" display="https://www.poolhost.com/profootball/playerstats/1700155"/>
    <hyperlink ref="C143" r:id="rId128" display="https://www.poolhost.com/profootball/playerstats/1670226"/>
    <hyperlink ref="C144" r:id="rId129" display="https://www.poolhost.com/profootball/playerstats/1741250"/>
    <hyperlink ref="C145" r:id="rId130" display="https://www.poolhost.com/profootball/playerstats/1670025"/>
    <hyperlink ref="C146" r:id="rId131" display="https://www.poolhost.com/profootball/playerstats/1733415"/>
    <hyperlink ref="C147" r:id="rId132" display="https://www.poolhost.com/profootball/playerstats/1665910"/>
    <hyperlink ref="C148" r:id="rId133" display="https://www.poolhost.com/profootball/playerstats/1728782"/>
    <hyperlink ref="C149" r:id="rId134" display="https://www.poolhost.com/profootball/playerstats/1667937"/>
    <hyperlink ref="C150" r:id="rId135" display="https://www.poolhost.com/profootball/playerstats/1705049"/>
    <hyperlink ref="C151" r:id="rId136" display="https://www.poolhost.com/profootball/playerstats/1729491"/>
    <hyperlink ref="C152" r:id="rId137" display="https://www.poolhost.com/profootball/playerstats/1677049"/>
    <hyperlink ref="C153" r:id="rId138" display="https://www.poolhost.com/profootball/playerstats/1678377"/>
    <hyperlink ref="C154" r:id="rId139" display="https://www.poolhost.com/profootball/playerstats/1672167"/>
    <hyperlink ref="C155" r:id="rId140" display="https://www.poolhost.com/profootball/playerstats/1724223"/>
    <hyperlink ref="C156" r:id="rId141" display="https://www.poolhost.com/profootball/playerstats/1668628"/>
    <hyperlink ref="C157" r:id="rId142" display="https://www.poolhost.com/profootball/playerstats/1732953"/>
    <hyperlink ref="C158" r:id="rId143" display="https://www.poolhost.com/profootball/playerstats/1683531"/>
    <hyperlink ref="C159" r:id="rId144" display="https://www.poolhost.com/profootball/playerstats/1730270"/>
    <hyperlink ref="C160" r:id="rId145" display="https://www.poolhost.com/profootball/playerstats/1682523"/>
    <hyperlink ref="C161" r:id="rId146" display="https://www.poolhost.com/profootball/playerstats/1702170"/>
    <hyperlink ref="C162" r:id="rId147" display="https://www.poolhost.com/profootball/playerstats/1711169"/>
    <hyperlink ref="C163" r:id="rId148" display="https://www.poolhost.com/profootball/playerstats/1657241"/>
    <hyperlink ref="C164" r:id="rId149" display="https://www.poolhost.com/profootball/playerstats/1686915"/>
    <hyperlink ref="C165" r:id="rId150" display="https://www.poolhost.com/profootball/playerstats/1649126"/>
    <hyperlink ref="C166" r:id="rId151" display="https://www.poolhost.com/profootball/playerstats/1679156"/>
    <hyperlink ref="C167" r:id="rId152" display="https://www.poolhost.com/profootball/playerstats/1655447"/>
    <hyperlink ref="C168" r:id="rId153" display="https://www.poolhost.com/profootball/playerstats/1729617"/>
    <hyperlink ref="C169" r:id="rId154" display="https://www.poolhost.com/profootball/playerstats/1729314"/>
    <hyperlink ref="C170" r:id="rId155" display="https://www.poolhost.com/profootball/playerstats/1705272"/>
    <hyperlink ref="C171" r:id="rId156" display="https://www.poolhost.com/profootball/playerstats/1708312"/>
    <hyperlink ref="C172" r:id="rId157" display="https://www.poolhost.com/profootball/playerstats/1705249"/>
    <hyperlink ref="C173" r:id="rId158" display="https://www.poolhost.com/profootball/playerstats/1708505"/>
    <hyperlink ref="C174" r:id="rId159" display="https://www.poolhost.com/profootball/playerstats/1721401"/>
    <hyperlink ref="C175" r:id="rId160" display="https://www.poolhost.com/profootball/playerstats/1700157"/>
    <hyperlink ref="C176" r:id="rId161" display="https://www.poolhost.com/profootball/playerstats/1722233"/>
    <hyperlink ref="C177" r:id="rId162" display="https://www.poolhost.com/profootball/playerstats/1734172"/>
    <hyperlink ref="C178" r:id="rId163" display="https://www.poolhost.com/profootball/playerstats/166310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8"/>
  <sheetViews>
    <sheetView zoomScaleNormal="100" workbookViewId="0">
      <selection activeCell="U1" sqref="U1:U14"/>
    </sheetView>
  </sheetViews>
  <sheetFormatPr defaultRowHeight="14.4" x14ac:dyDescent="0.3"/>
  <sheetData>
    <row r="1" spans="1:25" ht="15" thickBot="1" x14ac:dyDescent="0.35">
      <c r="A1" s="2" t="s">
        <v>0</v>
      </c>
      <c r="D1">
        <v>2</v>
      </c>
      <c r="E1">
        <f>D1+1</f>
        <v>3</v>
      </c>
      <c r="F1">
        <f t="shared" ref="F1:R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 t="s">
        <v>226</v>
      </c>
      <c r="T1" s="16">
        <v>0</v>
      </c>
      <c r="U1" s="11">
        <f>COUNTIF(Q$16:Q$200,T1)</f>
        <v>6</v>
      </c>
      <c r="V1" s="20">
        <f t="shared" ref="V1:V14" si="1">U1/SUM(U$1:U$13)</f>
        <v>3.6809815950920248E-2</v>
      </c>
      <c r="W1" s="33"/>
      <c r="X1" t="s">
        <v>227</v>
      </c>
    </row>
    <row r="2" spans="1:25" ht="15" thickBot="1" x14ac:dyDescent="0.35">
      <c r="A2" s="2" t="s">
        <v>1</v>
      </c>
      <c r="C2" t="s">
        <v>204</v>
      </c>
      <c r="E2" s="24" t="str">
        <f t="shared" ref="E2:P3" si="2">IF(VLOOKUP($C2,$C$16:$Z$192,E$1,FALSE)=E$8,"Y","N")</f>
        <v>Y</v>
      </c>
      <c r="F2" s="25" t="str">
        <f t="shared" si="2"/>
        <v>N</v>
      </c>
      <c r="G2" s="25" t="str">
        <f t="shared" si="2"/>
        <v>N</v>
      </c>
      <c r="H2" s="25" t="str">
        <f t="shared" si="2"/>
        <v>Y</v>
      </c>
      <c r="I2" s="25" t="str">
        <f t="shared" si="2"/>
        <v>N</v>
      </c>
      <c r="J2" s="25" t="str">
        <f t="shared" si="2"/>
        <v>Y</v>
      </c>
      <c r="K2" s="25" t="str">
        <f t="shared" si="2"/>
        <v>N</v>
      </c>
      <c r="L2" s="25" t="str">
        <f t="shared" si="2"/>
        <v>Y</v>
      </c>
      <c r="M2" s="25" t="str">
        <f t="shared" si="2"/>
        <v>Y</v>
      </c>
      <c r="N2" s="25" t="str">
        <f t="shared" si="2"/>
        <v>Y</v>
      </c>
      <c r="O2" s="25" t="str">
        <f t="shared" si="2"/>
        <v>N</v>
      </c>
      <c r="P2" s="25" t="str">
        <f t="shared" si="2"/>
        <v>Y</v>
      </c>
      <c r="Q2" s="19">
        <f>VLOOKUP($C2,$C$16:$Z$192,Q$1,FALSE)</f>
        <v>7</v>
      </c>
      <c r="R2" s="19">
        <f>VLOOKUP($C2,$C$16:$Z$192,R$1,FALSE)</f>
        <v>96</v>
      </c>
      <c r="S2" s="44" t="str">
        <f>IF(COUNTIF($E2:P2,"Y")=Q2,"","check")</f>
        <v/>
      </c>
      <c r="T2" s="23">
        <f>T1+1</f>
        <v>1</v>
      </c>
      <c r="U2" s="12">
        <f t="shared" ref="U2:U14" si="3">COUNTIF(Q$16:Q$200,T2)</f>
        <v>0</v>
      </c>
      <c r="V2" s="21">
        <f t="shared" si="1"/>
        <v>0</v>
      </c>
      <c r="W2" s="33"/>
      <c r="X2">
        <v>0</v>
      </c>
      <c r="Y2">
        <f>COUNTIF(S$16:S$179,X2)</f>
        <v>0</v>
      </c>
    </row>
    <row r="3" spans="1:25" ht="15" thickBot="1" x14ac:dyDescent="0.35">
      <c r="A3" s="2" t="s">
        <v>2</v>
      </c>
      <c r="C3" t="s">
        <v>162</v>
      </c>
      <c r="E3" s="13" t="str">
        <f t="shared" si="2"/>
        <v>N</v>
      </c>
      <c r="F3" s="14" t="str">
        <f t="shared" si="2"/>
        <v>Y</v>
      </c>
      <c r="G3" s="14" t="str">
        <f t="shared" si="2"/>
        <v>Y</v>
      </c>
      <c r="H3" s="14" t="str">
        <f t="shared" si="2"/>
        <v>Y</v>
      </c>
      <c r="I3" s="14" t="str">
        <f t="shared" si="2"/>
        <v>N</v>
      </c>
      <c r="J3" s="14" t="str">
        <f t="shared" si="2"/>
        <v>Y</v>
      </c>
      <c r="K3" s="14" t="str">
        <f t="shared" si="2"/>
        <v>N</v>
      </c>
      <c r="L3" s="14" t="str">
        <f t="shared" si="2"/>
        <v>Y</v>
      </c>
      <c r="M3" s="14" t="str">
        <f t="shared" si="2"/>
        <v>N</v>
      </c>
      <c r="N3" s="14" t="str">
        <f t="shared" si="2"/>
        <v>N</v>
      </c>
      <c r="O3" s="14" t="str">
        <f t="shared" si="2"/>
        <v>Y</v>
      </c>
      <c r="P3" s="14" t="str">
        <f t="shared" si="2"/>
        <v>Y</v>
      </c>
      <c r="Q3" s="18">
        <f>VLOOKUP($C3,$C$16:$Z$192,Q$1,FALSE)</f>
        <v>7</v>
      </c>
      <c r="R3" s="18">
        <f>VLOOKUP($C3,$C$16:$Z$192,R$1,FALSE)</f>
        <v>89</v>
      </c>
      <c r="S3" s="44" t="str">
        <f>IF(COUNTIF($E3:P3,"Y")=Q3,"","check")</f>
        <v/>
      </c>
      <c r="T3" s="23">
        <f t="shared" ref="T3:T14" si="4">T2+1</f>
        <v>2</v>
      </c>
      <c r="U3" s="12">
        <f t="shared" si="3"/>
        <v>2</v>
      </c>
      <c r="V3" s="21">
        <f t="shared" si="1"/>
        <v>1.2269938650306749E-2</v>
      </c>
      <c r="W3" s="33"/>
      <c r="X3">
        <v>1</v>
      </c>
      <c r="Y3">
        <f t="shared" ref="Y3:Y66" si="5">COUNTIF(S$16:S$179,X3)</f>
        <v>0</v>
      </c>
    </row>
    <row r="4" spans="1:25" x14ac:dyDescent="0.3">
      <c r="A4" s="2" t="s">
        <v>3</v>
      </c>
      <c r="C4" t="s">
        <v>205</v>
      </c>
      <c r="E4" s="9">
        <f>E5/SUM(E5:E6)</f>
        <v>0.28025477707006369</v>
      </c>
      <c r="F4" s="9">
        <f t="shared" ref="F4:P4" si="6">F5/SUM(F5:F6)</f>
        <v>0.43949044585987262</v>
      </c>
      <c r="G4" s="9">
        <f t="shared" si="6"/>
        <v>0.74522292993630568</v>
      </c>
      <c r="H4" s="9">
        <f t="shared" si="6"/>
        <v>0.29936305732484075</v>
      </c>
      <c r="I4" s="9">
        <f t="shared" si="6"/>
        <v>0.59872611464968151</v>
      </c>
      <c r="J4" s="9">
        <f t="shared" si="6"/>
        <v>0.24840764331210191</v>
      </c>
      <c r="K4" s="9">
        <f t="shared" si="6"/>
        <v>0.69426751592356684</v>
      </c>
      <c r="L4" s="9">
        <f t="shared" si="6"/>
        <v>0.27388535031847133</v>
      </c>
      <c r="M4" s="9">
        <f t="shared" si="6"/>
        <v>0.63694267515923564</v>
      </c>
      <c r="N4" s="9">
        <f t="shared" si="6"/>
        <v>0.49681528662420382</v>
      </c>
      <c r="O4" s="9">
        <f t="shared" si="6"/>
        <v>0.37579617834394907</v>
      </c>
      <c r="P4" s="9">
        <f t="shared" si="6"/>
        <v>0.49044585987261147</v>
      </c>
      <c r="Q4" s="10" t="s">
        <v>217</v>
      </c>
      <c r="R4" s="10" t="s">
        <v>218</v>
      </c>
      <c r="T4" s="23">
        <f t="shared" si="4"/>
        <v>3</v>
      </c>
      <c r="U4" s="12">
        <f t="shared" si="3"/>
        <v>6</v>
      </c>
      <c r="V4" s="21">
        <f t="shared" si="1"/>
        <v>3.6809815950920248E-2</v>
      </c>
      <c r="W4" s="33"/>
      <c r="X4">
        <v>2</v>
      </c>
      <c r="Y4">
        <f t="shared" si="5"/>
        <v>0</v>
      </c>
    </row>
    <row r="5" spans="1:25" x14ac:dyDescent="0.3">
      <c r="A5" s="2" t="s">
        <v>0</v>
      </c>
      <c r="C5" t="s">
        <v>202</v>
      </c>
      <c r="D5">
        <f t="shared" ref="D5:P5" si="7">COUNTIF(D$16:D$197,D10)</f>
        <v>0</v>
      </c>
      <c r="E5">
        <f t="shared" si="7"/>
        <v>44</v>
      </c>
      <c r="F5">
        <f t="shared" si="7"/>
        <v>69</v>
      </c>
      <c r="G5">
        <f t="shared" si="7"/>
        <v>117</v>
      </c>
      <c r="H5">
        <f t="shared" si="7"/>
        <v>47</v>
      </c>
      <c r="I5">
        <f t="shared" si="7"/>
        <v>94</v>
      </c>
      <c r="J5">
        <f t="shared" si="7"/>
        <v>39</v>
      </c>
      <c r="K5">
        <f t="shared" si="7"/>
        <v>109</v>
      </c>
      <c r="L5">
        <f t="shared" si="7"/>
        <v>43</v>
      </c>
      <c r="M5">
        <f t="shared" si="7"/>
        <v>100</v>
      </c>
      <c r="N5">
        <f t="shared" si="7"/>
        <v>78</v>
      </c>
      <c r="O5">
        <f t="shared" si="7"/>
        <v>59</v>
      </c>
      <c r="P5">
        <f t="shared" si="7"/>
        <v>77</v>
      </c>
      <c r="T5" s="23">
        <f t="shared" si="4"/>
        <v>4</v>
      </c>
      <c r="U5" s="12">
        <f t="shared" si="3"/>
        <v>11</v>
      </c>
      <c r="V5" s="21">
        <f t="shared" si="1"/>
        <v>6.7484662576687116E-2</v>
      </c>
      <c r="W5" s="33"/>
      <c r="X5">
        <v>3</v>
      </c>
      <c r="Y5">
        <f t="shared" si="5"/>
        <v>0</v>
      </c>
    </row>
    <row r="6" spans="1:25" ht="15" thickBot="1" x14ac:dyDescent="0.35">
      <c r="A6" s="2" t="s">
        <v>4</v>
      </c>
      <c r="C6" t="s">
        <v>203</v>
      </c>
      <c r="D6">
        <f t="shared" ref="D6:P6" si="8">COUNTIF(D$16:D$197,D12)</f>
        <v>0</v>
      </c>
      <c r="E6">
        <f t="shared" si="8"/>
        <v>113</v>
      </c>
      <c r="F6">
        <f t="shared" si="8"/>
        <v>88</v>
      </c>
      <c r="G6">
        <f t="shared" si="8"/>
        <v>40</v>
      </c>
      <c r="H6">
        <f t="shared" si="8"/>
        <v>110</v>
      </c>
      <c r="I6">
        <f t="shared" si="8"/>
        <v>63</v>
      </c>
      <c r="J6">
        <f t="shared" si="8"/>
        <v>118</v>
      </c>
      <c r="K6">
        <f t="shared" si="8"/>
        <v>48</v>
      </c>
      <c r="L6">
        <f t="shared" si="8"/>
        <v>114</v>
      </c>
      <c r="M6">
        <f t="shared" si="8"/>
        <v>57</v>
      </c>
      <c r="N6">
        <f t="shared" si="8"/>
        <v>79</v>
      </c>
      <c r="O6">
        <f t="shared" si="8"/>
        <v>98</v>
      </c>
      <c r="P6">
        <f t="shared" si="8"/>
        <v>80</v>
      </c>
      <c r="T6" s="23">
        <f t="shared" si="4"/>
        <v>5</v>
      </c>
      <c r="U6" s="12">
        <f t="shared" si="3"/>
        <v>29</v>
      </c>
      <c r="V6" s="21">
        <f t="shared" si="1"/>
        <v>0.17791411042944785</v>
      </c>
      <c r="W6" s="33"/>
      <c r="X6">
        <f>X5+1</f>
        <v>4</v>
      </c>
      <c r="Y6">
        <f t="shared" si="5"/>
        <v>0</v>
      </c>
    </row>
    <row r="7" spans="1:25" ht="15" thickBot="1" x14ac:dyDescent="0.35">
      <c r="A7" s="2"/>
      <c r="C7" t="s">
        <v>213</v>
      </c>
      <c r="E7" s="28" t="str">
        <f>IF(AND(E10=E8,E4&gt;0.5),"Y",IF(AND(E10=E8,E4&lt;0.5),"N",IF(E4&gt;0.5,"Y","N")))</f>
        <v>N</v>
      </c>
      <c r="F7" s="11" t="str">
        <f>IF(AND(F10=F8,F4&gt;0.5),"Y",IF(AND(F10=F8,F4&lt;0.5),"N",IF(F4&gt;0.5,"Y","N")))</f>
        <v>N</v>
      </c>
      <c r="G7" s="11" t="str">
        <f t="shared" ref="G7:P7" si="9">IF(AND(G10=G8,G4&gt;0.5),"Y",IF(AND(G10=G8,G4&lt;0.5),"N",IF(G4&lt;0.5,"Y","N")))</f>
        <v>N</v>
      </c>
      <c r="H7" s="11" t="str">
        <f t="shared" si="9"/>
        <v>Y</v>
      </c>
      <c r="I7" s="11" t="str">
        <f t="shared" si="9"/>
        <v>Y</v>
      </c>
      <c r="J7" s="11" t="str">
        <f t="shared" si="9"/>
        <v>Y</v>
      </c>
      <c r="K7" s="11" t="str">
        <f t="shared" si="9"/>
        <v>N</v>
      </c>
      <c r="L7" s="11" t="str">
        <f t="shared" si="9"/>
        <v>Y</v>
      </c>
      <c r="M7" s="11" t="str">
        <f t="shared" si="9"/>
        <v>Y</v>
      </c>
      <c r="N7" s="11" t="str">
        <f t="shared" si="9"/>
        <v>N</v>
      </c>
      <c r="O7" s="11" t="str">
        <f t="shared" si="9"/>
        <v>Y</v>
      </c>
      <c r="P7" s="29" t="str">
        <f t="shared" si="9"/>
        <v>Y</v>
      </c>
      <c r="Q7" s="37" t="s">
        <v>220</v>
      </c>
      <c r="R7" s="38">
        <f>COUNTIF(C7:P7,"Y")</f>
        <v>7</v>
      </c>
      <c r="T7" s="34">
        <f t="shared" si="4"/>
        <v>6</v>
      </c>
      <c r="U7" s="35">
        <f t="shared" si="3"/>
        <v>37</v>
      </c>
      <c r="V7" s="36">
        <f t="shared" si="1"/>
        <v>0.22699386503067484</v>
      </c>
      <c r="W7" s="33"/>
      <c r="X7">
        <f t="shared" ref="X7:X70" si="10">X6+1</f>
        <v>5</v>
      </c>
      <c r="Y7">
        <f t="shared" si="5"/>
        <v>0</v>
      </c>
    </row>
    <row r="8" spans="1:25" ht="15" thickBot="1" x14ac:dyDescent="0.35">
      <c r="A8" s="2"/>
      <c r="C8" t="s">
        <v>212</v>
      </c>
      <c r="E8" s="30" t="s">
        <v>68</v>
      </c>
      <c r="F8" s="31" t="s">
        <v>50</v>
      </c>
      <c r="G8" s="31" t="s">
        <v>62</v>
      </c>
      <c r="H8" s="31" t="s">
        <v>71</v>
      </c>
      <c r="I8" s="31" t="s">
        <v>208</v>
      </c>
      <c r="J8" s="31" t="s">
        <v>59</v>
      </c>
      <c r="K8" s="31" t="s">
        <v>70</v>
      </c>
      <c r="L8" s="31" t="s">
        <v>64</v>
      </c>
      <c r="M8" s="31" t="s">
        <v>54</v>
      </c>
      <c r="N8" s="31" t="s">
        <v>47</v>
      </c>
      <c r="O8" s="31" t="s">
        <v>60</v>
      </c>
      <c r="P8" s="32" t="s">
        <v>52</v>
      </c>
      <c r="T8" s="23">
        <f t="shared" si="4"/>
        <v>7</v>
      </c>
      <c r="U8" s="12">
        <f t="shared" si="3"/>
        <v>31</v>
      </c>
      <c r="V8" s="21">
        <f t="shared" si="1"/>
        <v>0.19018404907975461</v>
      </c>
      <c r="W8" s="33"/>
      <c r="X8">
        <f t="shared" si="10"/>
        <v>6</v>
      </c>
      <c r="Y8">
        <f t="shared" si="5"/>
        <v>0</v>
      </c>
    </row>
    <row r="9" spans="1:25" x14ac:dyDescent="0.3">
      <c r="A9" s="47" t="s">
        <v>46</v>
      </c>
      <c r="B9" s="47"/>
      <c r="C9" s="2" t="s">
        <v>0</v>
      </c>
      <c r="D9" s="7">
        <v>24</v>
      </c>
      <c r="E9" s="7">
        <v>27</v>
      </c>
      <c r="F9" s="7">
        <v>27</v>
      </c>
      <c r="G9" s="7">
        <v>27</v>
      </c>
      <c r="H9" s="7">
        <v>6</v>
      </c>
      <c r="I9" s="7">
        <v>34</v>
      </c>
      <c r="J9" s="7">
        <v>7</v>
      </c>
      <c r="K9" s="7">
        <v>26</v>
      </c>
      <c r="L9" s="7">
        <v>19</v>
      </c>
      <c r="M9" s="7">
        <v>38</v>
      </c>
      <c r="N9" s="7">
        <v>16</v>
      </c>
      <c r="O9" s="7">
        <v>20</v>
      </c>
      <c r="P9" s="7">
        <v>23</v>
      </c>
      <c r="Q9" s="47" t="s">
        <v>76</v>
      </c>
      <c r="R9" s="47" t="s">
        <v>77</v>
      </c>
      <c r="S9" s="8" t="s">
        <v>229</v>
      </c>
      <c r="T9" s="23">
        <f t="shared" si="4"/>
        <v>8</v>
      </c>
      <c r="U9" s="12">
        <f t="shared" si="3"/>
        <v>30</v>
      </c>
      <c r="V9" s="21">
        <f t="shared" si="1"/>
        <v>0.18404907975460122</v>
      </c>
      <c r="W9" s="33"/>
      <c r="X9">
        <f t="shared" si="10"/>
        <v>7</v>
      </c>
      <c r="Y9">
        <f t="shared" si="5"/>
        <v>0</v>
      </c>
    </row>
    <row r="10" spans="1:25" x14ac:dyDescent="0.3">
      <c r="A10" s="47"/>
      <c r="B10" s="47"/>
      <c r="C10" s="2" t="s">
        <v>1</v>
      </c>
      <c r="D10" s="7" t="s">
        <v>61</v>
      </c>
      <c r="E10" s="7" t="s">
        <v>68</v>
      </c>
      <c r="F10" s="7" t="s">
        <v>50</v>
      </c>
      <c r="G10" s="7" t="s">
        <v>57</v>
      </c>
      <c r="H10" s="7" t="s">
        <v>63</v>
      </c>
      <c r="I10" s="7" t="s">
        <v>208</v>
      </c>
      <c r="J10" s="7" t="s">
        <v>72</v>
      </c>
      <c r="K10" s="7" t="s">
        <v>53</v>
      </c>
      <c r="L10" s="7" t="s">
        <v>66</v>
      </c>
      <c r="M10" s="7" t="s">
        <v>54</v>
      </c>
      <c r="N10" s="7" t="s">
        <v>47</v>
      </c>
      <c r="O10" s="7" t="s">
        <v>209</v>
      </c>
      <c r="P10" s="7" t="s">
        <v>65</v>
      </c>
      <c r="Q10" s="47"/>
      <c r="R10" s="47"/>
      <c r="S10" s="8" t="s">
        <v>77</v>
      </c>
      <c r="T10" s="23">
        <f t="shared" si="4"/>
        <v>9</v>
      </c>
      <c r="U10" s="12">
        <f t="shared" si="3"/>
        <v>7</v>
      </c>
      <c r="V10" s="21">
        <f t="shared" si="1"/>
        <v>4.2944785276073622E-2</v>
      </c>
      <c r="W10" s="33"/>
      <c r="X10">
        <f t="shared" si="10"/>
        <v>8</v>
      </c>
      <c r="Y10">
        <f t="shared" si="5"/>
        <v>0</v>
      </c>
    </row>
    <row r="11" spans="1:25" x14ac:dyDescent="0.3">
      <c r="A11" s="47"/>
      <c r="B11" s="47"/>
      <c r="C11" s="2" t="s">
        <v>2</v>
      </c>
      <c r="D11" s="7">
        <v>3.5</v>
      </c>
      <c r="E11" s="7">
        <v>10.5</v>
      </c>
      <c r="F11" s="7">
        <v>3.5</v>
      </c>
      <c r="G11" s="7">
        <v>-8</v>
      </c>
      <c r="H11" s="7">
        <v>7.5</v>
      </c>
      <c r="I11" s="7">
        <v>-7</v>
      </c>
      <c r="J11" s="7">
        <v>5</v>
      </c>
      <c r="K11" s="7">
        <v>-10.5</v>
      </c>
      <c r="L11" s="7">
        <v>5.5</v>
      </c>
      <c r="M11" s="7">
        <v>-2.5</v>
      </c>
      <c r="N11" s="7">
        <v>1</v>
      </c>
      <c r="O11" s="7">
        <v>3</v>
      </c>
      <c r="P11" s="7">
        <v>3</v>
      </c>
      <c r="Q11" s="47"/>
      <c r="R11" s="47"/>
      <c r="S11" s="8">
        <v>-53</v>
      </c>
      <c r="T11" s="23">
        <f t="shared" si="4"/>
        <v>10</v>
      </c>
      <c r="U11" s="12">
        <f t="shared" si="3"/>
        <v>4</v>
      </c>
      <c r="V11" s="21">
        <f t="shared" si="1"/>
        <v>2.4539877300613498E-2</v>
      </c>
      <c r="W11" s="33"/>
      <c r="X11">
        <f t="shared" si="10"/>
        <v>9</v>
      </c>
      <c r="Y11">
        <f t="shared" si="5"/>
        <v>0</v>
      </c>
    </row>
    <row r="12" spans="1:25" x14ac:dyDescent="0.3">
      <c r="A12" s="47"/>
      <c r="B12" s="47"/>
      <c r="C12" s="2" t="s">
        <v>3</v>
      </c>
      <c r="D12" s="7" t="s">
        <v>67</v>
      </c>
      <c r="E12" s="7" t="s">
        <v>210</v>
      </c>
      <c r="F12" s="7" t="s">
        <v>207</v>
      </c>
      <c r="G12" s="7" t="s">
        <v>62</v>
      </c>
      <c r="H12" s="7" t="s">
        <v>71</v>
      </c>
      <c r="I12" s="7" t="s">
        <v>56</v>
      </c>
      <c r="J12" s="7" t="s">
        <v>59</v>
      </c>
      <c r="K12" s="7" t="s">
        <v>70</v>
      </c>
      <c r="L12" s="7" t="s">
        <v>64</v>
      </c>
      <c r="M12" s="7" t="s">
        <v>48</v>
      </c>
      <c r="N12" s="7" t="s">
        <v>55</v>
      </c>
      <c r="O12" s="7" t="s">
        <v>60</v>
      </c>
      <c r="P12" s="7" t="s">
        <v>52</v>
      </c>
      <c r="Q12" s="47"/>
      <c r="R12" s="47"/>
      <c r="S12" s="8"/>
      <c r="T12" s="23">
        <f t="shared" si="4"/>
        <v>11</v>
      </c>
      <c r="U12" s="12">
        <f t="shared" si="3"/>
        <v>0</v>
      </c>
      <c r="V12" s="21">
        <f t="shared" si="1"/>
        <v>0</v>
      </c>
      <c r="W12" s="33"/>
      <c r="X12">
        <f t="shared" si="10"/>
        <v>10</v>
      </c>
      <c r="Y12">
        <f t="shared" si="5"/>
        <v>0</v>
      </c>
    </row>
    <row r="13" spans="1:25" x14ac:dyDescent="0.3">
      <c r="A13" s="47"/>
      <c r="B13" s="47"/>
      <c r="C13" s="2" t="s">
        <v>0</v>
      </c>
      <c r="D13" s="7">
        <v>19</v>
      </c>
      <c r="E13" s="7">
        <v>30</v>
      </c>
      <c r="F13" s="7">
        <v>30</v>
      </c>
      <c r="G13" s="7">
        <v>32</v>
      </c>
      <c r="H13" s="7">
        <v>24</v>
      </c>
      <c r="I13" s="7">
        <v>15</v>
      </c>
      <c r="J13" s="7">
        <v>30</v>
      </c>
      <c r="K13" s="7">
        <v>34</v>
      </c>
      <c r="L13" s="7">
        <v>29</v>
      </c>
      <c r="M13" s="7">
        <v>10</v>
      </c>
      <c r="N13" s="7">
        <v>6</v>
      </c>
      <c r="O13" s="7">
        <v>37</v>
      </c>
      <c r="P13" s="7">
        <v>30</v>
      </c>
      <c r="Q13" s="47"/>
      <c r="R13" s="47"/>
      <c r="S13" s="8"/>
      <c r="T13" s="23">
        <f t="shared" si="4"/>
        <v>12</v>
      </c>
      <c r="U13" s="12">
        <f t="shared" si="3"/>
        <v>0</v>
      </c>
      <c r="V13" s="21">
        <f t="shared" si="1"/>
        <v>0</v>
      </c>
      <c r="W13" s="33"/>
      <c r="X13">
        <f t="shared" si="10"/>
        <v>11</v>
      </c>
      <c r="Y13">
        <f t="shared" si="5"/>
        <v>0</v>
      </c>
    </row>
    <row r="14" spans="1:25" ht="15" thickBot="1" x14ac:dyDescent="0.35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47"/>
      <c r="R14" s="47"/>
      <c r="S14" s="8"/>
      <c r="T14" s="17">
        <f t="shared" si="4"/>
        <v>13</v>
      </c>
      <c r="U14" s="14">
        <f t="shared" si="3"/>
        <v>0</v>
      </c>
      <c r="V14" s="22">
        <f t="shared" si="1"/>
        <v>0</v>
      </c>
      <c r="W14" s="33"/>
      <c r="X14">
        <f t="shared" si="10"/>
        <v>12</v>
      </c>
      <c r="Y14">
        <f t="shared" si="5"/>
        <v>0</v>
      </c>
    </row>
    <row r="15" spans="1:25" x14ac:dyDescent="0.3">
      <c r="A15" s="47"/>
      <c r="B15" s="47"/>
      <c r="C15" s="2"/>
      <c r="D15" s="7"/>
      <c r="E15" s="7"/>
      <c r="F15" s="7" t="s">
        <v>206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47"/>
      <c r="R15" s="47"/>
      <c r="S15" s="8"/>
      <c r="X15">
        <f t="shared" si="10"/>
        <v>13</v>
      </c>
      <c r="Y15">
        <f t="shared" si="5"/>
        <v>0</v>
      </c>
    </row>
    <row r="16" spans="1:25" ht="28.8" x14ac:dyDescent="0.3">
      <c r="A16" s="46">
        <v>1</v>
      </c>
      <c r="B16" s="4"/>
      <c r="C16" s="6" t="s">
        <v>143</v>
      </c>
      <c r="D16" s="5"/>
      <c r="E16" s="5" t="s">
        <v>68</v>
      </c>
      <c r="F16" s="5" t="s">
        <v>207</v>
      </c>
      <c r="G16" s="5" t="s">
        <v>57</v>
      </c>
      <c r="H16" s="5" t="s">
        <v>71</v>
      </c>
      <c r="I16" s="5" t="s">
        <v>208</v>
      </c>
      <c r="J16" s="5" t="s">
        <v>59</v>
      </c>
      <c r="K16" s="5" t="s">
        <v>70</v>
      </c>
      <c r="L16" s="5" t="s">
        <v>64</v>
      </c>
      <c r="M16" s="5" t="s">
        <v>54</v>
      </c>
      <c r="N16" s="5" t="s">
        <v>47</v>
      </c>
      <c r="O16" s="5" t="s">
        <v>60</v>
      </c>
      <c r="P16" s="5" t="s">
        <v>52</v>
      </c>
      <c r="Q16" s="1">
        <v>10</v>
      </c>
      <c r="R16" s="1">
        <v>85</v>
      </c>
      <c r="S16" s="1">
        <v>51</v>
      </c>
      <c r="X16">
        <f t="shared" si="10"/>
        <v>14</v>
      </c>
      <c r="Y16">
        <f t="shared" si="5"/>
        <v>0</v>
      </c>
    </row>
    <row r="17" spans="1:25" x14ac:dyDescent="0.3">
      <c r="A17" s="46">
        <v>2</v>
      </c>
      <c r="B17" s="4"/>
      <c r="C17" s="6" t="s">
        <v>186</v>
      </c>
      <c r="D17" s="5"/>
      <c r="E17" s="5" t="s">
        <v>68</v>
      </c>
      <c r="F17" s="5" t="s">
        <v>207</v>
      </c>
      <c r="G17" s="5" t="s">
        <v>62</v>
      </c>
      <c r="H17" s="5" t="s">
        <v>71</v>
      </c>
      <c r="I17" s="5" t="s">
        <v>56</v>
      </c>
      <c r="J17" s="5" t="s">
        <v>59</v>
      </c>
      <c r="K17" s="5" t="s">
        <v>70</v>
      </c>
      <c r="L17" s="5" t="s">
        <v>64</v>
      </c>
      <c r="M17" s="5" t="s">
        <v>54</v>
      </c>
      <c r="N17" s="5" t="s">
        <v>47</v>
      </c>
      <c r="O17" s="5" t="s">
        <v>60</v>
      </c>
      <c r="P17" s="5" t="s">
        <v>52</v>
      </c>
      <c r="Q17" s="1">
        <v>10</v>
      </c>
      <c r="R17" s="1">
        <v>86</v>
      </c>
      <c r="S17" s="1">
        <v>56</v>
      </c>
      <c r="X17">
        <f t="shared" si="10"/>
        <v>15</v>
      </c>
      <c r="Y17">
        <f t="shared" si="5"/>
        <v>0</v>
      </c>
    </row>
    <row r="18" spans="1:25" x14ac:dyDescent="0.3">
      <c r="A18" s="46">
        <v>3</v>
      </c>
      <c r="B18" s="4"/>
      <c r="C18" s="6" t="s">
        <v>150</v>
      </c>
      <c r="D18" s="5"/>
      <c r="E18" s="5" t="s">
        <v>68</v>
      </c>
      <c r="F18" s="5" t="s">
        <v>50</v>
      </c>
      <c r="G18" s="5" t="s">
        <v>62</v>
      </c>
      <c r="H18" s="5" t="s">
        <v>71</v>
      </c>
      <c r="I18" s="5" t="s">
        <v>208</v>
      </c>
      <c r="J18" s="5" t="s">
        <v>59</v>
      </c>
      <c r="K18" s="5" t="s">
        <v>53</v>
      </c>
      <c r="L18" s="5" t="s">
        <v>64</v>
      </c>
      <c r="M18" s="5" t="s">
        <v>54</v>
      </c>
      <c r="N18" s="5" t="s">
        <v>55</v>
      </c>
      <c r="O18" s="5" t="s">
        <v>60</v>
      </c>
      <c r="P18" s="5" t="s">
        <v>52</v>
      </c>
      <c r="Q18" s="1">
        <v>10</v>
      </c>
      <c r="R18" s="1">
        <v>88</v>
      </c>
      <c r="S18" s="1">
        <v>50</v>
      </c>
      <c r="X18">
        <f t="shared" si="10"/>
        <v>16</v>
      </c>
      <c r="Y18">
        <f t="shared" si="5"/>
        <v>0</v>
      </c>
    </row>
    <row r="19" spans="1:25" x14ac:dyDescent="0.3">
      <c r="A19" s="46">
        <v>4</v>
      </c>
      <c r="B19" s="4"/>
      <c r="C19" s="6" t="s">
        <v>141</v>
      </c>
      <c r="D19" s="5"/>
      <c r="E19" s="5" t="s">
        <v>68</v>
      </c>
      <c r="F19" s="5" t="s">
        <v>50</v>
      </c>
      <c r="G19" s="5" t="s">
        <v>62</v>
      </c>
      <c r="H19" s="5" t="s">
        <v>63</v>
      </c>
      <c r="I19" s="5" t="s">
        <v>208</v>
      </c>
      <c r="J19" s="5" t="s">
        <v>72</v>
      </c>
      <c r="K19" s="5" t="s">
        <v>70</v>
      </c>
      <c r="L19" s="5" t="s">
        <v>64</v>
      </c>
      <c r="M19" s="5" t="s">
        <v>54</v>
      </c>
      <c r="N19" s="5" t="s">
        <v>47</v>
      </c>
      <c r="O19" s="5" t="s">
        <v>60</v>
      </c>
      <c r="P19" s="5" t="s">
        <v>52</v>
      </c>
      <c r="Q19" s="1">
        <v>10</v>
      </c>
      <c r="R19" s="1">
        <v>85</v>
      </c>
      <c r="S19" s="1">
        <v>48</v>
      </c>
      <c r="X19">
        <f t="shared" si="10"/>
        <v>17</v>
      </c>
      <c r="Y19">
        <f t="shared" si="5"/>
        <v>0</v>
      </c>
    </row>
    <row r="20" spans="1:25" x14ac:dyDescent="0.3">
      <c r="A20" s="46">
        <v>5</v>
      </c>
      <c r="B20" s="4"/>
      <c r="C20" s="6" t="s">
        <v>161</v>
      </c>
      <c r="D20" s="5"/>
      <c r="E20" s="5" t="s">
        <v>210</v>
      </c>
      <c r="F20" s="5" t="s">
        <v>50</v>
      </c>
      <c r="G20" s="5" t="s">
        <v>57</v>
      </c>
      <c r="H20" s="5" t="s">
        <v>71</v>
      </c>
      <c r="I20" s="5" t="s">
        <v>208</v>
      </c>
      <c r="J20" s="5" t="s">
        <v>59</v>
      </c>
      <c r="K20" s="5" t="s">
        <v>53</v>
      </c>
      <c r="L20" s="5" t="s">
        <v>64</v>
      </c>
      <c r="M20" s="5" t="s">
        <v>54</v>
      </c>
      <c r="N20" s="5" t="s">
        <v>47</v>
      </c>
      <c r="O20" s="5" t="s">
        <v>60</v>
      </c>
      <c r="P20" s="5" t="s">
        <v>52</v>
      </c>
      <c r="Q20" s="1">
        <v>9</v>
      </c>
      <c r="R20" s="1">
        <v>85</v>
      </c>
      <c r="S20" s="1">
        <v>52</v>
      </c>
      <c r="X20">
        <f t="shared" si="10"/>
        <v>18</v>
      </c>
      <c r="Y20">
        <f t="shared" si="5"/>
        <v>0</v>
      </c>
    </row>
    <row r="21" spans="1:25" x14ac:dyDescent="0.3">
      <c r="A21" s="46">
        <v>6</v>
      </c>
      <c r="B21" s="4"/>
      <c r="C21" s="6" t="s">
        <v>138</v>
      </c>
      <c r="D21" s="5"/>
      <c r="E21" s="5" t="s">
        <v>210</v>
      </c>
      <c r="F21" s="5" t="s">
        <v>50</v>
      </c>
      <c r="G21" s="5" t="s">
        <v>57</v>
      </c>
      <c r="H21" s="5" t="s">
        <v>71</v>
      </c>
      <c r="I21" s="5" t="s">
        <v>208</v>
      </c>
      <c r="J21" s="5" t="s">
        <v>59</v>
      </c>
      <c r="K21" s="5" t="s">
        <v>70</v>
      </c>
      <c r="L21" s="5" t="s">
        <v>64</v>
      </c>
      <c r="M21" s="5" t="s">
        <v>54</v>
      </c>
      <c r="N21" s="5" t="s">
        <v>55</v>
      </c>
      <c r="O21" s="5" t="s">
        <v>60</v>
      </c>
      <c r="P21" s="5" t="s">
        <v>52</v>
      </c>
      <c r="Q21" s="1">
        <v>9</v>
      </c>
      <c r="R21" s="1">
        <v>91</v>
      </c>
      <c r="S21" s="1">
        <v>49</v>
      </c>
      <c r="X21">
        <f t="shared" si="10"/>
        <v>19</v>
      </c>
      <c r="Y21">
        <f t="shared" si="5"/>
        <v>0</v>
      </c>
    </row>
    <row r="22" spans="1:25" x14ac:dyDescent="0.3">
      <c r="A22" s="46">
        <v>7</v>
      </c>
      <c r="B22" s="4"/>
      <c r="C22" s="6" t="s">
        <v>156</v>
      </c>
      <c r="D22" s="5"/>
      <c r="E22" s="5" t="s">
        <v>68</v>
      </c>
      <c r="F22" s="5" t="s">
        <v>50</v>
      </c>
      <c r="G22" s="5" t="s">
        <v>57</v>
      </c>
      <c r="H22" s="5" t="s">
        <v>71</v>
      </c>
      <c r="I22" s="5" t="s">
        <v>56</v>
      </c>
      <c r="J22" s="5" t="s">
        <v>59</v>
      </c>
      <c r="K22" s="5" t="s">
        <v>70</v>
      </c>
      <c r="L22" s="5" t="s">
        <v>64</v>
      </c>
      <c r="M22" s="5" t="s">
        <v>54</v>
      </c>
      <c r="N22" s="5" t="s">
        <v>47</v>
      </c>
      <c r="O22" s="5" t="s">
        <v>60</v>
      </c>
      <c r="P22" s="5" t="s">
        <v>65</v>
      </c>
      <c r="Q22" s="1">
        <v>9</v>
      </c>
      <c r="R22" s="1">
        <v>94</v>
      </c>
      <c r="S22" s="1">
        <v>48</v>
      </c>
      <c r="X22">
        <f t="shared" si="10"/>
        <v>20</v>
      </c>
      <c r="Y22">
        <f t="shared" si="5"/>
        <v>0</v>
      </c>
    </row>
    <row r="23" spans="1:25" x14ac:dyDescent="0.3">
      <c r="A23" s="46">
        <v>8</v>
      </c>
      <c r="B23" s="4"/>
      <c r="C23" s="6" t="s">
        <v>38</v>
      </c>
      <c r="D23" s="5"/>
      <c r="E23" s="5" t="s">
        <v>68</v>
      </c>
      <c r="F23" s="5" t="s">
        <v>207</v>
      </c>
      <c r="G23" s="5" t="s">
        <v>57</v>
      </c>
      <c r="H23" s="5" t="s">
        <v>63</v>
      </c>
      <c r="I23" s="5" t="s">
        <v>208</v>
      </c>
      <c r="J23" s="5" t="s">
        <v>59</v>
      </c>
      <c r="K23" s="5" t="s">
        <v>70</v>
      </c>
      <c r="L23" s="5" t="s">
        <v>64</v>
      </c>
      <c r="M23" s="5" t="s">
        <v>54</v>
      </c>
      <c r="N23" s="5" t="s">
        <v>47</v>
      </c>
      <c r="O23" s="5" t="s">
        <v>60</v>
      </c>
      <c r="P23" s="5" t="s">
        <v>52</v>
      </c>
      <c r="Q23" s="1">
        <v>9</v>
      </c>
      <c r="R23" s="1">
        <v>94</v>
      </c>
      <c r="S23" s="1">
        <v>47</v>
      </c>
      <c r="X23">
        <f t="shared" si="10"/>
        <v>21</v>
      </c>
      <c r="Y23">
        <f t="shared" si="5"/>
        <v>0</v>
      </c>
    </row>
    <row r="24" spans="1:25" ht="28.8" x14ac:dyDescent="0.3">
      <c r="A24" s="46">
        <v>9</v>
      </c>
      <c r="B24" s="4"/>
      <c r="C24" s="6" t="s">
        <v>146</v>
      </c>
      <c r="D24" s="5"/>
      <c r="E24" s="5" t="s">
        <v>68</v>
      </c>
      <c r="F24" s="5" t="s">
        <v>207</v>
      </c>
      <c r="G24" s="5" t="s">
        <v>62</v>
      </c>
      <c r="H24" s="5" t="s">
        <v>71</v>
      </c>
      <c r="I24" s="5" t="s">
        <v>56</v>
      </c>
      <c r="J24" s="5" t="s">
        <v>59</v>
      </c>
      <c r="K24" s="5" t="s">
        <v>70</v>
      </c>
      <c r="L24" s="5" t="s">
        <v>64</v>
      </c>
      <c r="M24" s="5" t="s">
        <v>54</v>
      </c>
      <c r="N24" s="5" t="s">
        <v>47</v>
      </c>
      <c r="O24" s="5" t="s">
        <v>209</v>
      </c>
      <c r="P24" s="5" t="s">
        <v>52</v>
      </c>
      <c r="Q24" s="1">
        <v>9</v>
      </c>
      <c r="R24" s="1">
        <v>86</v>
      </c>
      <c r="S24" s="1">
        <v>46</v>
      </c>
      <c r="X24">
        <f t="shared" si="10"/>
        <v>22</v>
      </c>
      <c r="Y24">
        <f t="shared" si="5"/>
        <v>0</v>
      </c>
    </row>
    <row r="25" spans="1:25" ht="28.8" x14ac:dyDescent="0.3">
      <c r="A25" s="46">
        <v>10</v>
      </c>
      <c r="B25" s="4"/>
      <c r="C25" s="6" t="s">
        <v>41</v>
      </c>
      <c r="D25" s="5"/>
      <c r="E25" s="5" t="s">
        <v>68</v>
      </c>
      <c r="F25" s="5" t="s">
        <v>50</v>
      </c>
      <c r="G25" s="5" t="s">
        <v>57</v>
      </c>
      <c r="H25" s="5" t="s">
        <v>71</v>
      </c>
      <c r="I25" s="5" t="s">
        <v>208</v>
      </c>
      <c r="J25" s="5" t="s">
        <v>59</v>
      </c>
      <c r="K25" s="5" t="s">
        <v>53</v>
      </c>
      <c r="L25" s="5" t="s">
        <v>64</v>
      </c>
      <c r="M25" s="5" t="s">
        <v>48</v>
      </c>
      <c r="N25" s="5" t="s">
        <v>47</v>
      </c>
      <c r="O25" s="5" t="s">
        <v>60</v>
      </c>
      <c r="P25" s="5" t="s">
        <v>52</v>
      </c>
      <c r="Q25" s="1">
        <v>9</v>
      </c>
      <c r="R25" s="1">
        <v>80</v>
      </c>
      <c r="S25" s="1">
        <v>43</v>
      </c>
      <c r="X25">
        <f t="shared" si="10"/>
        <v>23</v>
      </c>
      <c r="Y25">
        <f t="shared" si="5"/>
        <v>0</v>
      </c>
    </row>
    <row r="26" spans="1:25" ht="28.8" x14ac:dyDescent="0.3">
      <c r="A26" s="46">
        <v>11</v>
      </c>
      <c r="B26" s="4"/>
      <c r="C26" s="6" t="s">
        <v>103</v>
      </c>
      <c r="D26" s="5"/>
      <c r="E26" s="5" t="s">
        <v>68</v>
      </c>
      <c r="F26" s="5" t="s">
        <v>207</v>
      </c>
      <c r="G26" s="5" t="s">
        <v>57</v>
      </c>
      <c r="H26" s="5" t="s">
        <v>71</v>
      </c>
      <c r="I26" s="5" t="s">
        <v>208</v>
      </c>
      <c r="J26" s="5" t="s">
        <v>59</v>
      </c>
      <c r="K26" s="5" t="s">
        <v>70</v>
      </c>
      <c r="L26" s="5" t="s">
        <v>64</v>
      </c>
      <c r="M26" s="5" t="s">
        <v>54</v>
      </c>
      <c r="N26" s="5" t="s">
        <v>47</v>
      </c>
      <c r="O26" s="5" t="s">
        <v>60</v>
      </c>
      <c r="P26" s="5" t="s">
        <v>65</v>
      </c>
      <c r="Q26" s="1">
        <v>9</v>
      </c>
      <c r="R26" s="1">
        <v>87</v>
      </c>
      <c r="S26" s="1">
        <v>37</v>
      </c>
      <c r="X26">
        <f t="shared" si="10"/>
        <v>24</v>
      </c>
      <c r="Y26">
        <f t="shared" si="5"/>
        <v>0</v>
      </c>
    </row>
    <row r="27" spans="1:25" ht="28.8" x14ac:dyDescent="0.3">
      <c r="A27" s="46">
        <v>12</v>
      </c>
      <c r="B27" s="4"/>
      <c r="C27" s="6" t="s">
        <v>139</v>
      </c>
      <c r="D27" s="5"/>
      <c r="E27" s="5" t="s">
        <v>68</v>
      </c>
      <c r="F27" s="5" t="s">
        <v>207</v>
      </c>
      <c r="G27" s="5" t="s">
        <v>57</v>
      </c>
      <c r="H27" s="5" t="s">
        <v>71</v>
      </c>
      <c r="I27" s="5" t="s">
        <v>208</v>
      </c>
      <c r="J27" s="5" t="s">
        <v>59</v>
      </c>
      <c r="K27" s="5" t="s">
        <v>70</v>
      </c>
      <c r="L27" s="5" t="s">
        <v>64</v>
      </c>
      <c r="M27" s="5" t="s">
        <v>54</v>
      </c>
      <c r="N27" s="5" t="s">
        <v>55</v>
      </c>
      <c r="O27" s="5" t="s">
        <v>60</v>
      </c>
      <c r="P27" s="5" t="s">
        <v>65</v>
      </c>
      <c r="Q27" s="1">
        <v>8</v>
      </c>
      <c r="R27" s="1">
        <v>95</v>
      </c>
      <c r="S27" s="1">
        <v>52</v>
      </c>
      <c r="X27">
        <f t="shared" si="10"/>
        <v>25</v>
      </c>
      <c r="Y27">
        <f t="shared" si="5"/>
        <v>0</v>
      </c>
    </row>
    <row r="28" spans="1:25" ht="28.8" x14ac:dyDescent="0.3">
      <c r="A28" s="46">
        <v>13</v>
      </c>
      <c r="B28" s="4"/>
      <c r="C28" s="6" t="s">
        <v>133</v>
      </c>
      <c r="D28" s="5"/>
      <c r="E28" s="5" t="s">
        <v>210</v>
      </c>
      <c r="F28" s="5" t="s">
        <v>207</v>
      </c>
      <c r="G28" s="5" t="s">
        <v>57</v>
      </c>
      <c r="H28" s="5" t="s">
        <v>71</v>
      </c>
      <c r="I28" s="5" t="s">
        <v>208</v>
      </c>
      <c r="J28" s="5" t="s">
        <v>59</v>
      </c>
      <c r="K28" s="5" t="s">
        <v>53</v>
      </c>
      <c r="L28" s="5" t="s">
        <v>64</v>
      </c>
      <c r="M28" s="5" t="s">
        <v>54</v>
      </c>
      <c r="N28" s="5" t="s">
        <v>47</v>
      </c>
      <c r="O28" s="5" t="s">
        <v>60</v>
      </c>
      <c r="P28" s="5" t="s">
        <v>52</v>
      </c>
      <c r="Q28" s="1">
        <v>8</v>
      </c>
      <c r="R28" s="1">
        <v>80</v>
      </c>
      <c r="S28" s="1">
        <v>52</v>
      </c>
      <c r="X28">
        <f t="shared" si="10"/>
        <v>26</v>
      </c>
      <c r="Y28">
        <f t="shared" si="5"/>
        <v>0</v>
      </c>
    </row>
    <row r="29" spans="1:25" ht="28.8" x14ac:dyDescent="0.3">
      <c r="A29" s="46">
        <v>14</v>
      </c>
      <c r="B29" s="4"/>
      <c r="C29" s="6" t="s">
        <v>104</v>
      </c>
      <c r="D29" s="5"/>
      <c r="E29" s="5" t="s">
        <v>210</v>
      </c>
      <c r="F29" s="5" t="s">
        <v>50</v>
      </c>
      <c r="G29" s="5" t="s">
        <v>57</v>
      </c>
      <c r="H29" s="5" t="s">
        <v>71</v>
      </c>
      <c r="I29" s="5" t="s">
        <v>208</v>
      </c>
      <c r="J29" s="5" t="s">
        <v>59</v>
      </c>
      <c r="K29" s="5" t="s">
        <v>53</v>
      </c>
      <c r="L29" s="5" t="s">
        <v>64</v>
      </c>
      <c r="M29" s="5" t="s">
        <v>54</v>
      </c>
      <c r="N29" s="5" t="s">
        <v>47</v>
      </c>
      <c r="O29" s="5" t="s">
        <v>60</v>
      </c>
      <c r="P29" s="5" t="s">
        <v>65</v>
      </c>
      <c r="Q29" s="1">
        <v>8</v>
      </c>
      <c r="R29" s="1">
        <v>85</v>
      </c>
      <c r="S29" s="1">
        <v>52</v>
      </c>
      <c r="X29">
        <f t="shared" si="10"/>
        <v>27</v>
      </c>
      <c r="Y29">
        <f t="shared" si="5"/>
        <v>0</v>
      </c>
    </row>
    <row r="30" spans="1:25" ht="28.8" x14ac:dyDescent="0.3">
      <c r="A30" s="46">
        <v>15</v>
      </c>
      <c r="B30" s="4"/>
      <c r="C30" s="6" t="s">
        <v>172</v>
      </c>
      <c r="D30" s="5"/>
      <c r="E30" s="5" t="s">
        <v>210</v>
      </c>
      <c r="F30" s="5" t="s">
        <v>207</v>
      </c>
      <c r="G30" s="5" t="s">
        <v>57</v>
      </c>
      <c r="H30" s="5" t="s">
        <v>71</v>
      </c>
      <c r="I30" s="5" t="s">
        <v>208</v>
      </c>
      <c r="J30" s="5" t="s">
        <v>59</v>
      </c>
      <c r="K30" s="5" t="s">
        <v>70</v>
      </c>
      <c r="L30" s="5" t="s">
        <v>64</v>
      </c>
      <c r="M30" s="5" t="s">
        <v>54</v>
      </c>
      <c r="N30" s="5" t="s">
        <v>47</v>
      </c>
      <c r="O30" s="5" t="s">
        <v>209</v>
      </c>
      <c r="P30" s="5" t="s">
        <v>52</v>
      </c>
      <c r="Q30" s="1">
        <v>8</v>
      </c>
      <c r="R30" s="1">
        <v>87</v>
      </c>
      <c r="S30" s="1">
        <v>51</v>
      </c>
      <c r="X30">
        <f t="shared" si="10"/>
        <v>28</v>
      </c>
      <c r="Y30">
        <f t="shared" si="5"/>
        <v>0</v>
      </c>
    </row>
    <row r="31" spans="1:25" x14ac:dyDescent="0.3">
      <c r="A31" s="46">
        <v>16</v>
      </c>
      <c r="B31" s="4"/>
      <c r="C31" s="6" t="s">
        <v>151</v>
      </c>
      <c r="D31" s="5"/>
      <c r="E31" s="5" t="s">
        <v>210</v>
      </c>
      <c r="F31" s="5" t="s">
        <v>50</v>
      </c>
      <c r="G31" s="5" t="s">
        <v>62</v>
      </c>
      <c r="H31" s="5" t="s">
        <v>71</v>
      </c>
      <c r="I31" s="5" t="s">
        <v>208</v>
      </c>
      <c r="J31" s="5" t="s">
        <v>59</v>
      </c>
      <c r="K31" s="5" t="s">
        <v>70</v>
      </c>
      <c r="L31" s="5" t="s">
        <v>66</v>
      </c>
      <c r="M31" s="5" t="s">
        <v>54</v>
      </c>
      <c r="N31" s="5" t="s">
        <v>47</v>
      </c>
      <c r="O31" s="5" t="s">
        <v>209</v>
      </c>
      <c r="P31" s="5" t="s">
        <v>65</v>
      </c>
      <c r="Q31" s="1">
        <v>8</v>
      </c>
      <c r="R31" s="1">
        <v>84</v>
      </c>
      <c r="S31" s="1">
        <v>51</v>
      </c>
      <c r="X31">
        <f t="shared" si="10"/>
        <v>29</v>
      </c>
      <c r="Y31">
        <f t="shared" si="5"/>
        <v>0</v>
      </c>
    </row>
    <row r="32" spans="1:25" ht="28.8" x14ac:dyDescent="0.3">
      <c r="A32" s="46">
        <v>17</v>
      </c>
      <c r="B32" s="4"/>
      <c r="C32" s="6" t="s">
        <v>122</v>
      </c>
      <c r="D32" s="5"/>
      <c r="E32" s="5" t="s">
        <v>210</v>
      </c>
      <c r="F32" s="5" t="s">
        <v>50</v>
      </c>
      <c r="G32" s="5" t="s">
        <v>57</v>
      </c>
      <c r="H32" s="5" t="s">
        <v>63</v>
      </c>
      <c r="I32" s="5" t="s">
        <v>208</v>
      </c>
      <c r="J32" s="5" t="s">
        <v>59</v>
      </c>
      <c r="K32" s="5" t="s">
        <v>53</v>
      </c>
      <c r="L32" s="5" t="s">
        <v>64</v>
      </c>
      <c r="M32" s="5" t="s">
        <v>54</v>
      </c>
      <c r="N32" s="5" t="s">
        <v>47</v>
      </c>
      <c r="O32" s="5" t="s">
        <v>60</v>
      </c>
      <c r="P32" s="5" t="s">
        <v>52</v>
      </c>
      <c r="Q32" s="1">
        <v>8</v>
      </c>
      <c r="R32" s="1">
        <v>82</v>
      </c>
      <c r="S32" s="1">
        <v>51</v>
      </c>
      <c r="X32">
        <f t="shared" si="10"/>
        <v>30</v>
      </c>
      <c r="Y32">
        <f t="shared" si="5"/>
        <v>0</v>
      </c>
    </row>
    <row r="33" spans="1:25" ht="28.8" x14ac:dyDescent="0.3">
      <c r="A33" s="46">
        <v>18</v>
      </c>
      <c r="B33" s="4"/>
      <c r="C33" s="6" t="s">
        <v>112</v>
      </c>
      <c r="D33" s="5"/>
      <c r="E33" s="5" t="s">
        <v>68</v>
      </c>
      <c r="F33" s="5" t="s">
        <v>207</v>
      </c>
      <c r="G33" s="5" t="s">
        <v>57</v>
      </c>
      <c r="H33" s="5" t="s">
        <v>71</v>
      </c>
      <c r="I33" s="5" t="s">
        <v>208</v>
      </c>
      <c r="J33" s="5" t="s">
        <v>59</v>
      </c>
      <c r="K33" s="5" t="s">
        <v>53</v>
      </c>
      <c r="L33" s="5" t="s">
        <v>64</v>
      </c>
      <c r="M33" s="5" t="s">
        <v>54</v>
      </c>
      <c r="N33" s="5" t="s">
        <v>47</v>
      </c>
      <c r="O33" s="5" t="s">
        <v>60</v>
      </c>
      <c r="P33" s="5" t="s">
        <v>65</v>
      </c>
      <c r="Q33" s="1">
        <v>8</v>
      </c>
      <c r="R33" s="1">
        <v>99</v>
      </c>
      <c r="S33" s="1">
        <v>50</v>
      </c>
      <c r="X33">
        <f t="shared" si="10"/>
        <v>31</v>
      </c>
      <c r="Y33">
        <f t="shared" si="5"/>
        <v>1</v>
      </c>
    </row>
    <row r="34" spans="1:25" ht="28.8" x14ac:dyDescent="0.3">
      <c r="A34" s="46">
        <v>19</v>
      </c>
      <c r="B34" s="4"/>
      <c r="C34" s="6" t="s">
        <v>108</v>
      </c>
      <c r="D34" s="5"/>
      <c r="E34" s="5" t="s">
        <v>210</v>
      </c>
      <c r="F34" s="5" t="s">
        <v>50</v>
      </c>
      <c r="G34" s="5" t="s">
        <v>62</v>
      </c>
      <c r="H34" s="5" t="s">
        <v>71</v>
      </c>
      <c r="I34" s="5" t="s">
        <v>208</v>
      </c>
      <c r="J34" s="5" t="s">
        <v>72</v>
      </c>
      <c r="K34" s="5" t="s">
        <v>53</v>
      </c>
      <c r="L34" s="5" t="s">
        <v>64</v>
      </c>
      <c r="M34" s="5" t="s">
        <v>54</v>
      </c>
      <c r="N34" s="5" t="s">
        <v>47</v>
      </c>
      <c r="O34" s="5" t="s">
        <v>60</v>
      </c>
      <c r="P34" s="5" t="s">
        <v>65</v>
      </c>
      <c r="Q34" s="1">
        <v>8</v>
      </c>
      <c r="R34" s="1">
        <v>87</v>
      </c>
      <c r="S34" s="1">
        <v>50</v>
      </c>
      <c r="X34">
        <f t="shared" si="10"/>
        <v>32</v>
      </c>
      <c r="Y34">
        <f t="shared" si="5"/>
        <v>1</v>
      </c>
    </row>
    <row r="35" spans="1:25" ht="28.8" x14ac:dyDescent="0.3">
      <c r="A35" s="46">
        <v>20</v>
      </c>
      <c r="B35" s="4"/>
      <c r="C35" s="6" t="s">
        <v>30</v>
      </c>
      <c r="D35" s="5"/>
      <c r="E35" s="5" t="s">
        <v>210</v>
      </c>
      <c r="F35" s="5" t="s">
        <v>207</v>
      </c>
      <c r="G35" s="5" t="s">
        <v>57</v>
      </c>
      <c r="H35" s="5" t="s">
        <v>71</v>
      </c>
      <c r="I35" s="5" t="s">
        <v>208</v>
      </c>
      <c r="J35" s="5" t="s">
        <v>59</v>
      </c>
      <c r="K35" s="5" t="s">
        <v>70</v>
      </c>
      <c r="L35" s="5" t="s">
        <v>64</v>
      </c>
      <c r="M35" s="5" t="s">
        <v>54</v>
      </c>
      <c r="N35" s="5" t="s">
        <v>55</v>
      </c>
      <c r="O35" s="5" t="s">
        <v>60</v>
      </c>
      <c r="P35" s="5" t="s">
        <v>52</v>
      </c>
      <c r="Q35" s="1">
        <v>8</v>
      </c>
      <c r="R35" s="1">
        <v>89</v>
      </c>
      <c r="S35" s="1">
        <v>49</v>
      </c>
      <c r="X35">
        <f t="shared" si="10"/>
        <v>33</v>
      </c>
      <c r="Y35">
        <f t="shared" si="5"/>
        <v>0</v>
      </c>
    </row>
    <row r="36" spans="1:25" ht="28.8" x14ac:dyDescent="0.3">
      <c r="A36" s="46">
        <v>21</v>
      </c>
      <c r="B36" s="4"/>
      <c r="C36" s="6" t="s">
        <v>92</v>
      </c>
      <c r="D36" s="5"/>
      <c r="E36" s="5" t="s">
        <v>210</v>
      </c>
      <c r="F36" s="5" t="s">
        <v>50</v>
      </c>
      <c r="G36" s="5" t="s">
        <v>57</v>
      </c>
      <c r="H36" s="5" t="s">
        <v>71</v>
      </c>
      <c r="I36" s="5" t="s">
        <v>208</v>
      </c>
      <c r="J36" s="5" t="s">
        <v>72</v>
      </c>
      <c r="K36" s="5" t="s">
        <v>53</v>
      </c>
      <c r="L36" s="5" t="s">
        <v>64</v>
      </c>
      <c r="M36" s="5" t="s">
        <v>54</v>
      </c>
      <c r="N36" s="5" t="s">
        <v>47</v>
      </c>
      <c r="O36" s="5" t="s">
        <v>60</v>
      </c>
      <c r="P36" s="5" t="s">
        <v>52</v>
      </c>
      <c r="Q36" s="1">
        <v>8</v>
      </c>
      <c r="R36" s="1">
        <v>81</v>
      </c>
      <c r="S36" s="1">
        <v>49</v>
      </c>
      <c r="X36">
        <f t="shared" si="10"/>
        <v>34</v>
      </c>
      <c r="Y36">
        <f t="shared" si="5"/>
        <v>2</v>
      </c>
    </row>
    <row r="37" spans="1:25" ht="28.8" x14ac:dyDescent="0.3">
      <c r="A37" s="46">
        <v>22</v>
      </c>
      <c r="B37" s="4"/>
      <c r="C37" s="6" t="s">
        <v>107</v>
      </c>
      <c r="D37" s="5"/>
      <c r="E37" s="5" t="s">
        <v>68</v>
      </c>
      <c r="F37" s="5" t="s">
        <v>207</v>
      </c>
      <c r="G37" s="5" t="s">
        <v>57</v>
      </c>
      <c r="H37" s="5" t="s">
        <v>71</v>
      </c>
      <c r="I37" s="5" t="s">
        <v>208</v>
      </c>
      <c r="J37" s="5" t="s">
        <v>59</v>
      </c>
      <c r="K37" s="5" t="s">
        <v>53</v>
      </c>
      <c r="L37" s="5" t="s">
        <v>64</v>
      </c>
      <c r="M37" s="5" t="s">
        <v>54</v>
      </c>
      <c r="N37" s="5" t="s">
        <v>55</v>
      </c>
      <c r="O37" s="5" t="s">
        <v>60</v>
      </c>
      <c r="P37" s="5" t="s">
        <v>52</v>
      </c>
      <c r="Q37" s="1">
        <v>8</v>
      </c>
      <c r="R37" s="1">
        <v>86</v>
      </c>
      <c r="S37" s="1">
        <v>48</v>
      </c>
      <c r="X37">
        <f t="shared" si="10"/>
        <v>35</v>
      </c>
      <c r="Y37">
        <f t="shared" si="5"/>
        <v>1</v>
      </c>
    </row>
    <row r="38" spans="1:25" x14ac:dyDescent="0.3">
      <c r="A38" s="46">
        <v>23</v>
      </c>
      <c r="B38" s="4"/>
      <c r="C38" s="6" t="s">
        <v>152</v>
      </c>
      <c r="D38" s="5"/>
      <c r="E38" s="5" t="s">
        <v>68</v>
      </c>
      <c r="F38" s="5" t="s">
        <v>50</v>
      </c>
      <c r="G38" s="5" t="s">
        <v>62</v>
      </c>
      <c r="H38" s="5" t="s">
        <v>71</v>
      </c>
      <c r="I38" s="5" t="s">
        <v>56</v>
      </c>
      <c r="J38" s="5" t="s">
        <v>59</v>
      </c>
      <c r="K38" s="5" t="s">
        <v>53</v>
      </c>
      <c r="L38" s="5" t="s">
        <v>64</v>
      </c>
      <c r="M38" s="5" t="s">
        <v>54</v>
      </c>
      <c r="N38" s="5" t="s">
        <v>55</v>
      </c>
      <c r="O38" s="5" t="s">
        <v>209</v>
      </c>
      <c r="P38" s="5" t="s">
        <v>52</v>
      </c>
      <c r="Q38" s="1">
        <v>8</v>
      </c>
      <c r="R38" s="1">
        <v>96</v>
      </c>
      <c r="S38" s="1">
        <v>47</v>
      </c>
      <c r="X38">
        <f t="shared" si="10"/>
        <v>36</v>
      </c>
      <c r="Y38">
        <f t="shared" si="5"/>
        <v>2</v>
      </c>
    </row>
    <row r="39" spans="1:25" ht="28.8" x14ac:dyDescent="0.3">
      <c r="A39" s="46">
        <v>24</v>
      </c>
      <c r="B39" s="4"/>
      <c r="C39" s="6" t="s">
        <v>148</v>
      </c>
      <c r="D39" s="5"/>
      <c r="E39" s="5" t="s">
        <v>68</v>
      </c>
      <c r="F39" s="5" t="s">
        <v>50</v>
      </c>
      <c r="G39" s="5" t="s">
        <v>57</v>
      </c>
      <c r="H39" s="5" t="s">
        <v>63</v>
      </c>
      <c r="I39" s="5" t="s">
        <v>208</v>
      </c>
      <c r="J39" s="5" t="s">
        <v>59</v>
      </c>
      <c r="K39" s="5" t="s">
        <v>53</v>
      </c>
      <c r="L39" s="5" t="s">
        <v>64</v>
      </c>
      <c r="M39" s="5" t="s">
        <v>48</v>
      </c>
      <c r="N39" s="5" t="s">
        <v>47</v>
      </c>
      <c r="O39" s="5" t="s">
        <v>60</v>
      </c>
      <c r="P39" s="5" t="s">
        <v>52</v>
      </c>
      <c r="Q39" s="1">
        <v>8</v>
      </c>
      <c r="R39" s="1">
        <v>90</v>
      </c>
      <c r="S39" s="1">
        <v>47</v>
      </c>
      <c r="X39">
        <f t="shared" si="10"/>
        <v>37</v>
      </c>
      <c r="Y39">
        <f t="shared" si="5"/>
        <v>5</v>
      </c>
    </row>
    <row r="40" spans="1:25" x14ac:dyDescent="0.3">
      <c r="A40" s="46">
        <v>25</v>
      </c>
      <c r="B40" s="4"/>
      <c r="C40" s="6" t="s">
        <v>100</v>
      </c>
      <c r="D40" s="5"/>
      <c r="E40" s="5" t="s">
        <v>210</v>
      </c>
      <c r="F40" s="5" t="s">
        <v>50</v>
      </c>
      <c r="G40" s="5" t="s">
        <v>62</v>
      </c>
      <c r="H40" s="5" t="s">
        <v>71</v>
      </c>
      <c r="I40" s="5" t="s">
        <v>56</v>
      </c>
      <c r="J40" s="5" t="s">
        <v>59</v>
      </c>
      <c r="K40" s="5" t="s">
        <v>53</v>
      </c>
      <c r="L40" s="5" t="s">
        <v>64</v>
      </c>
      <c r="M40" s="5" t="s">
        <v>54</v>
      </c>
      <c r="N40" s="5" t="s">
        <v>47</v>
      </c>
      <c r="O40" s="5" t="s">
        <v>60</v>
      </c>
      <c r="P40" s="5" t="s">
        <v>65</v>
      </c>
      <c r="Q40" s="1">
        <v>8</v>
      </c>
      <c r="R40" s="1">
        <v>92</v>
      </c>
      <c r="S40" s="1">
        <v>47</v>
      </c>
      <c r="X40">
        <f t="shared" si="10"/>
        <v>38</v>
      </c>
      <c r="Y40">
        <f t="shared" si="5"/>
        <v>2</v>
      </c>
    </row>
    <row r="41" spans="1:25" ht="28.8" x14ac:dyDescent="0.3">
      <c r="A41" s="46">
        <v>26</v>
      </c>
      <c r="B41" s="4"/>
      <c r="C41" s="6" t="s">
        <v>147</v>
      </c>
      <c r="D41" s="5"/>
      <c r="E41" s="5" t="s">
        <v>68</v>
      </c>
      <c r="F41" s="5" t="s">
        <v>50</v>
      </c>
      <c r="G41" s="5" t="s">
        <v>57</v>
      </c>
      <c r="H41" s="5" t="s">
        <v>71</v>
      </c>
      <c r="I41" s="5" t="s">
        <v>56</v>
      </c>
      <c r="J41" s="5" t="s">
        <v>59</v>
      </c>
      <c r="K41" s="5" t="s">
        <v>70</v>
      </c>
      <c r="L41" s="5" t="s">
        <v>64</v>
      </c>
      <c r="M41" s="5" t="s">
        <v>48</v>
      </c>
      <c r="N41" s="5" t="s">
        <v>47</v>
      </c>
      <c r="O41" s="5" t="s">
        <v>60</v>
      </c>
      <c r="P41" s="5" t="s">
        <v>65</v>
      </c>
      <c r="Q41" s="1">
        <v>8</v>
      </c>
      <c r="R41" s="1">
        <v>91</v>
      </c>
      <c r="S41" s="1">
        <v>46</v>
      </c>
      <c r="X41">
        <f t="shared" si="10"/>
        <v>39</v>
      </c>
      <c r="Y41">
        <f t="shared" si="5"/>
        <v>3</v>
      </c>
    </row>
    <row r="42" spans="1:25" ht="28.8" x14ac:dyDescent="0.3">
      <c r="A42" s="46">
        <v>27</v>
      </c>
      <c r="B42" s="4"/>
      <c r="C42" s="6" t="s">
        <v>185</v>
      </c>
      <c r="D42" s="5"/>
      <c r="E42" s="5" t="s">
        <v>68</v>
      </c>
      <c r="F42" s="5" t="s">
        <v>207</v>
      </c>
      <c r="G42" s="5" t="s">
        <v>57</v>
      </c>
      <c r="H42" s="5" t="s">
        <v>71</v>
      </c>
      <c r="I42" s="5" t="s">
        <v>208</v>
      </c>
      <c r="J42" s="5" t="s">
        <v>59</v>
      </c>
      <c r="K42" s="5" t="s">
        <v>53</v>
      </c>
      <c r="L42" s="5" t="s">
        <v>64</v>
      </c>
      <c r="M42" s="5" t="s">
        <v>54</v>
      </c>
      <c r="N42" s="5" t="s">
        <v>55</v>
      </c>
      <c r="O42" s="5" t="s">
        <v>60</v>
      </c>
      <c r="P42" s="5" t="s">
        <v>52</v>
      </c>
      <c r="Q42" s="1">
        <v>8</v>
      </c>
      <c r="R42" s="1">
        <v>88</v>
      </c>
      <c r="S42" s="1">
        <v>45</v>
      </c>
      <c r="X42">
        <f t="shared" si="10"/>
        <v>40</v>
      </c>
      <c r="Y42">
        <f t="shared" si="5"/>
        <v>5</v>
      </c>
    </row>
    <row r="43" spans="1:25" x14ac:dyDescent="0.3">
      <c r="A43" s="46">
        <v>28</v>
      </c>
      <c r="B43" s="4"/>
      <c r="C43" s="6" t="s">
        <v>86</v>
      </c>
      <c r="D43" s="5"/>
      <c r="E43" s="5" t="s">
        <v>210</v>
      </c>
      <c r="F43" s="5" t="s">
        <v>207</v>
      </c>
      <c r="G43" s="5" t="s">
        <v>57</v>
      </c>
      <c r="H43" s="5" t="s">
        <v>71</v>
      </c>
      <c r="I43" s="5" t="s">
        <v>208</v>
      </c>
      <c r="J43" s="5" t="s">
        <v>72</v>
      </c>
      <c r="K43" s="5" t="s">
        <v>70</v>
      </c>
      <c r="L43" s="5" t="s">
        <v>64</v>
      </c>
      <c r="M43" s="5" t="s">
        <v>54</v>
      </c>
      <c r="N43" s="5" t="s">
        <v>47</v>
      </c>
      <c r="O43" s="5" t="s">
        <v>60</v>
      </c>
      <c r="P43" s="5" t="s">
        <v>52</v>
      </c>
      <c r="Q43" s="1">
        <v>8</v>
      </c>
      <c r="R43" s="1">
        <v>82</v>
      </c>
      <c r="S43" s="1">
        <v>45</v>
      </c>
      <c r="X43">
        <f t="shared" si="10"/>
        <v>41</v>
      </c>
      <c r="Y43">
        <f t="shared" si="5"/>
        <v>8</v>
      </c>
    </row>
    <row r="44" spans="1:25" x14ac:dyDescent="0.3">
      <c r="A44" s="46">
        <v>29</v>
      </c>
      <c r="B44" s="4"/>
      <c r="C44" s="6" t="s">
        <v>131</v>
      </c>
      <c r="D44" s="5"/>
      <c r="E44" s="5" t="s">
        <v>210</v>
      </c>
      <c r="F44" s="5" t="s">
        <v>50</v>
      </c>
      <c r="G44" s="5" t="s">
        <v>57</v>
      </c>
      <c r="H44" s="5" t="s">
        <v>71</v>
      </c>
      <c r="I44" s="5" t="s">
        <v>56</v>
      </c>
      <c r="J44" s="5" t="s">
        <v>59</v>
      </c>
      <c r="K44" s="5" t="s">
        <v>53</v>
      </c>
      <c r="L44" s="5" t="s">
        <v>64</v>
      </c>
      <c r="M44" s="5" t="s">
        <v>54</v>
      </c>
      <c r="N44" s="5" t="s">
        <v>47</v>
      </c>
      <c r="O44" s="5" t="s">
        <v>60</v>
      </c>
      <c r="P44" s="5" t="s">
        <v>52</v>
      </c>
      <c r="Q44" s="1">
        <v>8</v>
      </c>
      <c r="R44" s="1">
        <v>59</v>
      </c>
      <c r="S44" s="1">
        <v>45</v>
      </c>
      <c r="X44">
        <f t="shared" si="10"/>
        <v>42</v>
      </c>
      <c r="Y44">
        <f t="shared" si="5"/>
        <v>16</v>
      </c>
    </row>
    <row r="45" spans="1:25" x14ac:dyDescent="0.3">
      <c r="A45" s="46">
        <v>30</v>
      </c>
      <c r="B45" s="4"/>
      <c r="C45" s="6" t="s">
        <v>98</v>
      </c>
      <c r="D45" s="5"/>
      <c r="E45" s="5" t="s">
        <v>210</v>
      </c>
      <c r="F45" s="5" t="s">
        <v>50</v>
      </c>
      <c r="G45" s="5" t="s">
        <v>57</v>
      </c>
      <c r="H45" s="5" t="s">
        <v>71</v>
      </c>
      <c r="I45" s="5" t="s">
        <v>208</v>
      </c>
      <c r="J45" s="5" t="s">
        <v>59</v>
      </c>
      <c r="K45" s="5" t="s">
        <v>53</v>
      </c>
      <c r="L45" s="5" t="s">
        <v>64</v>
      </c>
      <c r="M45" s="5" t="s">
        <v>54</v>
      </c>
      <c r="N45" s="5" t="s">
        <v>55</v>
      </c>
      <c r="O45" s="5" t="s">
        <v>60</v>
      </c>
      <c r="P45" s="5" t="s">
        <v>52</v>
      </c>
      <c r="Q45" s="1">
        <v>8</v>
      </c>
      <c r="R45" s="1">
        <v>94</v>
      </c>
      <c r="S45" s="1">
        <v>44</v>
      </c>
      <c r="X45">
        <f t="shared" si="10"/>
        <v>43</v>
      </c>
      <c r="Y45">
        <f t="shared" si="5"/>
        <v>3</v>
      </c>
    </row>
    <row r="46" spans="1:25" x14ac:dyDescent="0.3">
      <c r="A46" s="46">
        <v>31</v>
      </c>
      <c r="B46" s="4"/>
      <c r="C46" s="6" t="s">
        <v>43</v>
      </c>
      <c r="D46" s="5"/>
      <c r="E46" s="5" t="s">
        <v>210</v>
      </c>
      <c r="F46" s="5" t="s">
        <v>50</v>
      </c>
      <c r="G46" s="5" t="s">
        <v>62</v>
      </c>
      <c r="H46" s="5" t="s">
        <v>71</v>
      </c>
      <c r="I46" s="5" t="s">
        <v>208</v>
      </c>
      <c r="J46" s="5" t="s">
        <v>59</v>
      </c>
      <c r="K46" s="5" t="s">
        <v>53</v>
      </c>
      <c r="L46" s="5" t="s">
        <v>64</v>
      </c>
      <c r="M46" s="5" t="s">
        <v>54</v>
      </c>
      <c r="N46" s="5" t="s">
        <v>55</v>
      </c>
      <c r="O46" s="5" t="s">
        <v>209</v>
      </c>
      <c r="P46" s="5" t="s">
        <v>52</v>
      </c>
      <c r="Q46" s="1">
        <v>8</v>
      </c>
      <c r="R46" s="1">
        <v>85</v>
      </c>
      <c r="S46" s="1">
        <v>44</v>
      </c>
      <c r="X46">
        <f t="shared" si="10"/>
        <v>44</v>
      </c>
      <c r="Y46">
        <f t="shared" si="5"/>
        <v>12</v>
      </c>
    </row>
    <row r="47" spans="1:25" ht="28.8" x14ac:dyDescent="0.3">
      <c r="A47" s="46">
        <v>32</v>
      </c>
      <c r="B47" s="4"/>
      <c r="C47" s="6" t="s">
        <v>32</v>
      </c>
      <c r="D47" s="5"/>
      <c r="E47" s="5" t="s">
        <v>68</v>
      </c>
      <c r="F47" s="5" t="s">
        <v>50</v>
      </c>
      <c r="G47" s="5" t="s">
        <v>57</v>
      </c>
      <c r="H47" s="5" t="s">
        <v>71</v>
      </c>
      <c r="I47" s="5" t="s">
        <v>208</v>
      </c>
      <c r="J47" s="5" t="s">
        <v>59</v>
      </c>
      <c r="K47" s="5" t="s">
        <v>53</v>
      </c>
      <c r="L47" s="5" t="s">
        <v>66</v>
      </c>
      <c r="M47" s="5" t="s">
        <v>54</v>
      </c>
      <c r="N47" s="5" t="s">
        <v>47</v>
      </c>
      <c r="O47" s="5" t="s">
        <v>60</v>
      </c>
      <c r="P47" s="5" t="s">
        <v>65</v>
      </c>
      <c r="Q47" s="1">
        <v>8</v>
      </c>
      <c r="R47" s="1">
        <v>86</v>
      </c>
      <c r="S47" s="1">
        <v>43</v>
      </c>
      <c r="X47">
        <f t="shared" si="10"/>
        <v>45</v>
      </c>
      <c r="Y47">
        <f t="shared" si="5"/>
        <v>18</v>
      </c>
    </row>
    <row r="48" spans="1:25" x14ac:dyDescent="0.3">
      <c r="A48" s="46">
        <v>33</v>
      </c>
      <c r="B48" s="4"/>
      <c r="C48" s="6" t="s">
        <v>155</v>
      </c>
      <c r="D48" s="5"/>
      <c r="E48" s="5" t="s">
        <v>210</v>
      </c>
      <c r="F48" s="5" t="s">
        <v>207</v>
      </c>
      <c r="G48" s="5" t="s">
        <v>57</v>
      </c>
      <c r="H48" s="5" t="s">
        <v>71</v>
      </c>
      <c r="I48" s="5" t="s">
        <v>208</v>
      </c>
      <c r="J48" s="5" t="s">
        <v>59</v>
      </c>
      <c r="K48" s="5" t="s">
        <v>53</v>
      </c>
      <c r="L48" s="5" t="s">
        <v>64</v>
      </c>
      <c r="M48" s="5" t="s">
        <v>54</v>
      </c>
      <c r="N48" s="5" t="s">
        <v>47</v>
      </c>
      <c r="O48" s="5" t="s">
        <v>60</v>
      </c>
      <c r="P48" s="5" t="s">
        <v>52</v>
      </c>
      <c r="Q48" s="1">
        <v>8</v>
      </c>
      <c r="R48" s="1">
        <v>81</v>
      </c>
      <c r="S48" s="1">
        <v>42</v>
      </c>
      <c r="X48">
        <f t="shared" si="10"/>
        <v>46</v>
      </c>
      <c r="Y48">
        <f t="shared" si="5"/>
        <v>5</v>
      </c>
    </row>
    <row r="49" spans="1:25" x14ac:dyDescent="0.3">
      <c r="A49" s="46">
        <v>34</v>
      </c>
      <c r="B49" s="4"/>
      <c r="C49" s="6" t="s">
        <v>44</v>
      </c>
      <c r="D49" s="5"/>
      <c r="E49" s="5" t="s">
        <v>210</v>
      </c>
      <c r="F49" s="5" t="s">
        <v>207</v>
      </c>
      <c r="G49" s="5" t="s">
        <v>62</v>
      </c>
      <c r="H49" s="5" t="s">
        <v>71</v>
      </c>
      <c r="I49" s="5" t="s">
        <v>56</v>
      </c>
      <c r="J49" s="5" t="s">
        <v>59</v>
      </c>
      <c r="K49" s="5" t="s">
        <v>70</v>
      </c>
      <c r="L49" s="5" t="s">
        <v>64</v>
      </c>
      <c r="M49" s="5" t="s">
        <v>54</v>
      </c>
      <c r="N49" s="5" t="s">
        <v>55</v>
      </c>
      <c r="O49" s="5" t="s">
        <v>60</v>
      </c>
      <c r="P49" s="5" t="s">
        <v>52</v>
      </c>
      <c r="Q49" s="1">
        <v>8</v>
      </c>
      <c r="R49" s="1">
        <v>94</v>
      </c>
      <c r="S49" s="1">
        <v>42</v>
      </c>
      <c r="X49">
        <f t="shared" si="10"/>
        <v>47</v>
      </c>
      <c r="Y49">
        <f t="shared" si="5"/>
        <v>17</v>
      </c>
    </row>
    <row r="50" spans="1:25" ht="28.8" x14ac:dyDescent="0.3">
      <c r="A50" s="46">
        <v>35</v>
      </c>
      <c r="B50" s="4"/>
      <c r="C50" s="6" t="s">
        <v>176</v>
      </c>
      <c r="D50" s="5"/>
      <c r="E50" s="5" t="s">
        <v>68</v>
      </c>
      <c r="F50" s="5" t="s">
        <v>207</v>
      </c>
      <c r="G50" s="5" t="s">
        <v>62</v>
      </c>
      <c r="H50" s="5" t="s">
        <v>71</v>
      </c>
      <c r="I50" s="5" t="s">
        <v>208</v>
      </c>
      <c r="J50" s="5" t="s">
        <v>59</v>
      </c>
      <c r="K50" s="5" t="s">
        <v>53</v>
      </c>
      <c r="L50" s="5" t="s">
        <v>64</v>
      </c>
      <c r="M50" s="5" t="s">
        <v>48</v>
      </c>
      <c r="N50" s="5" t="s">
        <v>47</v>
      </c>
      <c r="O50" s="5" t="s">
        <v>209</v>
      </c>
      <c r="P50" s="5" t="s">
        <v>52</v>
      </c>
      <c r="Q50" s="1">
        <v>8</v>
      </c>
      <c r="R50" s="1">
        <v>89</v>
      </c>
      <c r="S50" s="1">
        <v>42</v>
      </c>
      <c r="X50">
        <f t="shared" si="10"/>
        <v>48</v>
      </c>
      <c r="Y50">
        <f t="shared" si="5"/>
        <v>12</v>
      </c>
    </row>
    <row r="51" spans="1:25" ht="28.8" x14ac:dyDescent="0.3">
      <c r="A51" s="46">
        <v>36</v>
      </c>
      <c r="B51" s="4"/>
      <c r="C51" s="6" t="s">
        <v>153</v>
      </c>
      <c r="D51" s="5"/>
      <c r="E51" s="5" t="s">
        <v>210</v>
      </c>
      <c r="F51" s="5" t="s">
        <v>207</v>
      </c>
      <c r="G51" s="5" t="s">
        <v>62</v>
      </c>
      <c r="H51" s="5" t="s">
        <v>71</v>
      </c>
      <c r="I51" s="5" t="s">
        <v>56</v>
      </c>
      <c r="J51" s="5" t="s">
        <v>59</v>
      </c>
      <c r="K51" s="5" t="s">
        <v>70</v>
      </c>
      <c r="L51" s="5" t="s">
        <v>66</v>
      </c>
      <c r="M51" s="5" t="s">
        <v>54</v>
      </c>
      <c r="N51" s="5" t="s">
        <v>47</v>
      </c>
      <c r="O51" s="5" t="s">
        <v>60</v>
      </c>
      <c r="P51" s="5" t="s">
        <v>52</v>
      </c>
      <c r="Q51" s="1">
        <v>8</v>
      </c>
      <c r="R51" s="1">
        <v>85</v>
      </c>
      <c r="S51" s="1">
        <v>41</v>
      </c>
      <c r="X51">
        <f t="shared" si="10"/>
        <v>49</v>
      </c>
      <c r="Y51">
        <f t="shared" si="5"/>
        <v>5</v>
      </c>
    </row>
    <row r="52" spans="1:25" x14ac:dyDescent="0.3">
      <c r="A52" s="46">
        <v>37</v>
      </c>
      <c r="B52" s="4"/>
      <c r="C52" s="6" t="s">
        <v>14</v>
      </c>
      <c r="D52" s="5"/>
      <c r="E52" s="5" t="s">
        <v>68</v>
      </c>
      <c r="F52" s="5" t="s">
        <v>207</v>
      </c>
      <c r="G52" s="5" t="s">
        <v>57</v>
      </c>
      <c r="H52" s="5" t="s">
        <v>71</v>
      </c>
      <c r="I52" s="5" t="s">
        <v>208</v>
      </c>
      <c r="J52" s="5" t="s">
        <v>59</v>
      </c>
      <c r="K52" s="5" t="s">
        <v>53</v>
      </c>
      <c r="L52" s="5" t="s">
        <v>64</v>
      </c>
      <c r="M52" s="5" t="s">
        <v>54</v>
      </c>
      <c r="N52" s="5" t="s">
        <v>47</v>
      </c>
      <c r="O52" s="5" t="s">
        <v>60</v>
      </c>
      <c r="P52" s="5" t="s">
        <v>65</v>
      </c>
      <c r="Q52" s="1">
        <v>8</v>
      </c>
      <c r="R52" s="1">
        <v>90</v>
      </c>
      <c r="S52" s="1">
        <v>41</v>
      </c>
      <c r="X52">
        <f t="shared" si="10"/>
        <v>50</v>
      </c>
      <c r="Y52">
        <f t="shared" si="5"/>
        <v>5</v>
      </c>
    </row>
    <row r="53" spans="1:25" x14ac:dyDescent="0.3">
      <c r="A53" s="46">
        <v>38</v>
      </c>
      <c r="B53" s="4"/>
      <c r="C53" s="6" t="s">
        <v>12</v>
      </c>
      <c r="D53" s="5"/>
      <c r="E53" s="5" t="s">
        <v>68</v>
      </c>
      <c r="F53" s="5" t="s">
        <v>207</v>
      </c>
      <c r="G53" s="5" t="s">
        <v>62</v>
      </c>
      <c r="H53" s="5" t="s">
        <v>71</v>
      </c>
      <c r="I53" s="5" t="s">
        <v>56</v>
      </c>
      <c r="J53" s="5" t="s">
        <v>59</v>
      </c>
      <c r="K53" s="5" t="s">
        <v>70</v>
      </c>
      <c r="L53" s="5" t="s">
        <v>64</v>
      </c>
      <c r="M53" s="5" t="s">
        <v>54</v>
      </c>
      <c r="N53" s="5" t="s">
        <v>55</v>
      </c>
      <c r="O53" s="5" t="s">
        <v>60</v>
      </c>
      <c r="P53" s="5" t="s">
        <v>65</v>
      </c>
      <c r="Q53" s="1">
        <v>8</v>
      </c>
      <c r="R53" s="1">
        <v>84</v>
      </c>
      <c r="S53" s="1">
        <v>40</v>
      </c>
      <c r="X53">
        <f t="shared" si="10"/>
        <v>51</v>
      </c>
      <c r="Y53">
        <f t="shared" si="5"/>
        <v>10</v>
      </c>
    </row>
    <row r="54" spans="1:25" ht="28.8" x14ac:dyDescent="0.3">
      <c r="A54" s="46">
        <v>39</v>
      </c>
      <c r="B54" s="4"/>
      <c r="C54" s="6" t="s">
        <v>179</v>
      </c>
      <c r="D54" s="5"/>
      <c r="E54" s="5" t="s">
        <v>210</v>
      </c>
      <c r="F54" s="5" t="s">
        <v>207</v>
      </c>
      <c r="G54" s="5" t="s">
        <v>57</v>
      </c>
      <c r="H54" s="5" t="s">
        <v>71</v>
      </c>
      <c r="I54" s="5" t="s">
        <v>208</v>
      </c>
      <c r="J54" s="5" t="s">
        <v>59</v>
      </c>
      <c r="K54" s="5" t="s">
        <v>53</v>
      </c>
      <c r="L54" s="5" t="s">
        <v>64</v>
      </c>
      <c r="M54" s="5" t="s">
        <v>54</v>
      </c>
      <c r="N54" s="5" t="s">
        <v>47</v>
      </c>
      <c r="O54" s="5" t="s">
        <v>60</v>
      </c>
      <c r="P54" s="5" t="s">
        <v>52</v>
      </c>
      <c r="Q54" s="1">
        <v>8</v>
      </c>
      <c r="R54" s="1">
        <v>84</v>
      </c>
      <c r="S54" s="1">
        <v>66</v>
      </c>
      <c r="X54">
        <f t="shared" si="10"/>
        <v>52</v>
      </c>
      <c r="Y54">
        <f t="shared" si="5"/>
        <v>10</v>
      </c>
    </row>
    <row r="55" spans="1:25" x14ac:dyDescent="0.3">
      <c r="A55" s="46">
        <v>40</v>
      </c>
      <c r="B55" s="4"/>
      <c r="C55" s="6" t="s">
        <v>119</v>
      </c>
      <c r="D55" s="5"/>
      <c r="E55" s="5" t="s">
        <v>210</v>
      </c>
      <c r="F55" s="5" t="s">
        <v>50</v>
      </c>
      <c r="G55" s="5" t="s">
        <v>57</v>
      </c>
      <c r="H55" s="5" t="s">
        <v>71</v>
      </c>
      <c r="I55" s="5" t="s">
        <v>208</v>
      </c>
      <c r="J55" s="5" t="s">
        <v>59</v>
      </c>
      <c r="K55" s="5" t="s">
        <v>53</v>
      </c>
      <c r="L55" s="5" t="s">
        <v>64</v>
      </c>
      <c r="M55" s="5" t="s">
        <v>54</v>
      </c>
      <c r="N55" s="5" t="s">
        <v>47</v>
      </c>
      <c r="O55" s="5" t="s">
        <v>60</v>
      </c>
      <c r="P55" s="5" t="s">
        <v>65</v>
      </c>
      <c r="Q55" s="1">
        <v>8</v>
      </c>
      <c r="R55" s="1">
        <v>95</v>
      </c>
      <c r="S55" s="1">
        <v>38</v>
      </c>
      <c r="X55">
        <f t="shared" si="10"/>
        <v>53</v>
      </c>
      <c r="Y55">
        <f t="shared" si="5"/>
        <v>3</v>
      </c>
    </row>
    <row r="56" spans="1:25" ht="28.8" x14ac:dyDescent="0.3">
      <c r="A56" s="46">
        <v>41</v>
      </c>
      <c r="B56" s="4"/>
      <c r="C56" s="6" t="s">
        <v>135</v>
      </c>
      <c r="D56" s="5"/>
      <c r="E56" s="5" t="s">
        <v>210</v>
      </c>
      <c r="F56" s="5" t="s">
        <v>50</v>
      </c>
      <c r="G56" s="5" t="s">
        <v>62</v>
      </c>
      <c r="H56" s="5" t="s">
        <v>71</v>
      </c>
      <c r="I56" s="5" t="s">
        <v>208</v>
      </c>
      <c r="J56" s="5" t="s">
        <v>72</v>
      </c>
      <c r="K56" s="5" t="s">
        <v>70</v>
      </c>
      <c r="L56" s="5" t="s">
        <v>64</v>
      </c>
      <c r="M56" s="5" t="s">
        <v>48</v>
      </c>
      <c r="N56" s="5" t="s">
        <v>47</v>
      </c>
      <c r="O56" s="5" t="s">
        <v>60</v>
      </c>
      <c r="P56" s="5" t="s">
        <v>65</v>
      </c>
      <c r="Q56" s="1">
        <v>8</v>
      </c>
      <c r="R56" s="1">
        <v>86</v>
      </c>
      <c r="S56" s="1">
        <v>37</v>
      </c>
      <c r="X56">
        <f t="shared" si="10"/>
        <v>54</v>
      </c>
      <c r="Y56">
        <f t="shared" si="5"/>
        <v>3</v>
      </c>
    </row>
    <row r="57" spans="1:25" ht="28.8" x14ac:dyDescent="0.3">
      <c r="A57" s="46">
        <v>42</v>
      </c>
      <c r="B57" s="4"/>
      <c r="C57" s="6" t="s">
        <v>116</v>
      </c>
      <c r="D57" s="5"/>
      <c r="E57" s="5" t="s">
        <v>210</v>
      </c>
      <c r="F57" s="5" t="s">
        <v>50</v>
      </c>
      <c r="G57" s="5" t="s">
        <v>57</v>
      </c>
      <c r="H57" s="5" t="s">
        <v>71</v>
      </c>
      <c r="I57" s="5" t="s">
        <v>208</v>
      </c>
      <c r="J57" s="5" t="s">
        <v>59</v>
      </c>
      <c r="K57" s="5" t="s">
        <v>53</v>
      </c>
      <c r="L57" s="5" t="s">
        <v>64</v>
      </c>
      <c r="M57" s="5" t="s">
        <v>54</v>
      </c>
      <c r="N57" s="5" t="s">
        <v>55</v>
      </c>
      <c r="O57" s="5" t="s">
        <v>60</v>
      </c>
      <c r="P57" s="5" t="s">
        <v>65</v>
      </c>
      <c r="Q57" s="1">
        <v>7</v>
      </c>
      <c r="R57" s="1">
        <v>90</v>
      </c>
      <c r="S57" s="1">
        <v>52</v>
      </c>
      <c r="X57">
        <f t="shared" si="10"/>
        <v>55</v>
      </c>
      <c r="Y57">
        <f t="shared" si="5"/>
        <v>4</v>
      </c>
    </row>
    <row r="58" spans="1:25" x14ac:dyDescent="0.3">
      <c r="A58" s="46">
        <v>43</v>
      </c>
      <c r="B58" s="4"/>
      <c r="C58" s="6" t="s">
        <v>142</v>
      </c>
      <c r="D58" s="5"/>
      <c r="E58" s="5" t="s">
        <v>210</v>
      </c>
      <c r="F58" s="5" t="s">
        <v>50</v>
      </c>
      <c r="G58" s="5" t="s">
        <v>62</v>
      </c>
      <c r="H58" s="5" t="s">
        <v>63</v>
      </c>
      <c r="I58" s="5" t="s">
        <v>208</v>
      </c>
      <c r="J58" s="5" t="s">
        <v>59</v>
      </c>
      <c r="K58" s="5" t="s">
        <v>70</v>
      </c>
      <c r="L58" s="5" t="s">
        <v>66</v>
      </c>
      <c r="M58" s="5" t="s">
        <v>54</v>
      </c>
      <c r="N58" s="5" t="s">
        <v>47</v>
      </c>
      <c r="O58" s="5" t="s">
        <v>209</v>
      </c>
      <c r="P58" s="5" t="s">
        <v>65</v>
      </c>
      <c r="Q58" s="1">
        <v>7</v>
      </c>
      <c r="R58" s="1">
        <v>90</v>
      </c>
      <c r="S58" s="1">
        <v>51</v>
      </c>
      <c r="X58">
        <f t="shared" si="10"/>
        <v>56</v>
      </c>
      <c r="Y58">
        <f t="shared" si="5"/>
        <v>1</v>
      </c>
    </row>
    <row r="59" spans="1:25" ht="28.8" x14ac:dyDescent="0.3">
      <c r="A59" s="46">
        <v>44</v>
      </c>
      <c r="B59" s="4"/>
      <c r="C59" s="6" t="s">
        <v>117</v>
      </c>
      <c r="D59" s="5"/>
      <c r="E59" s="5" t="s">
        <v>68</v>
      </c>
      <c r="F59" s="5" t="s">
        <v>207</v>
      </c>
      <c r="G59" s="5" t="s">
        <v>57</v>
      </c>
      <c r="H59" s="5" t="s">
        <v>71</v>
      </c>
      <c r="I59" s="5" t="s">
        <v>56</v>
      </c>
      <c r="J59" s="5" t="s">
        <v>59</v>
      </c>
      <c r="K59" s="5" t="s">
        <v>53</v>
      </c>
      <c r="L59" s="5" t="s">
        <v>64</v>
      </c>
      <c r="M59" s="5" t="s">
        <v>54</v>
      </c>
      <c r="N59" s="5" t="s">
        <v>47</v>
      </c>
      <c r="O59" s="5" t="s">
        <v>209</v>
      </c>
      <c r="P59" s="5" t="s">
        <v>52</v>
      </c>
      <c r="Q59" s="1">
        <v>7</v>
      </c>
      <c r="R59" s="1">
        <v>96</v>
      </c>
      <c r="S59" s="1">
        <v>51</v>
      </c>
      <c r="X59">
        <f t="shared" si="10"/>
        <v>57</v>
      </c>
      <c r="Y59">
        <f t="shared" si="5"/>
        <v>0</v>
      </c>
    </row>
    <row r="60" spans="1:25" x14ac:dyDescent="0.3">
      <c r="A60" s="46">
        <v>45</v>
      </c>
      <c r="B60" s="4"/>
      <c r="C60" s="6" t="s">
        <v>144</v>
      </c>
      <c r="D60" s="5"/>
      <c r="E60" s="5" t="s">
        <v>210</v>
      </c>
      <c r="F60" s="5" t="s">
        <v>50</v>
      </c>
      <c r="G60" s="5" t="s">
        <v>57</v>
      </c>
      <c r="H60" s="5" t="s">
        <v>63</v>
      </c>
      <c r="I60" s="5" t="s">
        <v>208</v>
      </c>
      <c r="J60" s="5" t="s">
        <v>59</v>
      </c>
      <c r="K60" s="5" t="s">
        <v>70</v>
      </c>
      <c r="L60" s="5" t="s">
        <v>66</v>
      </c>
      <c r="M60" s="5" t="s">
        <v>54</v>
      </c>
      <c r="N60" s="5" t="s">
        <v>47</v>
      </c>
      <c r="O60" s="5" t="s">
        <v>209</v>
      </c>
      <c r="P60" s="5" t="s">
        <v>52</v>
      </c>
      <c r="Q60" s="1">
        <v>7</v>
      </c>
      <c r="R60" s="1">
        <v>87</v>
      </c>
      <c r="S60" s="1">
        <v>48</v>
      </c>
      <c r="X60">
        <f t="shared" si="10"/>
        <v>58</v>
      </c>
      <c r="Y60">
        <f t="shared" si="5"/>
        <v>1</v>
      </c>
    </row>
    <row r="61" spans="1:25" x14ac:dyDescent="0.3">
      <c r="A61" s="46">
        <v>46</v>
      </c>
      <c r="B61" s="4"/>
      <c r="C61" s="6" t="s">
        <v>85</v>
      </c>
      <c r="D61" s="5"/>
      <c r="E61" s="5" t="s">
        <v>68</v>
      </c>
      <c r="F61" s="5" t="s">
        <v>50</v>
      </c>
      <c r="G61" s="5" t="s">
        <v>62</v>
      </c>
      <c r="H61" s="5" t="s">
        <v>63</v>
      </c>
      <c r="I61" s="5" t="s">
        <v>56</v>
      </c>
      <c r="J61" s="5" t="s">
        <v>59</v>
      </c>
      <c r="K61" s="5" t="s">
        <v>53</v>
      </c>
      <c r="L61" s="5" t="s">
        <v>64</v>
      </c>
      <c r="M61" s="5" t="s">
        <v>54</v>
      </c>
      <c r="N61" s="5" t="s">
        <v>55</v>
      </c>
      <c r="O61" s="5" t="s">
        <v>209</v>
      </c>
      <c r="P61" s="5" t="s">
        <v>52</v>
      </c>
      <c r="Q61" s="1">
        <v>7</v>
      </c>
      <c r="R61" s="1">
        <v>89</v>
      </c>
      <c r="S61" s="1">
        <v>48</v>
      </c>
      <c r="X61">
        <f t="shared" si="10"/>
        <v>59</v>
      </c>
      <c r="Y61">
        <f t="shared" si="5"/>
        <v>0</v>
      </c>
    </row>
    <row r="62" spans="1:25" ht="28.8" x14ac:dyDescent="0.3">
      <c r="A62" s="46">
        <v>47</v>
      </c>
      <c r="B62" s="4"/>
      <c r="C62" s="6" t="s">
        <v>167</v>
      </c>
      <c r="D62" s="5"/>
      <c r="E62" s="5" t="s">
        <v>68</v>
      </c>
      <c r="F62" s="5" t="s">
        <v>50</v>
      </c>
      <c r="G62" s="5" t="s">
        <v>57</v>
      </c>
      <c r="H62" s="5" t="s">
        <v>63</v>
      </c>
      <c r="I62" s="5" t="s">
        <v>208</v>
      </c>
      <c r="J62" s="5" t="s">
        <v>59</v>
      </c>
      <c r="K62" s="5" t="s">
        <v>53</v>
      </c>
      <c r="L62" s="5" t="s">
        <v>64</v>
      </c>
      <c r="M62" s="5" t="s">
        <v>48</v>
      </c>
      <c r="N62" s="5" t="s">
        <v>47</v>
      </c>
      <c r="O62" s="5" t="s">
        <v>209</v>
      </c>
      <c r="P62" s="5" t="s">
        <v>52</v>
      </c>
      <c r="Q62" s="1">
        <v>7</v>
      </c>
      <c r="R62" s="1">
        <v>78</v>
      </c>
      <c r="S62" s="1">
        <v>47</v>
      </c>
      <c r="X62">
        <f t="shared" si="10"/>
        <v>60</v>
      </c>
      <c r="Y62">
        <f t="shared" si="5"/>
        <v>0</v>
      </c>
    </row>
    <row r="63" spans="1:25" ht="28.8" x14ac:dyDescent="0.3">
      <c r="A63" s="46">
        <v>48</v>
      </c>
      <c r="B63" s="4"/>
      <c r="C63" s="6" t="s">
        <v>9</v>
      </c>
      <c r="D63" s="5"/>
      <c r="E63" s="5" t="s">
        <v>210</v>
      </c>
      <c r="F63" s="5" t="s">
        <v>207</v>
      </c>
      <c r="G63" s="5" t="s">
        <v>57</v>
      </c>
      <c r="H63" s="5" t="s">
        <v>71</v>
      </c>
      <c r="I63" s="5" t="s">
        <v>208</v>
      </c>
      <c r="J63" s="5" t="s">
        <v>59</v>
      </c>
      <c r="K63" s="5" t="s">
        <v>53</v>
      </c>
      <c r="L63" s="5" t="s">
        <v>64</v>
      </c>
      <c r="M63" s="5" t="s">
        <v>48</v>
      </c>
      <c r="N63" s="5" t="s">
        <v>47</v>
      </c>
      <c r="O63" s="5" t="s">
        <v>60</v>
      </c>
      <c r="P63" s="5" t="s">
        <v>52</v>
      </c>
      <c r="Q63" s="1">
        <v>7</v>
      </c>
      <c r="R63" s="1">
        <v>94</v>
      </c>
      <c r="S63" s="1">
        <v>47</v>
      </c>
      <c r="X63">
        <f t="shared" si="10"/>
        <v>61</v>
      </c>
      <c r="Y63">
        <f t="shared" si="5"/>
        <v>0</v>
      </c>
    </row>
    <row r="64" spans="1:25" ht="28.8" x14ac:dyDescent="0.3">
      <c r="A64" s="46">
        <v>49</v>
      </c>
      <c r="B64" s="4"/>
      <c r="C64" s="6" t="s">
        <v>10</v>
      </c>
      <c r="D64" s="5"/>
      <c r="E64" s="5" t="s">
        <v>210</v>
      </c>
      <c r="F64" s="5" t="s">
        <v>50</v>
      </c>
      <c r="G64" s="5" t="s">
        <v>62</v>
      </c>
      <c r="H64" s="5" t="s">
        <v>63</v>
      </c>
      <c r="I64" s="5" t="s">
        <v>208</v>
      </c>
      <c r="J64" s="5" t="s">
        <v>59</v>
      </c>
      <c r="K64" s="5" t="s">
        <v>70</v>
      </c>
      <c r="L64" s="5" t="s">
        <v>66</v>
      </c>
      <c r="M64" s="5" t="s">
        <v>54</v>
      </c>
      <c r="N64" s="5" t="s">
        <v>55</v>
      </c>
      <c r="O64" s="5" t="s">
        <v>209</v>
      </c>
      <c r="P64" s="5" t="s">
        <v>52</v>
      </c>
      <c r="Q64" s="1">
        <v>7</v>
      </c>
      <c r="R64" s="1">
        <v>86</v>
      </c>
      <c r="S64" s="1">
        <v>47</v>
      </c>
      <c r="X64">
        <f t="shared" si="10"/>
        <v>62</v>
      </c>
      <c r="Y64">
        <f t="shared" si="5"/>
        <v>0</v>
      </c>
    </row>
    <row r="65" spans="1:25" x14ac:dyDescent="0.3">
      <c r="A65" s="46">
        <v>50</v>
      </c>
      <c r="B65" s="4"/>
      <c r="C65" s="6" t="s">
        <v>42</v>
      </c>
      <c r="D65" s="5"/>
      <c r="E65" s="5" t="s">
        <v>210</v>
      </c>
      <c r="F65" s="5" t="s">
        <v>207</v>
      </c>
      <c r="G65" s="5" t="s">
        <v>57</v>
      </c>
      <c r="H65" s="5" t="s">
        <v>71</v>
      </c>
      <c r="I65" s="5" t="s">
        <v>208</v>
      </c>
      <c r="J65" s="5" t="s">
        <v>59</v>
      </c>
      <c r="K65" s="5" t="s">
        <v>53</v>
      </c>
      <c r="L65" s="5" t="s">
        <v>64</v>
      </c>
      <c r="M65" s="5" t="s">
        <v>54</v>
      </c>
      <c r="N65" s="5" t="s">
        <v>47</v>
      </c>
      <c r="O65" s="5" t="s">
        <v>60</v>
      </c>
      <c r="P65" s="5" t="s">
        <v>65</v>
      </c>
      <c r="Q65" s="1">
        <v>7</v>
      </c>
      <c r="R65" s="1">
        <v>86</v>
      </c>
      <c r="S65" s="1">
        <v>47</v>
      </c>
      <c r="X65">
        <f t="shared" si="10"/>
        <v>63</v>
      </c>
      <c r="Y65">
        <f t="shared" si="5"/>
        <v>1</v>
      </c>
    </row>
    <row r="66" spans="1:25" ht="28.8" x14ac:dyDescent="0.3">
      <c r="A66" s="46">
        <v>51</v>
      </c>
      <c r="B66" s="4"/>
      <c r="C66" s="6" t="s">
        <v>27</v>
      </c>
      <c r="D66" s="5"/>
      <c r="E66" s="5" t="s">
        <v>210</v>
      </c>
      <c r="F66" s="5" t="s">
        <v>207</v>
      </c>
      <c r="G66" s="5" t="s">
        <v>57</v>
      </c>
      <c r="H66" s="5" t="s">
        <v>71</v>
      </c>
      <c r="I66" s="5" t="s">
        <v>208</v>
      </c>
      <c r="J66" s="5" t="s">
        <v>59</v>
      </c>
      <c r="K66" s="5" t="s">
        <v>53</v>
      </c>
      <c r="L66" s="5" t="s">
        <v>64</v>
      </c>
      <c r="M66" s="5" t="s">
        <v>48</v>
      </c>
      <c r="N66" s="5" t="s">
        <v>47</v>
      </c>
      <c r="O66" s="5" t="s">
        <v>60</v>
      </c>
      <c r="P66" s="5" t="s">
        <v>52</v>
      </c>
      <c r="Q66" s="1">
        <v>7</v>
      </c>
      <c r="R66" s="1">
        <v>98</v>
      </c>
      <c r="S66" s="1">
        <v>45</v>
      </c>
      <c r="X66">
        <f t="shared" si="10"/>
        <v>64</v>
      </c>
      <c r="Y66">
        <f t="shared" si="5"/>
        <v>0</v>
      </c>
    </row>
    <row r="67" spans="1:25" ht="28.8" x14ac:dyDescent="0.3">
      <c r="A67" s="46">
        <v>52</v>
      </c>
      <c r="B67" s="4"/>
      <c r="C67" s="6" t="s">
        <v>17</v>
      </c>
      <c r="D67" s="5"/>
      <c r="E67" s="5" t="s">
        <v>210</v>
      </c>
      <c r="F67" s="5" t="s">
        <v>207</v>
      </c>
      <c r="G67" s="5" t="s">
        <v>62</v>
      </c>
      <c r="H67" s="5" t="s">
        <v>71</v>
      </c>
      <c r="I67" s="5" t="s">
        <v>56</v>
      </c>
      <c r="J67" s="5" t="s">
        <v>59</v>
      </c>
      <c r="K67" s="5" t="s">
        <v>70</v>
      </c>
      <c r="L67" s="5" t="s">
        <v>66</v>
      </c>
      <c r="M67" s="5" t="s">
        <v>48</v>
      </c>
      <c r="N67" s="5" t="s">
        <v>47</v>
      </c>
      <c r="O67" s="5" t="s">
        <v>60</v>
      </c>
      <c r="P67" s="5" t="s">
        <v>52</v>
      </c>
      <c r="Q67" s="1">
        <v>7</v>
      </c>
      <c r="R67" s="1">
        <v>90</v>
      </c>
      <c r="S67" s="1">
        <v>45</v>
      </c>
      <c r="X67">
        <f t="shared" si="10"/>
        <v>65</v>
      </c>
      <c r="Y67">
        <f t="shared" ref="Y67:Y120" si="11">COUNTIF(S$16:S$179,X67)</f>
        <v>0</v>
      </c>
    </row>
    <row r="68" spans="1:25" x14ac:dyDescent="0.3">
      <c r="A68" s="46">
        <v>53</v>
      </c>
      <c r="B68" s="4"/>
      <c r="C68" s="6" t="s">
        <v>88</v>
      </c>
      <c r="D68" s="5"/>
      <c r="E68" s="5" t="s">
        <v>210</v>
      </c>
      <c r="F68" s="5" t="s">
        <v>207</v>
      </c>
      <c r="G68" s="5" t="s">
        <v>57</v>
      </c>
      <c r="H68" s="5" t="s">
        <v>71</v>
      </c>
      <c r="I68" s="5" t="s">
        <v>56</v>
      </c>
      <c r="J68" s="5" t="s">
        <v>59</v>
      </c>
      <c r="K68" s="5" t="s">
        <v>53</v>
      </c>
      <c r="L68" s="5" t="s">
        <v>64</v>
      </c>
      <c r="M68" s="5" t="s">
        <v>54</v>
      </c>
      <c r="N68" s="5" t="s">
        <v>47</v>
      </c>
      <c r="O68" s="5" t="s">
        <v>60</v>
      </c>
      <c r="P68" s="5" t="s">
        <v>52</v>
      </c>
      <c r="Q68" s="1">
        <v>7</v>
      </c>
      <c r="R68" s="1">
        <v>92</v>
      </c>
      <c r="S68" s="1">
        <v>45</v>
      </c>
      <c r="X68">
        <f t="shared" si="10"/>
        <v>66</v>
      </c>
      <c r="Y68">
        <f t="shared" si="11"/>
        <v>1</v>
      </c>
    </row>
    <row r="69" spans="1:25" x14ac:dyDescent="0.3">
      <c r="A69" s="46">
        <v>54</v>
      </c>
      <c r="B69" s="4"/>
      <c r="C69" s="6" t="s">
        <v>181</v>
      </c>
      <c r="D69" s="5"/>
      <c r="E69" s="5" t="s">
        <v>210</v>
      </c>
      <c r="F69" s="5" t="s">
        <v>207</v>
      </c>
      <c r="G69" s="5" t="s">
        <v>57</v>
      </c>
      <c r="H69" s="5" t="s">
        <v>71</v>
      </c>
      <c r="I69" s="5" t="s">
        <v>208</v>
      </c>
      <c r="J69" s="5" t="s">
        <v>59</v>
      </c>
      <c r="K69" s="5" t="s">
        <v>53</v>
      </c>
      <c r="L69" s="5" t="s">
        <v>64</v>
      </c>
      <c r="M69" s="5" t="s">
        <v>54</v>
      </c>
      <c r="N69" s="5" t="s">
        <v>55</v>
      </c>
      <c r="O69" s="5" t="s">
        <v>60</v>
      </c>
      <c r="P69" s="5" t="s">
        <v>52</v>
      </c>
      <c r="Q69" s="1">
        <v>7</v>
      </c>
      <c r="R69" s="1">
        <v>86</v>
      </c>
      <c r="S69" s="1">
        <v>45</v>
      </c>
      <c r="X69">
        <f t="shared" si="10"/>
        <v>67</v>
      </c>
      <c r="Y69">
        <f t="shared" si="11"/>
        <v>0</v>
      </c>
    </row>
    <row r="70" spans="1:25" ht="28.8" x14ac:dyDescent="0.3">
      <c r="A70" s="46">
        <v>55</v>
      </c>
      <c r="B70" s="4"/>
      <c r="C70" s="6" t="s">
        <v>177</v>
      </c>
      <c r="D70" s="5"/>
      <c r="E70" s="5" t="s">
        <v>210</v>
      </c>
      <c r="F70" s="5" t="s">
        <v>207</v>
      </c>
      <c r="G70" s="5" t="s">
        <v>57</v>
      </c>
      <c r="H70" s="5" t="s">
        <v>71</v>
      </c>
      <c r="I70" s="5" t="s">
        <v>208</v>
      </c>
      <c r="J70" s="5" t="s">
        <v>59</v>
      </c>
      <c r="K70" s="5" t="s">
        <v>53</v>
      </c>
      <c r="L70" s="5" t="s">
        <v>64</v>
      </c>
      <c r="M70" s="5" t="s">
        <v>54</v>
      </c>
      <c r="N70" s="5" t="s">
        <v>47</v>
      </c>
      <c r="O70" s="5" t="s">
        <v>209</v>
      </c>
      <c r="P70" s="5" t="s">
        <v>52</v>
      </c>
      <c r="Q70" s="1">
        <v>7</v>
      </c>
      <c r="R70" s="1">
        <v>92</v>
      </c>
      <c r="S70" s="1">
        <v>45</v>
      </c>
      <c r="X70">
        <f t="shared" si="10"/>
        <v>68</v>
      </c>
      <c r="Y70">
        <f t="shared" si="11"/>
        <v>0</v>
      </c>
    </row>
    <row r="71" spans="1:25" ht="28.8" x14ac:dyDescent="0.3">
      <c r="A71" s="46">
        <v>56</v>
      </c>
      <c r="B71" s="4"/>
      <c r="C71" s="6" t="s">
        <v>80</v>
      </c>
      <c r="D71" s="5"/>
      <c r="E71" s="5" t="s">
        <v>210</v>
      </c>
      <c r="F71" s="5" t="s">
        <v>50</v>
      </c>
      <c r="G71" s="5" t="s">
        <v>57</v>
      </c>
      <c r="H71" s="5" t="s">
        <v>71</v>
      </c>
      <c r="I71" s="5" t="s">
        <v>56</v>
      </c>
      <c r="J71" s="5" t="s">
        <v>72</v>
      </c>
      <c r="K71" s="5" t="s">
        <v>70</v>
      </c>
      <c r="L71" s="5" t="s">
        <v>64</v>
      </c>
      <c r="M71" s="5" t="s">
        <v>54</v>
      </c>
      <c r="N71" s="5" t="s">
        <v>55</v>
      </c>
      <c r="O71" s="5" t="s">
        <v>60</v>
      </c>
      <c r="P71" s="5" t="s">
        <v>52</v>
      </c>
      <c r="Q71" s="1">
        <v>7</v>
      </c>
      <c r="R71" s="1">
        <v>87</v>
      </c>
      <c r="S71" s="1">
        <v>45</v>
      </c>
      <c r="X71">
        <f t="shared" ref="X71:X120" si="12">X70+1</f>
        <v>69</v>
      </c>
      <c r="Y71">
        <f t="shared" si="11"/>
        <v>0</v>
      </c>
    </row>
    <row r="72" spans="1:25" ht="28.8" x14ac:dyDescent="0.3">
      <c r="A72" s="46">
        <v>57</v>
      </c>
      <c r="B72" s="4"/>
      <c r="C72" s="6" t="s">
        <v>163</v>
      </c>
      <c r="D72" s="5"/>
      <c r="E72" s="5" t="s">
        <v>68</v>
      </c>
      <c r="F72" s="5" t="s">
        <v>207</v>
      </c>
      <c r="G72" s="5" t="s">
        <v>57</v>
      </c>
      <c r="H72" s="5" t="s">
        <v>63</v>
      </c>
      <c r="I72" s="5" t="s">
        <v>208</v>
      </c>
      <c r="J72" s="5" t="s">
        <v>59</v>
      </c>
      <c r="K72" s="5" t="s">
        <v>70</v>
      </c>
      <c r="L72" s="5" t="s">
        <v>64</v>
      </c>
      <c r="M72" s="5" t="s">
        <v>54</v>
      </c>
      <c r="N72" s="5" t="s">
        <v>55</v>
      </c>
      <c r="O72" s="5" t="s">
        <v>60</v>
      </c>
      <c r="P72" s="5" t="s">
        <v>65</v>
      </c>
      <c r="Q72" s="1">
        <v>7</v>
      </c>
      <c r="R72" s="1">
        <v>92</v>
      </c>
      <c r="S72" s="1">
        <v>44</v>
      </c>
      <c r="X72">
        <f t="shared" si="12"/>
        <v>70</v>
      </c>
      <c r="Y72">
        <f t="shared" si="11"/>
        <v>0</v>
      </c>
    </row>
    <row r="73" spans="1:25" x14ac:dyDescent="0.3">
      <c r="A73" s="46">
        <v>58</v>
      </c>
      <c r="B73" s="4"/>
      <c r="C73" s="6" t="s">
        <v>129</v>
      </c>
      <c r="D73" s="5"/>
      <c r="E73" s="5" t="s">
        <v>210</v>
      </c>
      <c r="F73" s="5" t="s">
        <v>50</v>
      </c>
      <c r="G73" s="5" t="s">
        <v>57</v>
      </c>
      <c r="H73" s="5" t="s">
        <v>71</v>
      </c>
      <c r="I73" s="5" t="s">
        <v>208</v>
      </c>
      <c r="J73" s="5" t="s">
        <v>59</v>
      </c>
      <c r="K73" s="5" t="s">
        <v>53</v>
      </c>
      <c r="L73" s="5" t="s">
        <v>64</v>
      </c>
      <c r="M73" s="5" t="s">
        <v>54</v>
      </c>
      <c r="N73" s="5" t="s">
        <v>55</v>
      </c>
      <c r="O73" s="5" t="s">
        <v>209</v>
      </c>
      <c r="P73" s="5" t="s">
        <v>52</v>
      </c>
      <c r="Q73" s="1">
        <v>7</v>
      </c>
      <c r="R73" s="1">
        <v>93</v>
      </c>
      <c r="S73" s="1">
        <v>63</v>
      </c>
      <c r="X73">
        <f t="shared" si="12"/>
        <v>71</v>
      </c>
      <c r="Y73">
        <f t="shared" si="11"/>
        <v>0</v>
      </c>
    </row>
    <row r="74" spans="1:25" x14ac:dyDescent="0.3">
      <c r="A74" s="46">
        <v>59</v>
      </c>
      <c r="B74" s="4"/>
      <c r="C74" s="6" t="s">
        <v>157</v>
      </c>
      <c r="D74" s="5"/>
      <c r="E74" s="5" t="s">
        <v>68</v>
      </c>
      <c r="F74" s="5" t="s">
        <v>207</v>
      </c>
      <c r="G74" s="5" t="s">
        <v>57</v>
      </c>
      <c r="H74" s="5" t="s">
        <v>71</v>
      </c>
      <c r="I74" s="5" t="s">
        <v>208</v>
      </c>
      <c r="J74" s="5" t="s">
        <v>59</v>
      </c>
      <c r="K74" s="5" t="s">
        <v>53</v>
      </c>
      <c r="L74" s="5" t="s">
        <v>66</v>
      </c>
      <c r="M74" s="5" t="s">
        <v>48</v>
      </c>
      <c r="N74" s="5" t="s">
        <v>47</v>
      </c>
      <c r="O74" s="5" t="s">
        <v>60</v>
      </c>
      <c r="P74" s="5" t="s">
        <v>52</v>
      </c>
      <c r="Q74" s="1">
        <v>7</v>
      </c>
      <c r="R74" s="1">
        <v>79</v>
      </c>
      <c r="S74" s="1">
        <v>42</v>
      </c>
      <c r="X74">
        <f t="shared" si="12"/>
        <v>72</v>
      </c>
      <c r="Y74">
        <f t="shared" si="11"/>
        <v>0</v>
      </c>
    </row>
    <row r="75" spans="1:25" ht="28.8" x14ac:dyDescent="0.3">
      <c r="A75" s="46">
        <v>60</v>
      </c>
      <c r="B75" s="4"/>
      <c r="C75" s="6" t="s">
        <v>193</v>
      </c>
      <c r="D75" s="5"/>
      <c r="E75" s="5" t="s">
        <v>210</v>
      </c>
      <c r="F75" s="5" t="s">
        <v>207</v>
      </c>
      <c r="G75" s="5" t="s">
        <v>57</v>
      </c>
      <c r="H75" s="5" t="s">
        <v>71</v>
      </c>
      <c r="I75" s="5" t="s">
        <v>208</v>
      </c>
      <c r="J75" s="5" t="s">
        <v>59</v>
      </c>
      <c r="K75" s="5" t="s">
        <v>53</v>
      </c>
      <c r="L75" s="5" t="s">
        <v>64</v>
      </c>
      <c r="M75" s="5" t="s">
        <v>54</v>
      </c>
      <c r="N75" s="5" t="s">
        <v>47</v>
      </c>
      <c r="O75" s="5" t="s">
        <v>60</v>
      </c>
      <c r="P75" s="5" t="s">
        <v>65</v>
      </c>
      <c r="Q75" s="1">
        <v>7</v>
      </c>
      <c r="R75" s="1">
        <v>82</v>
      </c>
      <c r="S75" s="1">
        <v>42</v>
      </c>
      <c r="X75">
        <f t="shared" si="12"/>
        <v>73</v>
      </c>
      <c r="Y75">
        <f t="shared" si="11"/>
        <v>0</v>
      </c>
    </row>
    <row r="76" spans="1:25" ht="28.8" x14ac:dyDescent="0.3">
      <c r="A76" s="46">
        <v>61</v>
      </c>
      <c r="B76" s="4"/>
      <c r="C76" s="6" t="s">
        <v>34</v>
      </c>
      <c r="D76" s="5"/>
      <c r="E76" s="5" t="s">
        <v>210</v>
      </c>
      <c r="F76" s="5" t="s">
        <v>207</v>
      </c>
      <c r="G76" s="5" t="s">
        <v>57</v>
      </c>
      <c r="H76" s="5" t="s">
        <v>71</v>
      </c>
      <c r="I76" s="5" t="s">
        <v>208</v>
      </c>
      <c r="J76" s="5" t="s">
        <v>59</v>
      </c>
      <c r="K76" s="5" t="s">
        <v>53</v>
      </c>
      <c r="L76" s="5" t="s">
        <v>64</v>
      </c>
      <c r="M76" s="5" t="s">
        <v>54</v>
      </c>
      <c r="N76" s="5" t="s">
        <v>47</v>
      </c>
      <c r="O76" s="5" t="s">
        <v>60</v>
      </c>
      <c r="P76" s="5" t="s">
        <v>65</v>
      </c>
      <c r="Q76" s="1">
        <v>7</v>
      </c>
      <c r="R76" s="1">
        <v>81</v>
      </c>
      <c r="S76" s="1">
        <v>41</v>
      </c>
      <c r="X76">
        <f t="shared" si="12"/>
        <v>74</v>
      </c>
      <c r="Y76">
        <f t="shared" si="11"/>
        <v>0</v>
      </c>
    </row>
    <row r="77" spans="1:25" x14ac:dyDescent="0.3">
      <c r="A77" s="46">
        <v>62</v>
      </c>
      <c r="B77" s="4"/>
      <c r="C77" s="6" t="s">
        <v>127</v>
      </c>
      <c r="D77" s="5"/>
      <c r="E77" s="5" t="s">
        <v>68</v>
      </c>
      <c r="F77" s="5" t="s">
        <v>50</v>
      </c>
      <c r="G77" s="5" t="s">
        <v>57</v>
      </c>
      <c r="H77" s="5" t="s">
        <v>71</v>
      </c>
      <c r="I77" s="5" t="s">
        <v>56</v>
      </c>
      <c r="J77" s="5" t="s">
        <v>59</v>
      </c>
      <c r="K77" s="5" t="s">
        <v>70</v>
      </c>
      <c r="L77" s="5" t="s">
        <v>64</v>
      </c>
      <c r="M77" s="5" t="s">
        <v>54</v>
      </c>
      <c r="N77" s="5" t="s">
        <v>55</v>
      </c>
      <c r="O77" s="5" t="s">
        <v>209</v>
      </c>
      <c r="P77" s="5" t="s">
        <v>65</v>
      </c>
      <c r="Q77" s="1">
        <v>7</v>
      </c>
      <c r="R77" s="1">
        <v>84</v>
      </c>
      <c r="S77" s="1">
        <v>41</v>
      </c>
      <c r="X77">
        <f t="shared" si="12"/>
        <v>75</v>
      </c>
      <c r="Y77">
        <f t="shared" si="11"/>
        <v>0</v>
      </c>
    </row>
    <row r="78" spans="1:25" ht="28.8" x14ac:dyDescent="0.3">
      <c r="A78" s="46">
        <v>63</v>
      </c>
      <c r="B78" s="4"/>
      <c r="C78" s="6" t="s">
        <v>192</v>
      </c>
      <c r="D78" s="5"/>
      <c r="E78" s="5" t="s">
        <v>68</v>
      </c>
      <c r="F78" s="5" t="s">
        <v>207</v>
      </c>
      <c r="G78" s="5" t="s">
        <v>57</v>
      </c>
      <c r="H78" s="5" t="s">
        <v>63</v>
      </c>
      <c r="I78" s="5" t="s">
        <v>208</v>
      </c>
      <c r="J78" s="5" t="s">
        <v>59</v>
      </c>
      <c r="K78" s="5" t="s">
        <v>70</v>
      </c>
      <c r="L78" s="5" t="s">
        <v>66</v>
      </c>
      <c r="M78" s="5" t="s">
        <v>54</v>
      </c>
      <c r="N78" s="5" t="s">
        <v>47</v>
      </c>
      <c r="O78" s="5" t="s">
        <v>60</v>
      </c>
      <c r="P78" s="5" t="s">
        <v>65</v>
      </c>
      <c r="Q78" s="1">
        <v>7</v>
      </c>
      <c r="R78" s="1">
        <v>92</v>
      </c>
      <c r="S78" s="1">
        <v>40</v>
      </c>
      <c r="X78">
        <f t="shared" si="12"/>
        <v>76</v>
      </c>
      <c r="Y78">
        <f t="shared" si="11"/>
        <v>0</v>
      </c>
    </row>
    <row r="79" spans="1:25" x14ac:dyDescent="0.3">
      <c r="A79" s="46">
        <v>64</v>
      </c>
      <c r="B79" s="4"/>
      <c r="C79" s="6" t="s">
        <v>94</v>
      </c>
      <c r="D79" s="5"/>
      <c r="E79" s="5" t="s">
        <v>210</v>
      </c>
      <c r="F79" s="5" t="s">
        <v>207</v>
      </c>
      <c r="G79" s="5" t="s">
        <v>62</v>
      </c>
      <c r="H79" s="5" t="s">
        <v>63</v>
      </c>
      <c r="I79" s="5" t="s">
        <v>208</v>
      </c>
      <c r="J79" s="5" t="s">
        <v>59</v>
      </c>
      <c r="K79" s="5" t="s">
        <v>53</v>
      </c>
      <c r="L79" s="5" t="s">
        <v>64</v>
      </c>
      <c r="M79" s="5" t="s">
        <v>54</v>
      </c>
      <c r="N79" s="5" t="s">
        <v>47</v>
      </c>
      <c r="O79" s="5" t="s">
        <v>60</v>
      </c>
      <c r="P79" s="5" t="s">
        <v>65</v>
      </c>
      <c r="Q79" s="1">
        <v>7</v>
      </c>
      <c r="R79" s="1">
        <v>97</v>
      </c>
      <c r="S79" s="1">
        <v>40</v>
      </c>
      <c r="X79">
        <f t="shared" si="12"/>
        <v>77</v>
      </c>
      <c r="Y79">
        <f t="shared" si="11"/>
        <v>0</v>
      </c>
    </row>
    <row r="80" spans="1:25" x14ac:dyDescent="0.3">
      <c r="A80" s="46">
        <v>65</v>
      </c>
      <c r="B80" s="4"/>
      <c r="C80" s="6" t="s">
        <v>23</v>
      </c>
      <c r="D80" s="5"/>
      <c r="E80" s="5" t="s">
        <v>210</v>
      </c>
      <c r="F80" s="5" t="s">
        <v>50</v>
      </c>
      <c r="G80" s="5" t="s">
        <v>57</v>
      </c>
      <c r="H80" s="5" t="s">
        <v>71</v>
      </c>
      <c r="I80" s="5" t="s">
        <v>208</v>
      </c>
      <c r="J80" s="5" t="s">
        <v>59</v>
      </c>
      <c r="K80" s="5" t="s">
        <v>53</v>
      </c>
      <c r="L80" s="5" t="s">
        <v>64</v>
      </c>
      <c r="M80" s="5" t="s">
        <v>48</v>
      </c>
      <c r="N80" s="5" t="s">
        <v>55</v>
      </c>
      <c r="O80" s="5" t="s">
        <v>60</v>
      </c>
      <c r="P80" s="5" t="s">
        <v>52</v>
      </c>
      <c r="Q80" s="1">
        <v>7</v>
      </c>
      <c r="R80" s="1">
        <v>87</v>
      </c>
      <c r="S80" s="1">
        <v>40</v>
      </c>
      <c r="X80">
        <f t="shared" si="12"/>
        <v>78</v>
      </c>
      <c r="Y80">
        <f t="shared" si="11"/>
        <v>0</v>
      </c>
    </row>
    <row r="81" spans="1:25" x14ac:dyDescent="0.3">
      <c r="A81" s="46">
        <v>66</v>
      </c>
      <c r="B81" s="4"/>
      <c r="C81" s="6" t="s">
        <v>130</v>
      </c>
      <c r="D81" s="5"/>
      <c r="E81" s="5" t="s">
        <v>68</v>
      </c>
      <c r="F81" s="5" t="s">
        <v>50</v>
      </c>
      <c r="G81" s="5" t="s">
        <v>62</v>
      </c>
      <c r="H81" s="5" t="s">
        <v>63</v>
      </c>
      <c r="I81" s="5" t="s">
        <v>208</v>
      </c>
      <c r="J81" s="5" t="s">
        <v>59</v>
      </c>
      <c r="K81" s="5" t="s">
        <v>70</v>
      </c>
      <c r="L81" s="5" t="s">
        <v>64</v>
      </c>
      <c r="M81" s="5" t="s">
        <v>48</v>
      </c>
      <c r="N81" s="5" t="s">
        <v>55</v>
      </c>
      <c r="O81" s="5" t="s">
        <v>209</v>
      </c>
      <c r="P81" s="5" t="s">
        <v>65</v>
      </c>
      <c r="Q81" s="1">
        <v>7</v>
      </c>
      <c r="R81" s="1">
        <v>84</v>
      </c>
      <c r="S81" s="1">
        <v>39</v>
      </c>
      <c r="X81">
        <f t="shared" si="12"/>
        <v>79</v>
      </c>
      <c r="Y81">
        <f t="shared" si="11"/>
        <v>0</v>
      </c>
    </row>
    <row r="82" spans="1:25" ht="28.8" x14ac:dyDescent="0.3">
      <c r="A82" s="46">
        <v>67</v>
      </c>
      <c r="B82" s="4"/>
      <c r="C82" s="6" t="s">
        <v>162</v>
      </c>
      <c r="D82" s="5"/>
      <c r="E82" s="5" t="s">
        <v>210</v>
      </c>
      <c r="F82" s="5" t="s">
        <v>50</v>
      </c>
      <c r="G82" s="5" t="s">
        <v>62</v>
      </c>
      <c r="H82" s="5" t="s">
        <v>71</v>
      </c>
      <c r="I82" s="5" t="s">
        <v>56</v>
      </c>
      <c r="J82" s="5" t="s">
        <v>59</v>
      </c>
      <c r="K82" s="5" t="s">
        <v>53</v>
      </c>
      <c r="L82" s="5" t="s">
        <v>64</v>
      </c>
      <c r="M82" s="5" t="s">
        <v>48</v>
      </c>
      <c r="N82" s="5" t="s">
        <v>55</v>
      </c>
      <c r="O82" s="5" t="s">
        <v>60</v>
      </c>
      <c r="P82" s="5" t="s">
        <v>52</v>
      </c>
      <c r="Q82" s="1">
        <v>7</v>
      </c>
      <c r="R82" s="1">
        <v>89</v>
      </c>
      <c r="S82" s="1">
        <v>37</v>
      </c>
      <c r="X82">
        <f t="shared" si="12"/>
        <v>80</v>
      </c>
      <c r="Y82">
        <f t="shared" si="11"/>
        <v>0</v>
      </c>
    </row>
    <row r="83" spans="1:25" ht="28.8" x14ac:dyDescent="0.3">
      <c r="A83" s="46">
        <v>68</v>
      </c>
      <c r="B83" s="4"/>
      <c r="C83" s="6" t="s">
        <v>196</v>
      </c>
      <c r="D83" s="5"/>
      <c r="E83" s="5" t="s">
        <v>210</v>
      </c>
      <c r="F83" s="5" t="s">
        <v>207</v>
      </c>
      <c r="G83" s="5" t="s">
        <v>62</v>
      </c>
      <c r="H83" s="5" t="s">
        <v>71</v>
      </c>
      <c r="I83" s="5" t="s">
        <v>208</v>
      </c>
      <c r="J83" s="5" t="s">
        <v>72</v>
      </c>
      <c r="K83" s="5" t="s">
        <v>53</v>
      </c>
      <c r="L83" s="5" t="s">
        <v>64</v>
      </c>
      <c r="M83" s="5" t="s">
        <v>48</v>
      </c>
      <c r="N83" s="5" t="s">
        <v>47</v>
      </c>
      <c r="O83" s="5" t="s">
        <v>60</v>
      </c>
      <c r="P83" s="5" t="s">
        <v>52</v>
      </c>
      <c r="Q83" s="1">
        <v>7</v>
      </c>
      <c r="R83" s="1">
        <v>79</v>
      </c>
      <c r="S83" s="1">
        <v>35</v>
      </c>
      <c r="X83">
        <f t="shared" si="12"/>
        <v>81</v>
      </c>
      <c r="Y83">
        <f t="shared" si="11"/>
        <v>0</v>
      </c>
    </row>
    <row r="84" spans="1:25" ht="28.8" x14ac:dyDescent="0.3">
      <c r="A84" s="46">
        <v>69</v>
      </c>
      <c r="B84" s="4"/>
      <c r="C84" s="6" t="s">
        <v>8</v>
      </c>
      <c r="D84" s="5"/>
      <c r="E84" s="5" t="s">
        <v>210</v>
      </c>
      <c r="F84" s="5" t="s">
        <v>207</v>
      </c>
      <c r="G84" s="5" t="s">
        <v>62</v>
      </c>
      <c r="H84" s="5" t="s">
        <v>71</v>
      </c>
      <c r="I84" s="5" t="s">
        <v>208</v>
      </c>
      <c r="J84" s="5" t="s">
        <v>59</v>
      </c>
      <c r="K84" s="5" t="s">
        <v>70</v>
      </c>
      <c r="L84" s="5" t="s">
        <v>64</v>
      </c>
      <c r="M84" s="5" t="s">
        <v>48</v>
      </c>
      <c r="N84" s="5" t="s">
        <v>55</v>
      </c>
      <c r="O84" s="5" t="s">
        <v>60</v>
      </c>
      <c r="P84" s="5" t="s">
        <v>65</v>
      </c>
      <c r="Q84" s="1">
        <v>7</v>
      </c>
      <c r="R84" s="1">
        <v>90</v>
      </c>
      <c r="S84" s="1">
        <v>34</v>
      </c>
      <c r="X84">
        <f t="shared" si="12"/>
        <v>82</v>
      </c>
      <c r="Y84">
        <f t="shared" si="11"/>
        <v>0</v>
      </c>
    </row>
    <row r="85" spans="1:25" x14ac:dyDescent="0.3">
      <c r="A85" s="46">
        <v>70</v>
      </c>
      <c r="B85" s="4"/>
      <c r="C85" s="6" t="s">
        <v>37</v>
      </c>
      <c r="D85" s="5"/>
      <c r="E85" s="5" t="s">
        <v>68</v>
      </c>
      <c r="F85" s="5" t="s">
        <v>207</v>
      </c>
      <c r="G85" s="5" t="s">
        <v>57</v>
      </c>
      <c r="H85" s="5" t="s">
        <v>71</v>
      </c>
      <c r="I85" s="5" t="s">
        <v>208</v>
      </c>
      <c r="J85" s="5" t="s">
        <v>72</v>
      </c>
      <c r="K85" s="5" t="s">
        <v>53</v>
      </c>
      <c r="L85" s="5" t="s">
        <v>64</v>
      </c>
      <c r="M85" s="5" t="s">
        <v>48</v>
      </c>
      <c r="N85" s="5" t="s">
        <v>47</v>
      </c>
      <c r="O85" s="5" t="s">
        <v>60</v>
      </c>
      <c r="P85" s="5" t="s">
        <v>52</v>
      </c>
      <c r="Q85" s="1">
        <v>7</v>
      </c>
      <c r="R85" s="1">
        <v>87</v>
      </c>
      <c r="S85" s="1">
        <v>34</v>
      </c>
      <c r="X85">
        <f t="shared" si="12"/>
        <v>83</v>
      </c>
      <c r="Y85">
        <f t="shared" si="11"/>
        <v>0</v>
      </c>
    </row>
    <row r="86" spans="1:25" x14ac:dyDescent="0.3">
      <c r="A86" s="46">
        <v>71</v>
      </c>
      <c r="B86" s="4"/>
      <c r="C86" s="6" t="s">
        <v>82</v>
      </c>
      <c r="D86" s="5"/>
      <c r="E86" s="5" t="s">
        <v>210</v>
      </c>
      <c r="F86" s="5" t="s">
        <v>207</v>
      </c>
      <c r="G86" s="5" t="s">
        <v>57</v>
      </c>
      <c r="H86" s="5" t="s">
        <v>71</v>
      </c>
      <c r="I86" s="5" t="s">
        <v>208</v>
      </c>
      <c r="J86" s="5" t="s">
        <v>59</v>
      </c>
      <c r="K86" s="5" t="s">
        <v>53</v>
      </c>
      <c r="L86" s="5" t="s">
        <v>64</v>
      </c>
      <c r="M86" s="5" t="s">
        <v>54</v>
      </c>
      <c r="N86" s="5" t="s">
        <v>47</v>
      </c>
      <c r="O86" s="5" t="s">
        <v>60</v>
      </c>
      <c r="P86" s="5" t="s">
        <v>65</v>
      </c>
      <c r="Q86" s="1">
        <v>7</v>
      </c>
      <c r="R86" s="1">
        <v>82</v>
      </c>
      <c r="S86" s="1">
        <v>32</v>
      </c>
      <c r="X86">
        <f t="shared" si="12"/>
        <v>84</v>
      </c>
      <c r="Y86">
        <f t="shared" si="11"/>
        <v>0</v>
      </c>
    </row>
    <row r="87" spans="1:25" ht="28.8" x14ac:dyDescent="0.3">
      <c r="A87" s="46">
        <v>72</v>
      </c>
      <c r="B87" s="4"/>
      <c r="C87" s="6" t="s">
        <v>6</v>
      </c>
      <c r="D87" s="5"/>
      <c r="E87" s="5" t="s">
        <v>210</v>
      </c>
      <c r="F87" s="5" t="s">
        <v>207</v>
      </c>
      <c r="G87" s="5" t="s">
        <v>57</v>
      </c>
      <c r="H87" s="5" t="s">
        <v>71</v>
      </c>
      <c r="I87" s="5" t="s">
        <v>208</v>
      </c>
      <c r="J87" s="5" t="s">
        <v>59</v>
      </c>
      <c r="K87" s="5" t="s">
        <v>53</v>
      </c>
      <c r="L87" s="5" t="s">
        <v>64</v>
      </c>
      <c r="M87" s="5" t="s">
        <v>54</v>
      </c>
      <c r="N87" s="5" t="s">
        <v>55</v>
      </c>
      <c r="O87" s="5" t="s">
        <v>60</v>
      </c>
      <c r="P87" s="5" t="s">
        <v>52</v>
      </c>
      <c r="Q87" s="1">
        <v>7</v>
      </c>
      <c r="R87" s="1">
        <v>82</v>
      </c>
      <c r="S87" s="1">
        <v>31</v>
      </c>
      <c r="X87">
        <f t="shared" si="12"/>
        <v>85</v>
      </c>
      <c r="Y87">
        <f t="shared" si="11"/>
        <v>0</v>
      </c>
    </row>
    <row r="88" spans="1:25" x14ac:dyDescent="0.3">
      <c r="A88" s="46">
        <v>73</v>
      </c>
      <c r="B88" s="4"/>
      <c r="C88" s="6" t="s">
        <v>118</v>
      </c>
      <c r="D88" s="5"/>
      <c r="E88" s="5" t="s">
        <v>210</v>
      </c>
      <c r="F88" s="5" t="s">
        <v>50</v>
      </c>
      <c r="G88" s="5" t="s">
        <v>57</v>
      </c>
      <c r="H88" s="5" t="s">
        <v>71</v>
      </c>
      <c r="I88" s="5" t="s">
        <v>208</v>
      </c>
      <c r="J88" s="5" t="s">
        <v>72</v>
      </c>
      <c r="K88" s="5" t="s">
        <v>53</v>
      </c>
      <c r="L88" s="5" t="s">
        <v>64</v>
      </c>
      <c r="M88" s="5" t="s">
        <v>54</v>
      </c>
      <c r="N88" s="5" t="s">
        <v>47</v>
      </c>
      <c r="O88" s="5" t="s">
        <v>209</v>
      </c>
      <c r="P88" s="5" t="s">
        <v>65</v>
      </c>
      <c r="Q88" s="1">
        <v>6</v>
      </c>
      <c r="R88" s="1">
        <v>81</v>
      </c>
      <c r="S88" s="1">
        <v>53</v>
      </c>
      <c r="X88">
        <f t="shared" si="12"/>
        <v>86</v>
      </c>
      <c r="Y88">
        <f t="shared" si="11"/>
        <v>0</v>
      </c>
    </row>
    <row r="89" spans="1:25" x14ac:dyDescent="0.3">
      <c r="A89" s="46">
        <v>74</v>
      </c>
      <c r="B89" s="4"/>
      <c r="C89" s="6" t="s">
        <v>126</v>
      </c>
      <c r="D89" s="5"/>
      <c r="E89" s="5" t="s">
        <v>210</v>
      </c>
      <c r="F89" s="5" t="s">
        <v>207</v>
      </c>
      <c r="G89" s="5" t="s">
        <v>57</v>
      </c>
      <c r="H89" s="5" t="s">
        <v>71</v>
      </c>
      <c r="I89" s="5" t="s">
        <v>56</v>
      </c>
      <c r="J89" s="5" t="s">
        <v>59</v>
      </c>
      <c r="K89" s="5" t="s">
        <v>70</v>
      </c>
      <c r="L89" s="5" t="s">
        <v>64</v>
      </c>
      <c r="M89" s="5" t="s">
        <v>54</v>
      </c>
      <c r="N89" s="5" t="s">
        <v>55</v>
      </c>
      <c r="O89" s="5" t="s">
        <v>209</v>
      </c>
      <c r="P89" s="5" t="s">
        <v>52</v>
      </c>
      <c r="Q89" s="1">
        <v>6</v>
      </c>
      <c r="R89" s="1">
        <v>90</v>
      </c>
      <c r="S89" s="1">
        <v>53</v>
      </c>
      <c r="X89">
        <f t="shared" si="12"/>
        <v>87</v>
      </c>
      <c r="Y89">
        <f t="shared" si="11"/>
        <v>0</v>
      </c>
    </row>
    <row r="90" spans="1:25" ht="28.8" x14ac:dyDescent="0.3">
      <c r="A90" s="46">
        <v>75</v>
      </c>
      <c r="B90" s="4"/>
      <c r="C90" s="6" t="s">
        <v>24</v>
      </c>
      <c r="D90" s="5"/>
      <c r="E90" s="5" t="s">
        <v>210</v>
      </c>
      <c r="F90" s="5" t="s">
        <v>50</v>
      </c>
      <c r="G90" s="5" t="s">
        <v>57</v>
      </c>
      <c r="H90" s="5" t="s">
        <v>63</v>
      </c>
      <c r="I90" s="5" t="s">
        <v>56</v>
      </c>
      <c r="J90" s="5" t="s">
        <v>59</v>
      </c>
      <c r="K90" s="5" t="s">
        <v>53</v>
      </c>
      <c r="L90" s="5" t="s">
        <v>64</v>
      </c>
      <c r="M90" s="5" t="s">
        <v>48</v>
      </c>
      <c r="N90" s="5" t="s">
        <v>47</v>
      </c>
      <c r="O90" s="5" t="s">
        <v>60</v>
      </c>
      <c r="P90" s="5" t="s">
        <v>52</v>
      </c>
      <c r="Q90" s="1">
        <v>6</v>
      </c>
      <c r="R90" s="1">
        <v>85</v>
      </c>
      <c r="S90" s="1">
        <v>52</v>
      </c>
      <c r="X90">
        <f t="shared" si="12"/>
        <v>88</v>
      </c>
      <c r="Y90">
        <f t="shared" si="11"/>
        <v>0</v>
      </c>
    </row>
    <row r="91" spans="1:25" ht="28.8" x14ac:dyDescent="0.3">
      <c r="A91" s="46">
        <v>76</v>
      </c>
      <c r="B91" s="4"/>
      <c r="C91" s="6" t="s">
        <v>28</v>
      </c>
      <c r="D91" s="5"/>
      <c r="E91" s="5" t="s">
        <v>210</v>
      </c>
      <c r="F91" s="5" t="s">
        <v>50</v>
      </c>
      <c r="G91" s="5" t="s">
        <v>57</v>
      </c>
      <c r="H91" s="5" t="s">
        <v>71</v>
      </c>
      <c r="I91" s="5" t="s">
        <v>208</v>
      </c>
      <c r="J91" s="5" t="s">
        <v>72</v>
      </c>
      <c r="K91" s="5" t="s">
        <v>53</v>
      </c>
      <c r="L91" s="5" t="s">
        <v>66</v>
      </c>
      <c r="M91" s="5" t="s">
        <v>54</v>
      </c>
      <c r="N91" s="5" t="s">
        <v>47</v>
      </c>
      <c r="O91" s="5" t="s">
        <v>60</v>
      </c>
      <c r="P91" s="5" t="s">
        <v>65</v>
      </c>
      <c r="Q91" s="1">
        <v>6</v>
      </c>
      <c r="R91" s="1">
        <v>76</v>
      </c>
      <c r="S91" s="1">
        <v>54</v>
      </c>
      <c r="X91">
        <f t="shared" si="12"/>
        <v>89</v>
      </c>
      <c r="Y91">
        <f t="shared" si="11"/>
        <v>0</v>
      </c>
    </row>
    <row r="92" spans="1:25" x14ac:dyDescent="0.3">
      <c r="A92" s="46">
        <v>77</v>
      </c>
      <c r="B92" s="4"/>
      <c r="C92" s="6" t="s">
        <v>169</v>
      </c>
      <c r="D92" s="5"/>
      <c r="E92" s="5" t="s">
        <v>210</v>
      </c>
      <c r="F92" s="5" t="s">
        <v>50</v>
      </c>
      <c r="G92" s="5" t="s">
        <v>62</v>
      </c>
      <c r="H92" s="5" t="s">
        <v>71</v>
      </c>
      <c r="I92" s="5" t="s">
        <v>208</v>
      </c>
      <c r="J92" s="5" t="s">
        <v>72</v>
      </c>
      <c r="K92" s="5" t="s">
        <v>53</v>
      </c>
      <c r="L92" s="5" t="s">
        <v>66</v>
      </c>
      <c r="M92" s="5" t="s">
        <v>54</v>
      </c>
      <c r="N92" s="5" t="s">
        <v>47</v>
      </c>
      <c r="O92" s="5" t="s">
        <v>209</v>
      </c>
      <c r="P92" s="5" t="s">
        <v>65</v>
      </c>
      <c r="Q92" s="1">
        <v>6</v>
      </c>
      <c r="R92" s="1">
        <v>82</v>
      </c>
      <c r="S92" s="1">
        <v>52</v>
      </c>
      <c r="X92">
        <f t="shared" si="12"/>
        <v>90</v>
      </c>
      <c r="Y92">
        <f t="shared" si="11"/>
        <v>0</v>
      </c>
    </row>
    <row r="93" spans="1:25" ht="28.8" x14ac:dyDescent="0.3">
      <c r="A93" s="46">
        <v>78</v>
      </c>
      <c r="B93" s="4"/>
      <c r="C93" s="6" t="s">
        <v>125</v>
      </c>
      <c r="D93" s="5"/>
      <c r="E93" s="5" t="s">
        <v>210</v>
      </c>
      <c r="F93" s="5" t="s">
        <v>207</v>
      </c>
      <c r="G93" s="5" t="s">
        <v>57</v>
      </c>
      <c r="H93" s="5" t="s">
        <v>71</v>
      </c>
      <c r="I93" s="5" t="s">
        <v>208</v>
      </c>
      <c r="J93" s="5" t="s">
        <v>59</v>
      </c>
      <c r="K93" s="5" t="s">
        <v>53</v>
      </c>
      <c r="L93" s="5" t="s">
        <v>64</v>
      </c>
      <c r="M93" s="5" t="s">
        <v>54</v>
      </c>
      <c r="N93" s="5" t="s">
        <v>47</v>
      </c>
      <c r="O93" s="5" t="s">
        <v>209</v>
      </c>
      <c r="P93" s="5" t="s">
        <v>65</v>
      </c>
      <c r="Q93" s="1">
        <v>6</v>
      </c>
      <c r="R93" s="1">
        <v>90</v>
      </c>
      <c r="S93" s="1">
        <v>52</v>
      </c>
      <c r="X93">
        <f t="shared" si="12"/>
        <v>91</v>
      </c>
      <c r="Y93">
        <f t="shared" si="11"/>
        <v>0</v>
      </c>
    </row>
    <row r="94" spans="1:25" x14ac:dyDescent="0.3">
      <c r="A94" s="46">
        <v>79</v>
      </c>
      <c r="B94" s="4"/>
      <c r="C94" s="6" t="s">
        <v>194</v>
      </c>
      <c r="D94" s="5"/>
      <c r="E94" s="5" t="s">
        <v>68</v>
      </c>
      <c r="F94" s="5" t="s">
        <v>207</v>
      </c>
      <c r="G94" s="5" t="s">
        <v>57</v>
      </c>
      <c r="H94" s="5" t="s">
        <v>71</v>
      </c>
      <c r="I94" s="5" t="s">
        <v>208</v>
      </c>
      <c r="J94" s="5" t="s">
        <v>59</v>
      </c>
      <c r="K94" s="5" t="s">
        <v>53</v>
      </c>
      <c r="L94" s="5" t="s">
        <v>66</v>
      </c>
      <c r="M94" s="5" t="s">
        <v>48</v>
      </c>
      <c r="N94" s="5" t="s">
        <v>55</v>
      </c>
      <c r="O94" s="5" t="s">
        <v>60</v>
      </c>
      <c r="P94" s="5" t="s">
        <v>52</v>
      </c>
      <c r="Q94" s="1">
        <v>6</v>
      </c>
      <c r="R94" s="1">
        <v>83</v>
      </c>
      <c r="S94" s="1">
        <v>51</v>
      </c>
      <c r="X94">
        <f t="shared" si="12"/>
        <v>92</v>
      </c>
      <c r="Y94">
        <f t="shared" si="11"/>
        <v>0</v>
      </c>
    </row>
    <row r="95" spans="1:25" ht="28.8" x14ac:dyDescent="0.3">
      <c r="A95" s="46">
        <v>80</v>
      </c>
      <c r="B95" s="4"/>
      <c r="C95" s="6" t="s">
        <v>123</v>
      </c>
      <c r="D95" s="5"/>
      <c r="E95" s="5" t="s">
        <v>210</v>
      </c>
      <c r="F95" s="5" t="s">
        <v>207</v>
      </c>
      <c r="G95" s="5" t="s">
        <v>57</v>
      </c>
      <c r="H95" s="5" t="s">
        <v>63</v>
      </c>
      <c r="I95" s="5" t="s">
        <v>56</v>
      </c>
      <c r="J95" s="5" t="s">
        <v>59</v>
      </c>
      <c r="K95" s="5" t="s">
        <v>70</v>
      </c>
      <c r="L95" s="5" t="s">
        <v>64</v>
      </c>
      <c r="M95" s="5" t="s">
        <v>54</v>
      </c>
      <c r="N95" s="5" t="s">
        <v>55</v>
      </c>
      <c r="O95" s="5" t="s">
        <v>60</v>
      </c>
      <c r="P95" s="5" t="s">
        <v>52</v>
      </c>
      <c r="Q95" s="1">
        <v>6</v>
      </c>
      <c r="R95" s="1">
        <v>85</v>
      </c>
      <c r="S95" s="1">
        <v>55</v>
      </c>
      <c r="X95">
        <f t="shared" si="12"/>
        <v>93</v>
      </c>
      <c r="Y95">
        <f t="shared" si="11"/>
        <v>0</v>
      </c>
    </row>
    <row r="96" spans="1:25" x14ac:dyDescent="0.3">
      <c r="A96" s="46">
        <v>81</v>
      </c>
      <c r="B96" s="4"/>
      <c r="C96" s="6" t="s">
        <v>110</v>
      </c>
      <c r="D96" s="5"/>
      <c r="E96" s="5" t="s">
        <v>210</v>
      </c>
      <c r="F96" s="5" t="s">
        <v>207</v>
      </c>
      <c r="G96" s="5" t="s">
        <v>57</v>
      </c>
      <c r="H96" s="5" t="s">
        <v>71</v>
      </c>
      <c r="I96" s="5" t="s">
        <v>56</v>
      </c>
      <c r="J96" s="5" t="s">
        <v>59</v>
      </c>
      <c r="K96" s="5" t="s">
        <v>53</v>
      </c>
      <c r="L96" s="5" t="s">
        <v>64</v>
      </c>
      <c r="M96" s="5" t="s">
        <v>54</v>
      </c>
      <c r="N96" s="5" t="s">
        <v>47</v>
      </c>
      <c r="O96" s="5" t="s">
        <v>60</v>
      </c>
      <c r="P96" s="5" t="s">
        <v>65</v>
      </c>
      <c r="Q96" s="1">
        <v>6</v>
      </c>
      <c r="R96" s="1">
        <v>92</v>
      </c>
      <c r="S96" s="1">
        <v>51</v>
      </c>
      <c r="X96">
        <f t="shared" si="12"/>
        <v>94</v>
      </c>
      <c r="Y96">
        <f t="shared" si="11"/>
        <v>0</v>
      </c>
    </row>
    <row r="97" spans="1:25" ht="28.8" x14ac:dyDescent="0.3">
      <c r="A97" s="46">
        <v>82</v>
      </c>
      <c r="B97" s="4"/>
      <c r="C97" s="6" t="s">
        <v>29</v>
      </c>
      <c r="D97" s="5"/>
      <c r="E97" s="5" t="s">
        <v>210</v>
      </c>
      <c r="F97" s="5" t="s">
        <v>50</v>
      </c>
      <c r="G97" s="5" t="s">
        <v>57</v>
      </c>
      <c r="H97" s="5" t="s">
        <v>71</v>
      </c>
      <c r="I97" s="5" t="s">
        <v>56</v>
      </c>
      <c r="J97" s="5" t="s">
        <v>59</v>
      </c>
      <c r="K97" s="5" t="s">
        <v>53</v>
      </c>
      <c r="L97" s="5" t="s">
        <v>64</v>
      </c>
      <c r="M97" s="5" t="s">
        <v>48</v>
      </c>
      <c r="N97" s="5" t="s">
        <v>55</v>
      </c>
      <c r="O97" s="5" t="s">
        <v>60</v>
      </c>
      <c r="P97" s="5" t="s">
        <v>52</v>
      </c>
      <c r="Q97" s="1">
        <v>6</v>
      </c>
      <c r="R97" s="1">
        <v>81</v>
      </c>
      <c r="S97" s="1">
        <v>50</v>
      </c>
      <c r="X97">
        <f t="shared" si="12"/>
        <v>95</v>
      </c>
      <c r="Y97">
        <f t="shared" si="11"/>
        <v>0</v>
      </c>
    </row>
    <row r="98" spans="1:25" x14ac:dyDescent="0.3">
      <c r="A98" s="46">
        <v>83</v>
      </c>
      <c r="B98" s="4"/>
      <c r="C98" s="6" t="s">
        <v>136</v>
      </c>
      <c r="D98" s="5"/>
      <c r="E98" s="5" t="s">
        <v>210</v>
      </c>
      <c r="F98" s="5" t="s">
        <v>207</v>
      </c>
      <c r="G98" s="5" t="s">
        <v>57</v>
      </c>
      <c r="H98" s="5" t="s">
        <v>71</v>
      </c>
      <c r="I98" s="5" t="s">
        <v>56</v>
      </c>
      <c r="J98" s="5" t="s">
        <v>59</v>
      </c>
      <c r="K98" s="5" t="s">
        <v>70</v>
      </c>
      <c r="L98" s="5" t="s">
        <v>64</v>
      </c>
      <c r="M98" s="5" t="s">
        <v>54</v>
      </c>
      <c r="N98" s="5" t="s">
        <v>47</v>
      </c>
      <c r="O98" s="5" t="s">
        <v>209</v>
      </c>
      <c r="P98" s="5" t="s">
        <v>65</v>
      </c>
      <c r="Q98" s="1">
        <v>6</v>
      </c>
      <c r="R98" s="1">
        <v>88</v>
      </c>
      <c r="S98" s="1">
        <v>48</v>
      </c>
      <c r="X98">
        <f t="shared" si="12"/>
        <v>96</v>
      </c>
      <c r="Y98">
        <f t="shared" si="11"/>
        <v>0</v>
      </c>
    </row>
    <row r="99" spans="1:25" x14ac:dyDescent="0.3">
      <c r="A99" s="46">
        <v>84</v>
      </c>
      <c r="B99" s="4"/>
      <c r="C99" s="6" t="s">
        <v>21</v>
      </c>
      <c r="D99" s="5"/>
      <c r="E99" s="5" t="s">
        <v>68</v>
      </c>
      <c r="F99" s="5" t="s">
        <v>207</v>
      </c>
      <c r="G99" s="5" t="s">
        <v>57</v>
      </c>
      <c r="H99" s="5" t="s">
        <v>71</v>
      </c>
      <c r="I99" s="5" t="s">
        <v>208</v>
      </c>
      <c r="J99" s="5" t="s">
        <v>59</v>
      </c>
      <c r="K99" s="5" t="s">
        <v>53</v>
      </c>
      <c r="L99" s="5" t="s">
        <v>64</v>
      </c>
      <c r="M99" s="5" t="s">
        <v>54</v>
      </c>
      <c r="N99" s="5" t="s">
        <v>55</v>
      </c>
      <c r="O99" s="5" t="s">
        <v>209</v>
      </c>
      <c r="P99" s="5" t="s">
        <v>65</v>
      </c>
      <c r="Q99" s="1">
        <v>6</v>
      </c>
      <c r="R99" s="1">
        <v>85</v>
      </c>
      <c r="S99" s="1">
        <v>48</v>
      </c>
      <c r="X99">
        <f t="shared" si="12"/>
        <v>97</v>
      </c>
      <c r="Y99">
        <f t="shared" si="11"/>
        <v>0</v>
      </c>
    </row>
    <row r="100" spans="1:25" ht="28.8" x14ac:dyDescent="0.3">
      <c r="A100" s="46">
        <v>85</v>
      </c>
      <c r="B100" s="4"/>
      <c r="C100" s="6" t="s">
        <v>114</v>
      </c>
      <c r="D100" s="5"/>
      <c r="E100" s="5" t="s">
        <v>210</v>
      </c>
      <c r="F100" s="5" t="s">
        <v>207</v>
      </c>
      <c r="G100" s="5" t="s">
        <v>57</v>
      </c>
      <c r="H100" s="5" t="s">
        <v>63</v>
      </c>
      <c r="I100" s="5" t="s">
        <v>56</v>
      </c>
      <c r="J100" s="5" t="s">
        <v>59</v>
      </c>
      <c r="K100" s="5" t="s">
        <v>70</v>
      </c>
      <c r="L100" s="5" t="s">
        <v>64</v>
      </c>
      <c r="M100" s="5" t="s">
        <v>48</v>
      </c>
      <c r="N100" s="5" t="s">
        <v>47</v>
      </c>
      <c r="O100" s="5" t="s">
        <v>60</v>
      </c>
      <c r="P100" s="5" t="s">
        <v>52</v>
      </c>
      <c r="Q100" s="1">
        <v>6</v>
      </c>
      <c r="R100" s="1">
        <v>87</v>
      </c>
      <c r="S100" s="1">
        <v>47</v>
      </c>
      <c r="X100">
        <f t="shared" si="12"/>
        <v>98</v>
      </c>
      <c r="Y100">
        <f t="shared" si="11"/>
        <v>0</v>
      </c>
    </row>
    <row r="101" spans="1:25" x14ac:dyDescent="0.3">
      <c r="A101" s="46">
        <v>86</v>
      </c>
      <c r="B101" s="4"/>
      <c r="C101" s="6" t="s">
        <v>168</v>
      </c>
      <c r="D101" s="5"/>
      <c r="E101" s="5" t="s">
        <v>68</v>
      </c>
      <c r="F101" s="5" t="s">
        <v>50</v>
      </c>
      <c r="G101" s="5" t="s">
        <v>57</v>
      </c>
      <c r="H101" s="5" t="s">
        <v>63</v>
      </c>
      <c r="I101" s="5" t="s">
        <v>208</v>
      </c>
      <c r="J101" s="5" t="s">
        <v>72</v>
      </c>
      <c r="K101" s="5" t="s">
        <v>70</v>
      </c>
      <c r="L101" s="5" t="s">
        <v>66</v>
      </c>
      <c r="M101" s="5" t="s">
        <v>48</v>
      </c>
      <c r="N101" s="5" t="s">
        <v>47</v>
      </c>
      <c r="O101" s="5" t="s">
        <v>60</v>
      </c>
      <c r="P101" s="5" t="s">
        <v>65</v>
      </c>
      <c r="Q101" s="1">
        <v>6</v>
      </c>
      <c r="R101" s="1">
        <v>86</v>
      </c>
      <c r="S101" s="1">
        <v>47</v>
      </c>
      <c r="X101">
        <f t="shared" si="12"/>
        <v>99</v>
      </c>
      <c r="Y101">
        <f t="shared" si="11"/>
        <v>0</v>
      </c>
    </row>
    <row r="102" spans="1:25" x14ac:dyDescent="0.3">
      <c r="A102" s="46">
        <v>87</v>
      </c>
      <c r="B102" s="4"/>
      <c r="C102" s="6" t="s">
        <v>190</v>
      </c>
      <c r="D102" s="5"/>
      <c r="E102" s="5" t="s">
        <v>210</v>
      </c>
      <c r="F102" s="5" t="s">
        <v>207</v>
      </c>
      <c r="G102" s="5" t="s">
        <v>57</v>
      </c>
      <c r="H102" s="5" t="s">
        <v>63</v>
      </c>
      <c r="I102" s="5" t="s">
        <v>208</v>
      </c>
      <c r="J102" s="5" t="s">
        <v>59</v>
      </c>
      <c r="K102" s="5" t="s">
        <v>53</v>
      </c>
      <c r="L102" s="5" t="s">
        <v>64</v>
      </c>
      <c r="M102" s="5" t="s">
        <v>54</v>
      </c>
      <c r="N102" s="5" t="s">
        <v>47</v>
      </c>
      <c r="O102" s="5" t="s">
        <v>60</v>
      </c>
      <c r="P102" s="5" t="s">
        <v>65</v>
      </c>
      <c r="Q102" s="1">
        <v>6</v>
      </c>
      <c r="R102" s="1">
        <v>94</v>
      </c>
      <c r="S102" s="1">
        <v>47</v>
      </c>
      <c r="X102">
        <f t="shared" si="12"/>
        <v>100</v>
      </c>
      <c r="Y102">
        <f t="shared" si="11"/>
        <v>0</v>
      </c>
    </row>
    <row r="103" spans="1:25" ht="28.8" x14ac:dyDescent="0.3">
      <c r="A103" s="46">
        <v>88</v>
      </c>
      <c r="B103" s="4"/>
      <c r="C103" s="6" t="s">
        <v>154</v>
      </c>
      <c r="D103" s="5"/>
      <c r="E103" s="5" t="s">
        <v>210</v>
      </c>
      <c r="F103" s="5" t="s">
        <v>50</v>
      </c>
      <c r="G103" s="5" t="s">
        <v>62</v>
      </c>
      <c r="H103" s="5" t="s">
        <v>63</v>
      </c>
      <c r="I103" s="5" t="s">
        <v>56</v>
      </c>
      <c r="J103" s="5" t="s">
        <v>59</v>
      </c>
      <c r="K103" s="5" t="s">
        <v>53</v>
      </c>
      <c r="L103" s="5" t="s">
        <v>64</v>
      </c>
      <c r="M103" s="5" t="s">
        <v>54</v>
      </c>
      <c r="N103" s="5" t="s">
        <v>55</v>
      </c>
      <c r="O103" s="5" t="s">
        <v>60</v>
      </c>
      <c r="P103" s="5" t="s">
        <v>65</v>
      </c>
      <c r="Q103" s="1">
        <v>6</v>
      </c>
      <c r="R103" s="1">
        <v>92</v>
      </c>
      <c r="S103" s="1">
        <v>47</v>
      </c>
      <c r="X103">
        <f t="shared" si="12"/>
        <v>101</v>
      </c>
      <c r="Y103">
        <f t="shared" si="11"/>
        <v>0</v>
      </c>
    </row>
    <row r="104" spans="1:25" x14ac:dyDescent="0.3">
      <c r="A104" s="46">
        <v>89</v>
      </c>
      <c r="B104" s="4"/>
      <c r="C104" s="6" t="s">
        <v>93</v>
      </c>
      <c r="D104" s="5"/>
      <c r="E104" s="5" t="s">
        <v>210</v>
      </c>
      <c r="F104" s="5" t="s">
        <v>50</v>
      </c>
      <c r="G104" s="5" t="s">
        <v>57</v>
      </c>
      <c r="H104" s="5" t="s">
        <v>71</v>
      </c>
      <c r="I104" s="5" t="s">
        <v>208</v>
      </c>
      <c r="J104" s="5" t="s">
        <v>59</v>
      </c>
      <c r="K104" s="5" t="s">
        <v>53</v>
      </c>
      <c r="L104" s="5" t="s">
        <v>66</v>
      </c>
      <c r="M104" s="5" t="s">
        <v>48</v>
      </c>
      <c r="N104" s="5" t="s">
        <v>55</v>
      </c>
      <c r="O104" s="5" t="s">
        <v>60</v>
      </c>
      <c r="P104" s="5" t="s">
        <v>52</v>
      </c>
      <c r="Q104" s="1">
        <v>6</v>
      </c>
      <c r="R104" s="1">
        <v>87</v>
      </c>
      <c r="S104" s="1">
        <v>47</v>
      </c>
      <c r="X104">
        <f t="shared" si="12"/>
        <v>102</v>
      </c>
      <c r="Y104">
        <f t="shared" si="11"/>
        <v>0</v>
      </c>
    </row>
    <row r="105" spans="1:25" ht="28.8" x14ac:dyDescent="0.3">
      <c r="A105" s="46">
        <v>90</v>
      </c>
      <c r="B105" s="4"/>
      <c r="C105" s="6" t="s">
        <v>174</v>
      </c>
      <c r="D105" s="5"/>
      <c r="E105" s="5" t="s">
        <v>210</v>
      </c>
      <c r="F105" s="5" t="s">
        <v>207</v>
      </c>
      <c r="G105" s="5" t="s">
        <v>57</v>
      </c>
      <c r="H105" s="5" t="s">
        <v>71</v>
      </c>
      <c r="I105" s="5" t="s">
        <v>208</v>
      </c>
      <c r="J105" s="5" t="s">
        <v>59</v>
      </c>
      <c r="K105" s="5" t="s">
        <v>70</v>
      </c>
      <c r="L105" s="5" t="s">
        <v>66</v>
      </c>
      <c r="M105" s="5" t="s">
        <v>48</v>
      </c>
      <c r="N105" s="5" t="s">
        <v>55</v>
      </c>
      <c r="O105" s="5" t="s">
        <v>60</v>
      </c>
      <c r="P105" s="5" t="s">
        <v>52</v>
      </c>
      <c r="Q105" s="1">
        <v>6</v>
      </c>
      <c r="R105" s="1">
        <v>90</v>
      </c>
      <c r="S105" s="1">
        <v>45</v>
      </c>
      <c r="X105">
        <f t="shared" si="12"/>
        <v>103</v>
      </c>
      <c r="Y105">
        <f t="shared" si="11"/>
        <v>0</v>
      </c>
    </row>
    <row r="106" spans="1:25" x14ac:dyDescent="0.3">
      <c r="A106" s="46">
        <v>91</v>
      </c>
      <c r="B106" s="4"/>
      <c r="C106" s="6" t="s">
        <v>149</v>
      </c>
      <c r="D106" s="5"/>
      <c r="E106" s="5" t="s">
        <v>210</v>
      </c>
      <c r="F106" s="5" t="s">
        <v>50</v>
      </c>
      <c r="G106" s="5" t="s">
        <v>62</v>
      </c>
      <c r="H106" s="5" t="s">
        <v>71</v>
      </c>
      <c r="I106" s="5" t="s">
        <v>56</v>
      </c>
      <c r="J106" s="5" t="s">
        <v>72</v>
      </c>
      <c r="K106" s="5" t="s">
        <v>53</v>
      </c>
      <c r="L106" s="5" t="s">
        <v>64</v>
      </c>
      <c r="M106" s="5" t="s">
        <v>54</v>
      </c>
      <c r="N106" s="5" t="s">
        <v>55</v>
      </c>
      <c r="O106" s="5" t="s">
        <v>60</v>
      </c>
      <c r="P106" s="5" t="s">
        <v>65</v>
      </c>
      <c r="Q106" s="1">
        <v>6</v>
      </c>
      <c r="R106" s="1">
        <v>81</v>
      </c>
      <c r="S106" s="1">
        <v>45</v>
      </c>
      <c r="X106">
        <f t="shared" si="12"/>
        <v>104</v>
      </c>
      <c r="Y106">
        <f t="shared" si="11"/>
        <v>0</v>
      </c>
    </row>
    <row r="107" spans="1:25" ht="28.8" x14ac:dyDescent="0.3">
      <c r="A107" s="46">
        <v>92</v>
      </c>
      <c r="B107" s="4"/>
      <c r="C107" s="6" t="s">
        <v>158</v>
      </c>
      <c r="D107" s="5"/>
      <c r="E107" s="5" t="s">
        <v>210</v>
      </c>
      <c r="F107" s="5" t="s">
        <v>207</v>
      </c>
      <c r="G107" s="5" t="s">
        <v>62</v>
      </c>
      <c r="H107" s="5" t="s">
        <v>71</v>
      </c>
      <c r="I107" s="5" t="s">
        <v>56</v>
      </c>
      <c r="J107" s="5" t="s">
        <v>59</v>
      </c>
      <c r="K107" s="5" t="s">
        <v>53</v>
      </c>
      <c r="L107" s="5" t="s">
        <v>64</v>
      </c>
      <c r="M107" s="5" t="s">
        <v>54</v>
      </c>
      <c r="N107" s="5" t="s">
        <v>55</v>
      </c>
      <c r="O107" s="5" t="s">
        <v>60</v>
      </c>
      <c r="P107" s="5" t="s">
        <v>65</v>
      </c>
      <c r="Q107" s="1">
        <v>6</v>
      </c>
      <c r="R107" s="1">
        <v>79</v>
      </c>
      <c r="S107" s="1">
        <v>45</v>
      </c>
      <c r="X107">
        <f t="shared" si="12"/>
        <v>105</v>
      </c>
      <c r="Y107">
        <f t="shared" si="11"/>
        <v>0</v>
      </c>
    </row>
    <row r="108" spans="1:25" x14ac:dyDescent="0.3">
      <c r="A108" s="46">
        <v>93</v>
      </c>
      <c r="B108" s="4"/>
      <c r="C108" s="6" t="s">
        <v>180</v>
      </c>
      <c r="D108" s="5"/>
      <c r="E108" s="5" t="s">
        <v>210</v>
      </c>
      <c r="F108" s="5" t="s">
        <v>207</v>
      </c>
      <c r="G108" s="5" t="s">
        <v>57</v>
      </c>
      <c r="H108" s="5" t="s">
        <v>71</v>
      </c>
      <c r="I108" s="5" t="s">
        <v>56</v>
      </c>
      <c r="J108" s="5" t="s">
        <v>59</v>
      </c>
      <c r="K108" s="5" t="s">
        <v>70</v>
      </c>
      <c r="L108" s="5" t="s">
        <v>64</v>
      </c>
      <c r="M108" s="5" t="s">
        <v>48</v>
      </c>
      <c r="N108" s="5" t="s">
        <v>55</v>
      </c>
      <c r="O108" s="5" t="s">
        <v>60</v>
      </c>
      <c r="P108" s="5" t="s">
        <v>52</v>
      </c>
      <c r="Q108" s="1">
        <v>6</v>
      </c>
      <c r="R108" s="1">
        <v>88</v>
      </c>
      <c r="S108" s="1">
        <v>45</v>
      </c>
      <c r="X108">
        <f t="shared" si="12"/>
        <v>106</v>
      </c>
      <c r="Y108">
        <f t="shared" si="11"/>
        <v>0</v>
      </c>
    </row>
    <row r="109" spans="1:25" ht="28.8" x14ac:dyDescent="0.3">
      <c r="A109" s="46">
        <v>94</v>
      </c>
      <c r="B109" s="4"/>
      <c r="C109" s="6" t="s">
        <v>89</v>
      </c>
      <c r="D109" s="5"/>
      <c r="E109" s="5" t="s">
        <v>210</v>
      </c>
      <c r="F109" s="5" t="s">
        <v>207</v>
      </c>
      <c r="G109" s="5" t="s">
        <v>57</v>
      </c>
      <c r="H109" s="5" t="s">
        <v>71</v>
      </c>
      <c r="I109" s="5" t="s">
        <v>56</v>
      </c>
      <c r="J109" s="5" t="s">
        <v>59</v>
      </c>
      <c r="K109" s="5" t="s">
        <v>53</v>
      </c>
      <c r="L109" s="5" t="s">
        <v>64</v>
      </c>
      <c r="M109" s="5" t="s">
        <v>48</v>
      </c>
      <c r="N109" s="5" t="s">
        <v>47</v>
      </c>
      <c r="O109" s="5" t="s">
        <v>60</v>
      </c>
      <c r="P109" s="5" t="s">
        <v>52</v>
      </c>
      <c r="Q109" s="1">
        <v>6</v>
      </c>
      <c r="R109" s="1">
        <v>82</v>
      </c>
      <c r="S109" s="1">
        <v>45</v>
      </c>
      <c r="X109">
        <f t="shared" si="12"/>
        <v>107</v>
      </c>
      <c r="Y109">
        <f t="shared" si="11"/>
        <v>0</v>
      </c>
    </row>
    <row r="110" spans="1:25" x14ac:dyDescent="0.3">
      <c r="A110" s="46">
        <v>95</v>
      </c>
      <c r="B110" s="4"/>
      <c r="C110" s="6" t="s">
        <v>79</v>
      </c>
      <c r="D110" s="5"/>
      <c r="E110" s="5" t="s">
        <v>210</v>
      </c>
      <c r="F110" s="5" t="s">
        <v>207</v>
      </c>
      <c r="G110" s="5" t="s">
        <v>57</v>
      </c>
      <c r="H110" s="5" t="s">
        <v>71</v>
      </c>
      <c r="I110" s="5" t="s">
        <v>208</v>
      </c>
      <c r="J110" s="5" t="s">
        <v>59</v>
      </c>
      <c r="K110" s="5" t="s">
        <v>53</v>
      </c>
      <c r="L110" s="5" t="s">
        <v>64</v>
      </c>
      <c r="M110" s="5" t="s">
        <v>54</v>
      </c>
      <c r="N110" s="5" t="s">
        <v>55</v>
      </c>
      <c r="O110" s="5" t="s">
        <v>209</v>
      </c>
      <c r="P110" s="5" t="s">
        <v>52</v>
      </c>
      <c r="Q110" s="1">
        <v>6</v>
      </c>
      <c r="R110" s="1">
        <v>81</v>
      </c>
      <c r="S110" s="1">
        <v>44</v>
      </c>
      <c r="X110">
        <f t="shared" si="12"/>
        <v>108</v>
      </c>
      <c r="Y110">
        <f t="shared" si="11"/>
        <v>0</v>
      </c>
    </row>
    <row r="111" spans="1:25" x14ac:dyDescent="0.3">
      <c r="A111" s="46">
        <v>96</v>
      </c>
      <c r="B111" s="4"/>
      <c r="C111" s="6" t="s">
        <v>120</v>
      </c>
      <c r="D111" s="5"/>
      <c r="E111" s="5" t="s">
        <v>68</v>
      </c>
      <c r="F111" s="5" t="s">
        <v>207</v>
      </c>
      <c r="G111" s="5" t="s">
        <v>57</v>
      </c>
      <c r="H111" s="5" t="s">
        <v>71</v>
      </c>
      <c r="I111" s="5" t="s">
        <v>208</v>
      </c>
      <c r="J111" s="5" t="s">
        <v>59</v>
      </c>
      <c r="K111" s="5" t="s">
        <v>53</v>
      </c>
      <c r="L111" s="5" t="s">
        <v>64</v>
      </c>
      <c r="M111" s="5" t="s">
        <v>48</v>
      </c>
      <c r="N111" s="5" t="s">
        <v>55</v>
      </c>
      <c r="O111" s="5" t="s">
        <v>60</v>
      </c>
      <c r="P111" s="5" t="s">
        <v>65</v>
      </c>
      <c r="Q111" s="1">
        <v>6</v>
      </c>
      <c r="R111" s="1">
        <v>80</v>
      </c>
      <c r="S111" s="1">
        <v>44</v>
      </c>
      <c r="X111">
        <f t="shared" si="12"/>
        <v>109</v>
      </c>
      <c r="Y111">
        <f t="shared" si="11"/>
        <v>0</v>
      </c>
    </row>
    <row r="112" spans="1:25" ht="28.8" x14ac:dyDescent="0.3">
      <c r="A112" s="46">
        <v>97</v>
      </c>
      <c r="B112" s="4"/>
      <c r="C112" s="6" t="s">
        <v>200</v>
      </c>
      <c r="D112" s="5"/>
      <c r="E112" s="5" t="s">
        <v>210</v>
      </c>
      <c r="F112" s="5" t="s">
        <v>207</v>
      </c>
      <c r="G112" s="5" t="s">
        <v>57</v>
      </c>
      <c r="H112" s="5" t="s">
        <v>71</v>
      </c>
      <c r="I112" s="5" t="s">
        <v>208</v>
      </c>
      <c r="J112" s="5" t="s">
        <v>59</v>
      </c>
      <c r="K112" s="5" t="s">
        <v>53</v>
      </c>
      <c r="L112" s="5" t="s">
        <v>64</v>
      </c>
      <c r="M112" s="5" t="s">
        <v>48</v>
      </c>
      <c r="N112" s="5" t="s">
        <v>55</v>
      </c>
      <c r="O112" s="5" t="s">
        <v>60</v>
      </c>
      <c r="P112" s="5" t="s">
        <v>52</v>
      </c>
      <c r="Q112" s="1">
        <v>6</v>
      </c>
      <c r="R112" s="1">
        <v>69</v>
      </c>
      <c r="S112" s="1">
        <v>44</v>
      </c>
      <c r="X112">
        <f t="shared" si="12"/>
        <v>110</v>
      </c>
      <c r="Y112">
        <f t="shared" si="11"/>
        <v>0</v>
      </c>
    </row>
    <row r="113" spans="1:25" x14ac:dyDescent="0.3">
      <c r="A113" s="46">
        <v>98</v>
      </c>
      <c r="B113" s="4"/>
      <c r="C113" s="6" t="s">
        <v>13</v>
      </c>
      <c r="D113" s="5"/>
      <c r="E113" s="5" t="s">
        <v>210</v>
      </c>
      <c r="F113" s="5" t="s">
        <v>207</v>
      </c>
      <c r="G113" s="5" t="s">
        <v>57</v>
      </c>
      <c r="H113" s="5" t="s">
        <v>71</v>
      </c>
      <c r="I113" s="5" t="s">
        <v>208</v>
      </c>
      <c r="J113" s="5" t="s">
        <v>59</v>
      </c>
      <c r="K113" s="5" t="s">
        <v>70</v>
      </c>
      <c r="L113" s="5" t="s">
        <v>64</v>
      </c>
      <c r="M113" s="5" t="s">
        <v>54</v>
      </c>
      <c r="N113" s="5" t="s">
        <v>55</v>
      </c>
      <c r="O113" s="5" t="s">
        <v>209</v>
      </c>
      <c r="P113" s="5" t="s">
        <v>65</v>
      </c>
      <c r="Q113" s="1">
        <v>6</v>
      </c>
      <c r="R113" s="1">
        <v>96</v>
      </c>
      <c r="S113" s="1">
        <v>43</v>
      </c>
      <c r="X113">
        <f t="shared" si="12"/>
        <v>111</v>
      </c>
      <c r="Y113">
        <f t="shared" si="11"/>
        <v>0</v>
      </c>
    </row>
    <row r="114" spans="1:25" ht="28.8" x14ac:dyDescent="0.3">
      <c r="A114" s="46">
        <v>99</v>
      </c>
      <c r="B114" s="4"/>
      <c r="C114" s="6" t="s">
        <v>20</v>
      </c>
      <c r="D114" s="5"/>
      <c r="E114" s="5" t="s">
        <v>210</v>
      </c>
      <c r="F114" s="5" t="s">
        <v>207</v>
      </c>
      <c r="G114" s="5" t="s">
        <v>57</v>
      </c>
      <c r="H114" s="5" t="s">
        <v>71</v>
      </c>
      <c r="I114" s="5" t="s">
        <v>208</v>
      </c>
      <c r="J114" s="5" t="s">
        <v>59</v>
      </c>
      <c r="K114" s="5" t="s">
        <v>53</v>
      </c>
      <c r="L114" s="5" t="s">
        <v>64</v>
      </c>
      <c r="M114" s="5" t="s">
        <v>48</v>
      </c>
      <c r="N114" s="5" t="s">
        <v>55</v>
      </c>
      <c r="O114" s="5" t="s">
        <v>60</v>
      </c>
      <c r="P114" s="5" t="s">
        <v>52</v>
      </c>
      <c r="Q114" s="1">
        <v>6</v>
      </c>
      <c r="R114" s="1">
        <v>86</v>
      </c>
      <c r="S114" s="1">
        <v>42</v>
      </c>
      <c r="X114">
        <f t="shared" si="12"/>
        <v>112</v>
      </c>
      <c r="Y114">
        <f t="shared" si="11"/>
        <v>0</v>
      </c>
    </row>
    <row r="115" spans="1:25" x14ac:dyDescent="0.3">
      <c r="A115" s="46">
        <v>100</v>
      </c>
      <c r="B115" s="4"/>
      <c r="C115" s="6" t="s">
        <v>18</v>
      </c>
      <c r="D115" s="5"/>
      <c r="E115" s="5" t="s">
        <v>68</v>
      </c>
      <c r="F115" s="5" t="s">
        <v>207</v>
      </c>
      <c r="G115" s="5" t="s">
        <v>57</v>
      </c>
      <c r="H115" s="5" t="s">
        <v>71</v>
      </c>
      <c r="I115" s="5" t="s">
        <v>208</v>
      </c>
      <c r="J115" s="5" t="s">
        <v>59</v>
      </c>
      <c r="K115" s="5" t="s">
        <v>53</v>
      </c>
      <c r="L115" s="5" t="s">
        <v>66</v>
      </c>
      <c r="M115" s="5" t="s">
        <v>54</v>
      </c>
      <c r="N115" s="5" t="s">
        <v>47</v>
      </c>
      <c r="O115" s="5" t="s">
        <v>209</v>
      </c>
      <c r="P115" s="5" t="s">
        <v>65</v>
      </c>
      <c r="Q115" s="1">
        <v>6</v>
      </c>
      <c r="R115" s="1">
        <v>74</v>
      </c>
      <c r="S115" s="1">
        <v>42</v>
      </c>
      <c r="X115">
        <f t="shared" si="12"/>
        <v>113</v>
      </c>
      <c r="Y115">
        <f t="shared" si="11"/>
        <v>0</v>
      </c>
    </row>
    <row r="116" spans="1:25" x14ac:dyDescent="0.3">
      <c r="A116" s="46">
        <v>101</v>
      </c>
      <c r="B116" s="4"/>
      <c r="C116" s="6" t="s">
        <v>19</v>
      </c>
      <c r="D116" s="5"/>
      <c r="E116" s="5" t="s">
        <v>68</v>
      </c>
      <c r="F116" s="5" t="s">
        <v>207</v>
      </c>
      <c r="G116" s="5" t="s">
        <v>62</v>
      </c>
      <c r="H116" s="5" t="s">
        <v>71</v>
      </c>
      <c r="I116" s="5" t="s">
        <v>208</v>
      </c>
      <c r="J116" s="5" t="s">
        <v>59</v>
      </c>
      <c r="K116" s="5" t="s">
        <v>53</v>
      </c>
      <c r="L116" s="5" t="s">
        <v>64</v>
      </c>
      <c r="M116" s="5" t="s">
        <v>48</v>
      </c>
      <c r="N116" s="5" t="s">
        <v>55</v>
      </c>
      <c r="O116" s="5" t="s">
        <v>209</v>
      </c>
      <c r="P116" s="5" t="s">
        <v>65</v>
      </c>
      <c r="Q116" s="1">
        <v>6</v>
      </c>
      <c r="R116" s="1">
        <v>94</v>
      </c>
      <c r="S116" s="1">
        <v>42</v>
      </c>
      <c r="X116">
        <f t="shared" si="12"/>
        <v>114</v>
      </c>
      <c r="Y116">
        <f t="shared" si="11"/>
        <v>0</v>
      </c>
    </row>
    <row r="117" spans="1:25" ht="28.8" x14ac:dyDescent="0.3">
      <c r="A117" s="46">
        <v>102</v>
      </c>
      <c r="B117" s="4"/>
      <c r="C117" s="6" t="s">
        <v>137</v>
      </c>
      <c r="D117" s="5"/>
      <c r="E117" s="5" t="s">
        <v>210</v>
      </c>
      <c r="F117" s="5" t="s">
        <v>50</v>
      </c>
      <c r="G117" s="5" t="s">
        <v>57</v>
      </c>
      <c r="H117" s="5" t="s">
        <v>71</v>
      </c>
      <c r="I117" s="5" t="s">
        <v>56</v>
      </c>
      <c r="J117" s="5" t="s">
        <v>59</v>
      </c>
      <c r="K117" s="5" t="s">
        <v>53</v>
      </c>
      <c r="L117" s="5" t="s">
        <v>64</v>
      </c>
      <c r="M117" s="5" t="s">
        <v>54</v>
      </c>
      <c r="N117" s="5" t="s">
        <v>55</v>
      </c>
      <c r="O117" s="5" t="s">
        <v>209</v>
      </c>
      <c r="P117" s="5" t="s">
        <v>52</v>
      </c>
      <c r="Q117" s="1">
        <v>6</v>
      </c>
      <c r="R117" s="1">
        <v>83</v>
      </c>
      <c r="S117" s="1">
        <v>42</v>
      </c>
      <c r="X117">
        <f t="shared" si="12"/>
        <v>115</v>
      </c>
      <c r="Y117">
        <f t="shared" si="11"/>
        <v>0</v>
      </c>
    </row>
    <row r="118" spans="1:25" x14ac:dyDescent="0.3">
      <c r="A118" s="46">
        <v>103</v>
      </c>
      <c r="B118" s="4"/>
      <c r="C118" s="6" t="s">
        <v>35</v>
      </c>
      <c r="D118" s="5"/>
      <c r="E118" s="5" t="s">
        <v>210</v>
      </c>
      <c r="F118" s="5" t="s">
        <v>207</v>
      </c>
      <c r="G118" s="5" t="s">
        <v>57</v>
      </c>
      <c r="H118" s="5" t="s">
        <v>71</v>
      </c>
      <c r="I118" s="5" t="s">
        <v>208</v>
      </c>
      <c r="J118" s="5" t="s">
        <v>59</v>
      </c>
      <c r="K118" s="5" t="s">
        <v>53</v>
      </c>
      <c r="L118" s="5" t="s">
        <v>64</v>
      </c>
      <c r="M118" s="5" t="s">
        <v>54</v>
      </c>
      <c r="N118" s="5" t="s">
        <v>55</v>
      </c>
      <c r="O118" s="5" t="s">
        <v>60</v>
      </c>
      <c r="P118" s="5" t="s">
        <v>65</v>
      </c>
      <c r="Q118" s="1">
        <v>6</v>
      </c>
      <c r="R118" s="1">
        <v>83</v>
      </c>
      <c r="S118" s="1">
        <v>42</v>
      </c>
      <c r="X118">
        <f t="shared" si="12"/>
        <v>116</v>
      </c>
      <c r="Y118">
        <f t="shared" si="11"/>
        <v>0</v>
      </c>
    </row>
    <row r="119" spans="1:25" ht="28.8" x14ac:dyDescent="0.3">
      <c r="A119" s="46">
        <v>104</v>
      </c>
      <c r="B119" s="4"/>
      <c r="C119" s="6" t="s">
        <v>36</v>
      </c>
      <c r="D119" s="5"/>
      <c r="E119" s="5" t="s">
        <v>210</v>
      </c>
      <c r="F119" s="5" t="s">
        <v>50</v>
      </c>
      <c r="G119" s="5" t="s">
        <v>57</v>
      </c>
      <c r="H119" s="5" t="s">
        <v>71</v>
      </c>
      <c r="I119" s="5" t="s">
        <v>208</v>
      </c>
      <c r="J119" s="5" t="s">
        <v>59</v>
      </c>
      <c r="K119" s="5" t="s">
        <v>53</v>
      </c>
      <c r="L119" s="5" t="s">
        <v>66</v>
      </c>
      <c r="M119" s="5" t="s">
        <v>48</v>
      </c>
      <c r="N119" s="5" t="s">
        <v>47</v>
      </c>
      <c r="O119" s="5" t="s">
        <v>209</v>
      </c>
      <c r="P119" s="5" t="s">
        <v>52</v>
      </c>
      <c r="Q119" s="1">
        <v>6</v>
      </c>
      <c r="R119" s="1">
        <v>80</v>
      </c>
      <c r="S119" s="1">
        <v>42</v>
      </c>
      <c r="X119">
        <f t="shared" si="12"/>
        <v>117</v>
      </c>
      <c r="Y119">
        <f t="shared" si="11"/>
        <v>0</v>
      </c>
    </row>
    <row r="120" spans="1:25" ht="28.8" x14ac:dyDescent="0.3">
      <c r="A120" s="46">
        <v>105</v>
      </c>
      <c r="B120" s="4"/>
      <c r="C120" s="6" t="s">
        <v>198</v>
      </c>
      <c r="D120" s="5"/>
      <c r="E120" s="5" t="s">
        <v>210</v>
      </c>
      <c r="F120" s="5" t="s">
        <v>50</v>
      </c>
      <c r="G120" s="5" t="s">
        <v>57</v>
      </c>
      <c r="H120" s="5" t="s">
        <v>71</v>
      </c>
      <c r="I120" s="5" t="s">
        <v>56</v>
      </c>
      <c r="J120" s="5" t="s">
        <v>72</v>
      </c>
      <c r="K120" s="5" t="s">
        <v>53</v>
      </c>
      <c r="L120" s="5" t="s">
        <v>64</v>
      </c>
      <c r="M120" s="5" t="s">
        <v>54</v>
      </c>
      <c r="N120" s="5" t="s">
        <v>55</v>
      </c>
      <c r="O120" s="5" t="s">
        <v>60</v>
      </c>
      <c r="P120" s="5" t="s">
        <v>52</v>
      </c>
      <c r="Q120" s="1">
        <v>6</v>
      </c>
      <c r="R120" s="1">
        <v>78</v>
      </c>
      <c r="S120" s="1">
        <v>42</v>
      </c>
      <c r="X120">
        <f t="shared" si="12"/>
        <v>118</v>
      </c>
      <c r="Y120">
        <f t="shared" si="11"/>
        <v>0</v>
      </c>
    </row>
    <row r="121" spans="1:25" x14ac:dyDescent="0.3">
      <c r="A121" s="46">
        <v>106</v>
      </c>
      <c r="B121" s="4"/>
      <c r="C121" s="6" t="s">
        <v>95</v>
      </c>
      <c r="D121" s="5"/>
      <c r="E121" s="5" t="s">
        <v>210</v>
      </c>
      <c r="F121" s="5" t="s">
        <v>207</v>
      </c>
      <c r="G121" s="5" t="s">
        <v>57</v>
      </c>
      <c r="H121" s="5" t="s">
        <v>71</v>
      </c>
      <c r="I121" s="5" t="s">
        <v>208</v>
      </c>
      <c r="J121" s="5" t="s">
        <v>72</v>
      </c>
      <c r="K121" s="5" t="s">
        <v>53</v>
      </c>
      <c r="L121" s="5" t="s">
        <v>64</v>
      </c>
      <c r="M121" s="5" t="s">
        <v>54</v>
      </c>
      <c r="N121" s="5" t="s">
        <v>55</v>
      </c>
      <c r="O121" s="5" t="s">
        <v>60</v>
      </c>
      <c r="P121" s="5" t="s">
        <v>52</v>
      </c>
      <c r="Q121" s="1">
        <v>6</v>
      </c>
      <c r="R121" s="1">
        <v>90</v>
      </c>
      <c r="S121" s="1">
        <v>41</v>
      </c>
    </row>
    <row r="122" spans="1:25" ht="28.8" x14ac:dyDescent="0.3">
      <c r="A122" s="46">
        <v>107</v>
      </c>
      <c r="B122" s="4"/>
      <c r="C122" s="6" t="s">
        <v>99</v>
      </c>
      <c r="D122" s="5"/>
      <c r="E122" s="5" t="s">
        <v>210</v>
      </c>
      <c r="F122" s="5" t="s">
        <v>207</v>
      </c>
      <c r="G122" s="5" t="s">
        <v>57</v>
      </c>
      <c r="H122" s="5" t="s">
        <v>71</v>
      </c>
      <c r="I122" s="5" t="s">
        <v>208</v>
      </c>
      <c r="J122" s="5" t="s">
        <v>59</v>
      </c>
      <c r="K122" s="5" t="s">
        <v>53</v>
      </c>
      <c r="L122" s="5" t="s">
        <v>64</v>
      </c>
      <c r="M122" s="5" t="s">
        <v>48</v>
      </c>
      <c r="N122" s="5" t="s">
        <v>55</v>
      </c>
      <c r="O122" s="5" t="s">
        <v>60</v>
      </c>
      <c r="P122" s="5" t="s">
        <v>52</v>
      </c>
      <c r="Q122" s="1">
        <v>6</v>
      </c>
      <c r="R122" s="1">
        <v>100</v>
      </c>
      <c r="S122" s="1">
        <v>41</v>
      </c>
    </row>
    <row r="123" spans="1:25" x14ac:dyDescent="0.3">
      <c r="A123" s="46">
        <v>108</v>
      </c>
      <c r="B123" s="4"/>
      <c r="C123" s="6" t="s">
        <v>201</v>
      </c>
      <c r="D123" s="5"/>
      <c r="E123" s="5" t="s">
        <v>210</v>
      </c>
      <c r="F123" s="5" t="s">
        <v>207</v>
      </c>
      <c r="G123" s="5" t="s">
        <v>62</v>
      </c>
      <c r="H123" s="5" t="s">
        <v>63</v>
      </c>
      <c r="I123" s="5" t="s">
        <v>56</v>
      </c>
      <c r="J123" s="5" t="s">
        <v>59</v>
      </c>
      <c r="K123" s="5" t="s">
        <v>53</v>
      </c>
      <c r="L123" s="5" t="s">
        <v>64</v>
      </c>
      <c r="M123" s="5" t="s">
        <v>54</v>
      </c>
      <c r="N123" s="5" t="s">
        <v>47</v>
      </c>
      <c r="O123" s="5" t="s">
        <v>60</v>
      </c>
      <c r="P123" s="5" t="s">
        <v>65</v>
      </c>
      <c r="Q123" s="1">
        <v>6</v>
      </c>
      <c r="R123" s="1">
        <v>71</v>
      </c>
      <c r="S123" s="1">
        <v>40</v>
      </c>
    </row>
    <row r="124" spans="1:25" x14ac:dyDescent="0.3">
      <c r="A124" s="46">
        <v>109</v>
      </c>
      <c r="B124" s="4"/>
      <c r="C124" s="6" t="s">
        <v>101</v>
      </c>
      <c r="D124" s="5"/>
      <c r="E124" s="5" t="s">
        <v>210</v>
      </c>
      <c r="F124" s="5" t="s">
        <v>50</v>
      </c>
      <c r="G124" s="5" t="s">
        <v>62</v>
      </c>
      <c r="H124" s="5" t="s">
        <v>63</v>
      </c>
      <c r="I124" s="5" t="s">
        <v>56</v>
      </c>
      <c r="J124" s="5" t="s">
        <v>72</v>
      </c>
      <c r="K124" s="5" t="s">
        <v>53</v>
      </c>
      <c r="L124" s="5" t="s">
        <v>64</v>
      </c>
      <c r="M124" s="5" t="s">
        <v>54</v>
      </c>
      <c r="N124" s="5" t="s">
        <v>47</v>
      </c>
      <c r="O124" s="5" t="s">
        <v>60</v>
      </c>
      <c r="P124" s="5" t="s">
        <v>65</v>
      </c>
      <c r="Q124" s="1">
        <v>6</v>
      </c>
      <c r="R124" s="1">
        <v>77</v>
      </c>
      <c r="S124" s="1">
        <v>38</v>
      </c>
    </row>
    <row r="125" spans="1:25" x14ac:dyDescent="0.3">
      <c r="A125" s="46">
        <v>110</v>
      </c>
      <c r="B125" s="4"/>
      <c r="C125" s="6" t="s">
        <v>39</v>
      </c>
      <c r="D125" s="5"/>
      <c r="E125" s="5" t="s">
        <v>210</v>
      </c>
      <c r="F125" s="5" t="s">
        <v>50</v>
      </c>
      <c r="G125" s="5" t="s">
        <v>62</v>
      </c>
      <c r="H125" s="5" t="s">
        <v>63</v>
      </c>
      <c r="I125" s="5" t="s">
        <v>56</v>
      </c>
      <c r="J125" s="5" t="s">
        <v>72</v>
      </c>
      <c r="K125" s="5" t="s">
        <v>70</v>
      </c>
      <c r="L125" s="5" t="s">
        <v>66</v>
      </c>
      <c r="M125" s="5" t="s">
        <v>54</v>
      </c>
      <c r="N125" s="5" t="s">
        <v>47</v>
      </c>
      <c r="O125" s="5" t="s">
        <v>209</v>
      </c>
      <c r="P125" s="5" t="s">
        <v>65</v>
      </c>
      <c r="Q125" s="1">
        <v>5</v>
      </c>
      <c r="R125" s="1">
        <v>85</v>
      </c>
      <c r="S125" s="1">
        <v>53</v>
      </c>
    </row>
    <row r="126" spans="1:25" x14ac:dyDescent="0.3">
      <c r="A126" s="46">
        <v>111</v>
      </c>
      <c r="B126" s="4"/>
      <c r="C126" s="6" t="s">
        <v>45</v>
      </c>
      <c r="D126" s="5"/>
      <c r="E126" s="5" t="s">
        <v>210</v>
      </c>
      <c r="F126" s="5" t="s">
        <v>207</v>
      </c>
      <c r="G126" s="5" t="s">
        <v>57</v>
      </c>
      <c r="H126" s="5" t="s">
        <v>71</v>
      </c>
      <c r="I126" s="5" t="s">
        <v>208</v>
      </c>
      <c r="J126" s="5" t="s">
        <v>59</v>
      </c>
      <c r="K126" s="5" t="s">
        <v>53</v>
      </c>
      <c r="L126" s="5" t="s">
        <v>64</v>
      </c>
      <c r="M126" s="5" t="s">
        <v>48</v>
      </c>
      <c r="N126" s="5" t="s">
        <v>55</v>
      </c>
      <c r="O126" s="5" t="s">
        <v>209</v>
      </c>
      <c r="P126" s="5" t="s">
        <v>52</v>
      </c>
      <c r="Q126" s="1">
        <v>5</v>
      </c>
      <c r="R126" s="1">
        <v>74</v>
      </c>
      <c r="S126" s="1">
        <v>52</v>
      </c>
    </row>
    <row r="127" spans="1:25" ht="28.8" x14ac:dyDescent="0.3">
      <c r="A127" s="46">
        <v>112</v>
      </c>
      <c r="B127" s="4"/>
      <c r="C127" s="6" t="s">
        <v>140</v>
      </c>
      <c r="D127" s="5"/>
      <c r="E127" s="5" t="s">
        <v>210</v>
      </c>
      <c r="F127" s="5" t="s">
        <v>50</v>
      </c>
      <c r="G127" s="5" t="s">
        <v>57</v>
      </c>
      <c r="H127" s="5" t="s">
        <v>71</v>
      </c>
      <c r="I127" s="5" t="s">
        <v>208</v>
      </c>
      <c r="J127" s="5" t="s">
        <v>72</v>
      </c>
      <c r="K127" s="5" t="s">
        <v>53</v>
      </c>
      <c r="L127" s="5" t="s">
        <v>66</v>
      </c>
      <c r="M127" s="5" t="s">
        <v>54</v>
      </c>
      <c r="N127" s="5" t="s">
        <v>55</v>
      </c>
      <c r="O127" s="5" t="s">
        <v>209</v>
      </c>
      <c r="P127" s="5" t="s">
        <v>52</v>
      </c>
      <c r="Q127" s="1">
        <v>5</v>
      </c>
      <c r="R127" s="1">
        <v>86</v>
      </c>
      <c r="S127" s="1">
        <v>54</v>
      </c>
    </row>
    <row r="128" spans="1:25" ht="28.8" x14ac:dyDescent="0.3">
      <c r="A128" s="46">
        <v>113</v>
      </c>
      <c r="B128" s="4"/>
      <c r="C128" s="6" t="s">
        <v>164</v>
      </c>
      <c r="D128" s="5"/>
      <c r="E128" s="5" t="s">
        <v>210</v>
      </c>
      <c r="F128" s="5" t="s">
        <v>50</v>
      </c>
      <c r="G128" s="5" t="s">
        <v>57</v>
      </c>
      <c r="H128" s="5" t="s">
        <v>71</v>
      </c>
      <c r="I128" s="5" t="s">
        <v>56</v>
      </c>
      <c r="J128" s="5" t="s">
        <v>59</v>
      </c>
      <c r="K128" s="5" t="s">
        <v>70</v>
      </c>
      <c r="L128" s="5" t="s">
        <v>66</v>
      </c>
      <c r="M128" s="5" t="s">
        <v>54</v>
      </c>
      <c r="N128" s="5" t="s">
        <v>55</v>
      </c>
      <c r="O128" s="5" t="s">
        <v>209</v>
      </c>
      <c r="P128" s="5" t="s">
        <v>65</v>
      </c>
      <c r="Q128" s="1">
        <v>5</v>
      </c>
      <c r="R128" s="1">
        <v>85</v>
      </c>
      <c r="S128" s="1">
        <v>52</v>
      </c>
    </row>
    <row r="129" spans="1:19" ht="28.8" x14ac:dyDescent="0.3">
      <c r="A129" s="46">
        <v>114</v>
      </c>
      <c r="B129" s="4"/>
      <c r="C129" s="6" t="s">
        <v>191</v>
      </c>
      <c r="D129" s="5"/>
      <c r="E129" s="5" t="s">
        <v>210</v>
      </c>
      <c r="F129" s="5" t="s">
        <v>207</v>
      </c>
      <c r="G129" s="5" t="s">
        <v>62</v>
      </c>
      <c r="H129" s="5" t="s">
        <v>63</v>
      </c>
      <c r="I129" s="5" t="s">
        <v>56</v>
      </c>
      <c r="J129" s="5" t="s">
        <v>59</v>
      </c>
      <c r="K129" s="5" t="s">
        <v>70</v>
      </c>
      <c r="L129" s="5" t="s">
        <v>66</v>
      </c>
      <c r="M129" s="5" t="s">
        <v>54</v>
      </c>
      <c r="N129" s="5" t="s">
        <v>47</v>
      </c>
      <c r="O129" s="5" t="s">
        <v>209</v>
      </c>
      <c r="P129" s="5" t="s">
        <v>65</v>
      </c>
      <c r="Q129" s="1">
        <v>5</v>
      </c>
      <c r="R129" s="1">
        <v>86</v>
      </c>
      <c r="S129" s="1">
        <v>55</v>
      </c>
    </row>
    <row r="130" spans="1:19" x14ac:dyDescent="0.3">
      <c r="A130" s="46">
        <v>115</v>
      </c>
      <c r="B130" s="4"/>
      <c r="C130" s="6" t="s">
        <v>7</v>
      </c>
      <c r="D130" s="5"/>
      <c r="E130" s="5" t="s">
        <v>210</v>
      </c>
      <c r="F130" s="5" t="s">
        <v>207</v>
      </c>
      <c r="G130" s="5" t="s">
        <v>57</v>
      </c>
      <c r="H130" s="5" t="s">
        <v>71</v>
      </c>
      <c r="I130" s="5" t="s">
        <v>56</v>
      </c>
      <c r="J130" s="5" t="s">
        <v>59</v>
      </c>
      <c r="K130" s="5" t="s">
        <v>53</v>
      </c>
      <c r="L130" s="5" t="s">
        <v>64</v>
      </c>
      <c r="M130" s="5" t="s">
        <v>54</v>
      </c>
      <c r="N130" s="5" t="s">
        <v>55</v>
      </c>
      <c r="O130" s="5" t="s">
        <v>60</v>
      </c>
      <c r="P130" s="5" t="s">
        <v>65</v>
      </c>
      <c r="Q130" s="1">
        <v>5</v>
      </c>
      <c r="R130" s="1">
        <v>78</v>
      </c>
      <c r="S130" s="1">
        <v>51</v>
      </c>
    </row>
    <row r="131" spans="1:19" ht="28.8" x14ac:dyDescent="0.3">
      <c r="A131" s="46">
        <v>116</v>
      </c>
      <c r="B131" s="4"/>
      <c r="C131" s="6" t="s">
        <v>113</v>
      </c>
      <c r="D131" s="5"/>
      <c r="E131" s="5" t="s">
        <v>210</v>
      </c>
      <c r="F131" s="5" t="s">
        <v>207</v>
      </c>
      <c r="G131" s="5" t="s">
        <v>57</v>
      </c>
      <c r="H131" s="5" t="s">
        <v>71</v>
      </c>
      <c r="I131" s="5" t="s">
        <v>208</v>
      </c>
      <c r="J131" s="5" t="s">
        <v>59</v>
      </c>
      <c r="K131" s="5" t="s">
        <v>53</v>
      </c>
      <c r="L131" s="5" t="s">
        <v>66</v>
      </c>
      <c r="M131" s="5" t="s">
        <v>48</v>
      </c>
      <c r="N131" s="5" t="s">
        <v>55</v>
      </c>
      <c r="O131" s="5" t="s">
        <v>60</v>
      </c>
      <c r="P131" s="5" t="s">
        <v>52</v>
      </c>
      <c r="Q131" s="1">
        <v>5</v>
      </c>
      <c r="R131" s="1">
        <v>90</v>
      </c>
      <c r="S131" s="1">
        <v>50</v>
      </c>
    </row>
    <row r="132" spans="1:19" ht="28.8" x14ac:dyDescent="0.3">
      <c r="A132" s="46">
        <v>117</v>
      </c>
      <c r="B132" s="4"/>
      <c r="C132" s="6" t="s">
        <v>165</v>
      </c>
      <c r="D132" s="5"/>
      <c r="E132" s="5" t="s">
        <v>68</v>
      </c>
      <c r="F132" s="5" t="s">
        <v>50</v>
      </c>
      <c r="G132" s="5" t="s">
        <v>62</v>
      </c>
      <c r="H132" s="5" t="s">
        <v>63</v>
      </c>
      <c r="I132" s="5" t="s">
        <v>56</v>
      </c>
      <c r="J132" s="5" t="s">
        <v>72</v>
      </c>
      <c r="K132" s="5" t="s">
        <v>70</v>
      </c>
      <c r="L132" s="5" t="s">
        <v>66</v>
      </c>
      <c r="M132" s="5" t="s">
        <v>48</v>
      </c>
      <c r="N132" s="5" t="s">
        <v>47</v>
      </c>
      <c r="O132" s="5" t="s">
        <v>209</v>
      </c>
      <c r="P132" s="5" t="s">
        <v>65</v>
      </c>
      <c r="Q132" s="1">
        <v>5</v>
      </c>
      <c r="R132" s="1">
        <v>76</v>
      </c>
      <c r="S132" s="1">
        <v>49</v>
      </c>
    </row>
    <row r="133" spans="1:19" ht="28.8" x14ac:dyDescent="0.3">
      <c r="A133" s="46">
        <v>118</v>
      </c>
      <c r="B133" s="4"/>
      <c r="C133" s="6" t="s">
        <v>22</v>
      </c>
      <c r="D133" s="5"/>
      <c r="E133" s="5" t="s">
        <v>68</v>
      </c>
      <c r="F133" s="5" t="s">
        <v>50</v>
      </c>
      <c r="G133" s="5" t="s">
        <v>57</v>
      </c>
      <c r="H133" s="5" t="s">
        <v>71</v>
      </c>
      <c r="I133" s="5" t="s">
        <v>56</v>
      </c>
      <c r="J133" s="5" t="s">
        <v>72</v>
      </c>
      <c r="K133" s="5" t="s">
        <v>53</v>
      </c>
      <c r="L133" s="5" t="s">
        <v>66</v>
      </c>
      <c r="M133" s="5" t="s">
        <v>54</v>
      </c>
      <c r="N133" s="5" t="s">
        <v>55</v>
      </c>
      <c r="O133" s="5" t="s">
        <v>209</v>
      </c>
      <c r="P133" s="5" t="s">
        <v>52</v>
      </c>
      <c r="Q133" s="1">
        <v>5</v>
      </c>
      <c r="R133" s="1">
        <v>92</v>
      </c>
      <c r="S133" s="1">
        <v>49</v>
      </c>
    </row>
    <row r="134" spans="1:19" x14ac:dyDescent="0.3">
      <c r="A134" s="46">
        <v>119</v>
      </c>
      <c r="B134" s="4"/>
      <c r="C134" s="6" t="s">
        <v>106</v>
      </c>
      <c r="D134" s="5"/>
      <c r="E134" s="5" t="s">
        <v>210</v>
      </c>
      <c r="F134" s="5" t="s">
        <v>207</v>
      </c>
      <c r="G134" s="5" t="s">
        <v>57</v>
      </c>
      <c r="H134" s="5" t="s">
        <v>63</v>
      </c>
      <c r="I134" s="5" t="s">
        <v>56</v>
      </c>
      <c r="J134" s="5" t="s">
        <v>59</v>
      </c>
      <c r="K134" s="5" t="s">
        <v>70</v>
      </c>
      <c r="L134" s="5" t="s">
        <v>64</v>
      </c>
      <c r="M134" s="5" t="s">
        <v>48</v>
      </c>
      <c r="N134" s="5" t="s">
        <v>55</v>
      </c>
      <c r="O134" s="5" t="s">
        <v>60</v>
      </c>
      <c r="P134" s="5" t="s">
        <v>52</v>
      </c>
      <c r="Q134" s="1">
        <v>5</v>
      </c>
      <c r="R134" s="1">
        <v>83</v>
      </c>
      <c r="S134" s="1">
        <v>48</v>
      </c>
    </row>
    <row r="135" spans="1:19" x14ac:dyDescent="0.3">
      <c r="A135" s="46">
        <v>120</v>
      </c>
      <c r="B135" s="4"/>
      <c r="C135" s="6" t="s">
        <v>109</v>
      </c>
      <c r="D135" s="5"/>
      <c r="E135" s="5" t="s">
        <v>210</v>
      </c>
      <c r="F135" s="5" t="s">
        <v>50</v>
      </c>
      <c r="G135" s="5" t="s">
        <v>57</v>
      </c>
      <c r="H135" s="5" t="s">
        <v>71</v>
      </c>
      <c r="I135" s="5" t="s">
        <v>56</v>
      </c>
      <c r="J135" s="5" t="s">
        <v>59</v>
      </c>
      <c r="K135" s="5" t="s">
        <v>53</v>
      </c>
      <c r="L135" s="5" t="s">
        <v>64</v>
      </c>
      <c r="M135" s="5" t="s">
        <v>54</v>
      </c>
      <c r="N135" s="5" t="s">
        <v>55</v>
      </c>
      <c r="O135" s="5" t="s">
        <v>209</v>
      </c>
      <c r="P135" s="5" t="s">
        <v>65</v>
      </c>
      <c r="Q135" s="1">
        <v>5</v>
      </c>
      <c r="R135" s="1">
        <v>88</v>
      </c>
      <c r="S135" s="1">
        <v>48</v>
      </c>
    </row>
    <row r="136" spans="1:19" x14ac:dyDescent="0.3">
      <c r="A136" s="46">
        <v>121</v>
      </c>
      <c r="B136" s="4"/>
      <c r="C136" s="6" t="s">
        <v>189</v>
      </c>
      <c r="D136" s="5"/>
      <c r="E136" s="5" t="s">
        <v>210</v>
      </c>
      <c r="F136" s="5" t="s">
        <v>207</v>
      </c>
      <c r="G136" s="5" t="s">
        <v>57</v>
      </c>
      <c r="H136" s="5" t="s">
        <v>71</v>
      </c>
      <c r="I136" s="5" t="s">
        <v>208</v>
      </c>
      <c r="J136" s="5" t="s">
        <v>59</v>
      </c>
      <c r="K136" s="5" t="s">
        <v>53</v>
      </c>
      <c r="L136" s="5" t="s">
        <v>64</v>
      </c>
      <c r="M136" s="5" t="s">
        <v>48</v>
      </c>
      <c r="N136" s="5" t="s">
        <v>55</v>
      </c>
      <c r="O136" s="5" t="s">
        <v>60</v>
      </c>
      <c r="P136" s="5" t="s">
        <v>65</v>
      </c>
      <c r="Q136" s="1">
        <v>5</v>
      </c>
      <c r="R136" s="1">
        <v>89</v>
      </c>
      <c r="S136" s="1">
        <v>48</v>
      </c>
    </row>
    <row r="137" spans="1:19" ht="28.8" x14ac:dyDescent="0.3">
      <c r="A137" s="46">
        <v>122</v>
      </c>
      <c r="B137" s="4"/>
      <c r="C137" s="6" t="s">
        <v>175</v>
      </c>
      <c r="D137" s="5"/>
      <c r="E137" s="5" t="s">
        <v>210</v>
      </c>
      <c r="F137" s="5" t="s">
        <v>207</v>
      </c>
      <c r="G137" s="5" t="s">
        <v>57</v>
      </c>
      <c r="H137" s="5" t="s">
        <v>71</v>
      </c>
      <c r="I137" s="5" t="s">
        <v>56</v>
      </c>
      <c r="J137" s="5" t="s">
        <v>59</v>
      </c>
      <c r="K137" s="5" t="s">
        <v>53</v>
      </c>
      <c r="L137" s="5" t="s">
        <v>64</v>
      </c>
      <c r="M137" s="5" t="s">
        <v>54</v>
      </c>
      <c r="N137" s="5" t="s">
        <v>55</v>
      </c>
      <c r="O137" s="5" t="s">
        <v>60</v>
      </c>
      <c r="P137" s="5" t="s">
        <v>65</v>
      </c>
      <c r="Q137" s="1">
        <v>5</v>
      </c>
      <c r="R137" s="1">
        <v>73</v>
      </c>
      <c r="S137" s="1">
        <v>48</v>
      </c>
    </row>
    <row r="138" spans="1:19" ht="28.8" x14ac:dyDescent="0.3">
      <c r="A138" s="46">
        <v>123</v>
      </c>
      <c r="B138" s="4"/>
      <c r="C138" s="6" t="s">
        <v>184</v>
      </c>
      <c r="D138" s="5"/>
      <c r="E138" s="5" t="s">
        <v>210</v>
      </c>
      <c r="F138" s="5" t="s">
        <v>50</v>
      </c>
      <c r="G138" s="5" t="s">
        <v>62</v>
      </c>
      <c r="H138" s="5" t="s">
        <v>63</v>
      </c>
      <c r="I138" s="5" t="s">
        <v>208</v>
      </c>
      <c r="J138" s="5" t="s">
        <v>59</v>
      </c>
      <c r="K138" s="5" t="s">
        <v>53</v>
      </c>
      <c r="L138" s="5" t="s">
        <v>66</v>
      </c>
      <c r="M138" s="5" t="s">
        <v>54</v>
      </c>
      <c r="N138" s="5" t="s">
        <v>55</v>
      </c>
      <c r="O138" s="5" t="s">
        <v>209</v>
      </c>
      <c r="P138" s="5" t="s">
        <v>65</v>
      </c>
      <c r="Q138" s="1">
        <v>5</v>
      </c>
      <c r="R138" s="1">
        <v>81</v>
      </c>
      <c r="S138" s="1">
        <v>58</v>
      </c>
    </row>
    <row r="139" spans="1:19" ht="28.8" x14ac:dyDescent="0.3">
      <c r="A139" s="46">
        <v>124</v>
      </c>
      <c r="B139" s="4"/>
      <c r="C139" s="6" t="s">
        <v>87</v>
      </c>
      <c r="D139" s="5"/>
      <c r="E139" s="5" t="s">
        <v>68</v>
      </c>
      <c r="F139" s="5" t="s">
        <v>50</v>
      </c>
      <c r="G139" s="5" t="s">
        <v>62</v>
      </c>
      <c r="H139" s="5" t="s">
        <v>63</v>
      </c>
      <c r="I139" s="5" t="s">
        <v>208</v>
      </c>
      <c r="J139" s="5" t="s">
        <v>72</v>
      </c>
      <c r="K139" s="5" t="s">
        <v>53</v>
      </c>
      <c r="L139" s="5" t="s">
        <v>66</v>
      </c>
      <c r="M139" s="5" t="s">
        <v>48</v>
      </c>
      <c r="N139" s="5" t="s">
        <v>55</v>
      </c>
      <c r="O139" s="5" t="s">
        <v>209</v>
      </c>
      <c r="P139" s="5" t="s">
        <v>52</v>
      </c>
      <c r="Q139" s="1">
        <v>5</v>
      </c>
      <c r="R139" s="1">
        <v>74</v>
      </c>
      <c r="S139" s="1">
        <v>47</v>
      </c>
    </row>
    <row r="140" spans="1:19" x14ac:dyDescent="0.3">
      <c r="A140" s="46">
        <v>125</v>
      </c>
      <c r="B140" s="4"/>
      <c r="C140" s="6" t="s">
        <v>97</v>
      </c>
      <c r="D140" s="5"/>
      <c r="E140" s="5" t="s">
        <v>210</v>
      </c>
      <c r="F140" s="5" t="s">
        <v>50</v>
      </c>
      <c r="G140" s="5" t="s">
        <v>57</v>
      </c>
      <c r="H140" s="5" t="s">
        <v>71</v>
      </c>
      <c r="I140" s="5" t="s">
        <v>208</v>
      </c>
      <c r="J140" s="5" t="s">
        <v>59</v>
      </c>
      <c r="K140" s="5" t="s">
        <v>53</v>
      </c>
      <c r="L140" s="5" t="s">
        <v>64</v>
      </c>
      <c r="M140" s="5" t="s">
        <v>48</v>
      </c>
      <c r="N140" s="5" t="s">
        <v>55</v>
      </c>
      <c r="O140" s="5" t="s">
        <v>209</v>
      </c>
      <c r="P140" s="5" t="s">
        <v>65</v>
      </c>
      <c r="Q140" s="1">
        <v>5</v>
      </c>
      <c r="R140" s="1">
        <v>79</v>
      </c>
      <c r="S140" s="1">
        <v>47</v>
      </c>
    </row>
    <row r="141" spans="1:19" x14ac:dyDescent="0.3">
      <c r="A141" s="46">
        <v>126</v>
      </c>
      <c r="B141" s="4"/>
      <c r="C141" s="6" t="s">
        <v>178</v>
      </c>
      <c r="D141" s="5"/>
      <c r="E141" s="5" t="s">
        <v>210</v>
      </c>
      <c r="F141" s="5" t="s">
        <v>207</v>
      </c>
      <c r="G141" s="5" t="s">
        <v>57</v>
      </c>
      <c r="H141" s="5" t="s">
        <v>63</v>
      </c>
      <c r="I141" s="5" t="s">
        <v>208</v>
      </c>
      <c r="J141" s="5" t="s">
        <v>59</v>
      </c>
      <c r="K141" s="5" t="s">
        <v>53</v>
      </c>
      <c r="L141" s="5" t="s">
        <v>64</v>
      </c>
      <c r="M141" s="5" t="s">
        <v>54</v>
      </c>
      <c r="N141" s="5" t="s">
        <v>55</v>
      </c>
      <c r="O141" s="5" t="s">
        <v>60</v>
      </c>
      <c r="P141" s="5" t="s">
        <v>65</v>
      </c>
      <c r="Q141" s="1">
        <v>5</v>
      </c>
      <c r="R141" s="1">
        <v>81</v>
      </c>
      <c r="S141" s="1">
        <v>47</v>
      </c>
    </row>
    <row r="142" spans="1:19" x14ac:dyDescent="0.3">
      <c r="A142" s="46">
        <v>127</v>
      </c>
      <c r="B142" s="4"/>
      <c r="C142" s="6" t="s">
        <v>83</v>
      </c>
      <c r="D142" s="5"/>
      <c r="E142" s="5" t="s">
        <v>210</v>
      </c>
      <c r="F142" s="5" t="s">
        <v>207</v>
      </c>
      <c r="G142" s="5" t="s">
        <v>57</v>
      </c>
      <c r="H142" s="5" t="s">
        <v>71</v>
      </c>
      <c r="I142" s="5" t="s">
        <v>56</v>
      </c>
      <c r="J142" s="5" t="s">
        <v>59</v>
      </c>
      <c r="K142" s="5" t="s">
        <v>53</v>
      </c>
      <c r="L142" s="5" t="s">
        <v>64</v>
      </c>
      <c r="M142" s="5" t="s">
        <v>54</v>
      </c>
      <c r="N142" s="5" t="s">
        <v>55</v>
      </c>
      <c r="O142" s="5" t="s">
        <v>60</v>
      </c>
      <c r="P142" s="5" t="s">
        <v>65</v>
      </c>
      <c r="Q142" s="1">
        <v>5</v>
      </c>
      <c r="R142" s="1">
        <v>93</v>
      </c>
      <c r="S142" s="1">
        <v>46</v>
      </c>
    </row>
    <row r="143" spans="1:19" ht="28.8" x14ac:dyDescent="0.3">
      <c r="A143" s="46">
        <v>128</v>
      </c>
      <c r="B143" s="4"/>
      <c r="C143" s="6" t="s">
        <v>160</v>
      </c>
      <c r="D143" s="5"/>
      <c r="E143" s="5" t="s">
        <v>68</v>
      </c>
      <c r="F143" s="5" t="s">
        <v>207</v>
      </c>
      <c r="G143" s="5" t="s">
        <v>57</v>
      </c>
      <c r="H143" s="5" t="s">
        <v>63</v>
      </c>
      <c r="I143" s="5" t="s">
        <v>56</v>
      </c>
      <c r="J143" s="5" t="s">
        <v>72</v>
      </c>
      <c r="K143" s="5" t="s">
        <v>70</v>
      </c>
      <c r="L143" s="5" t="s">
        <v>66</v>
      </c>
      <c r="M143" s="5" t="s">
        <v>54</v>
      </c>
      <c r="N143" s="5" t="s">
        <v>47</v>
      </c>
      <c r="O143" s="5" t="s">
        <v>209</v>
      </c>
      <c r="P143" s="5" t="s">
        <v>52</v>
      </c>
      <c r="Q143" s="1">
        <v>5</v>
      </c>
      <c r="R143" s="1">
        <v>52</v>
      </c>
      <c r="S143" s="1">
        <v>45</v>
      </c>
    </row>
    <row r="144" spans="1:19" ht="43.2" x14ac:dyDescent="0.3">
      <c r="A144" s="46">
        <v>129</v>
      </c>
      <c r="B144" s="4"/>
      <c r="C144" s="6" t="s">
        <v>132</v>
      </c>
      <c r="D144" s="5"/>
      <c r="E144" s="5" t="s">
        <v>210</v>
      </c>
      <c r="F144" s="5" t="s">
        <v>207</v>
      </c>
      <c r="G144" s="5" t="s">
        <v>57</v>
      </c>
      <c r="H144" s="5" t="s">
        <v>71</v>
      </c>
      <c r="I144" s="5" t="s">
        <v>56</v>
      </c>
      <c r="J144" s="5" t="s">
        <v>59</v>
      </c>
      <c r="K144" s="5" t="s">
        <v>53</v>
      </c>
      <c r="L144" s="5" t="s">
        <v>66</v>
      </c>
      <c r="M144" s="5" t="s">
        <v>54</v>
      </c>
      <c r="N144" s="5" t="s">
        <v>47</v>
      </c>
      <c r="O144" s="5" t="s">
        <v>209</v>
      </c>
      <c r="P144" s="5" t="s">
        <v>52</v>
      </c>
      <c r="Q144" s="1">
        <v>5</v>
      </c>
      <c r="R144" s="1">
        <v>84</v>
      </c>
      <c r="S144" s="1">
        <v>45</v>
      </c>
    </row>
    <row r="145" spans="1:19" x14ac:dyDescent="0.3">
      <c r="A145" s="46">
        <v>130</v>
      </c>
      <c r="B145" s="4"/>
      <c r="C145" s="6" t="s">
        <v>96</v>
      </c>
      <c r="D145" s="5"/>
      <c r="E145" s="5" t="s">
        <v>210</v>
      </c>
      <c r="F145" s="5" t="s">
        <v>207</v>
      </c>
      <c r="G145" s="5" t="s">
        <v>57</v>
      </c>
      <c r="H145" s="5" t="s">
        <v>63</v>
      </c>
      <c r="I145" s="5" t="s">
        <v>208</v>
      </c>
      <c r="J145" s="5" t="s">
        <v>59</v>
      </c>
      <c r="K145" s="5" t="s">
        <v>70</v>
      </c>
      <c r="L145" s="5" t="s">
        <v>66</v>
      </c>
      <c r="M145" s="5" t="s">
        <v>54</v>
      </c>
      <c r="N145" s="5" t="s">
        <v>55</v>
      </c>
      <c r="O145" s="5" t="s">
        <v>60</v>
      </c>
      <c r="P145" s="5" t="s">
        <v>65</v>
      </c>
      <c r="Q145" s="1">
        <v>5</v>
      </c>
      <c r="R145" s="1">
        <v>83</v>
      </c>
      <c r="S145" s="1">
        <v>44</v>
      </c>
    </row>
    <row r="146" spans="1:19" x14ac:dyDescent="0.3">
      <c r="A146" s="46">
        <v>131</v>
      </c>
      <c r="B146" s="4"/>
      <c r="C146" s="6" t="s">
        <v>166</v>
      </c>
      <c r="D146" s="5"/>
      <c r="E146" s="5" t="s">
        <v>68</v>
      </c>
      <c r="F146" s="5" t="s">
        <v>50</v>
      </c>
      <c r="G146" s="5" t="s">
        <v>57</v>
      </c>
      <c r="H146" s="5" t="s">
        <v>63</v>
      </c>
      <c r="I146" s="5" t="s">
        <v>208</v>
      </c>
      <c r="J146" s="5" t="s">
        <v>72</v>
      </c>
      <c r="K146" s="5" t="s">
        <v>70</v>
      </c>
      <c r="L146" s="5" t="s">
        <v>66</v>
      </c>
      <c r="M146" s="5" t="s">
        <v>54</v>
      </c>
      <c r="N146" s="5" t="s">
        <v>55</v>
      </c>
      <c r="O146" s="5" t="s">
        <v>209</v>
      </c>
      <c r="P146" s="5" t="s">
        <v>65</v>
      </c>
      <c r="Q146" s="1">
        <v>5</v>
      </c>
      <c r="R146" s="1">
        <v>76</v>
      </c>
      <c r="S146" s="1">
        <v>44</v>
      </c>
    </row>
    <row r="147" spans="1:19" x14ac:dyDescent="0.3">
      <c r="A147" s="46">
        <v>132</v>
      </c>
      <c r="B147" s="4"/>
      <c r="C147" s="6" t="s">
        <v>40</v>
      </c>
      <c r="D147" s="5"/>
      <c r="E147" s="5" t="s">
        <v>210</v>
      </c>
      <c r="F147" s="5" t="s">
        <v>50</v>
      </c>
      <c r="G147" s="5" t="s">
        <v>57</v>
      </c>
      <c r="H147" s="5" t="s">
        <v>71</v>
      </c>
      <c r="I147" s="5" t="s">
        <v>56</v>
      </c>
      <c r="J147" s="5" t="s">
        <v>72</v>
      </c>
      <c r="K147" s="5" t="s">
        <v>53</v>
      </c>
      <c r="L147" s="5" t="s">
        <v>64</v>
      </c>
      <c r="M147" s="5" t="s">
        <v>54</v>
      </c>
      <c r="N147" s="5" t="s">
        <v>47</v>
      </c>
      <c r="O147" s="5" t="s">
        <v>209</v>
      </c>
      <c r="P147" s="5" t="s">
        <v>65</v>
      </c>
      <c r="Q147" s="1">
        <v>5</v>
      </c>
      <c r="R147" s="1">
        <v>88</v>
      </c>
      <c r="S147" s="1">
        <v>44</v>
      </c>
    </row>
    <row r="148" spans="1:19" ht="43.2" x14ac:dyDescent="0.3">
      <c r="A148" s="46">
        <v>133</v>
      </c>
      <c r="B148" s="4"/>
      <c r="C148" s="6" t="s">
        <v>171</v>
      </c>
      <c r="D148" s="5"/>
      <c r="E148" s="5" t="s">
        <v>210</v>
      </c>
      <c r="F148" s="5" t="s">
        <v>50</v>
      </c>
      <c r="G148" s="5" t="s">
        <v>57</v>
      </c>
      <c r="H148" s="5" t="s">
        <v>71</v>
      </c>
      <c r="I148" s="5" t="s">
        <v>56</v>
      </c>
      <c r="J148" s="5" t="s">
        <v>59</v>
      </c>
      <c r="K148" s="5" t="s">
        <v>70</v>
      </c>
      <c r="L148" s="5" t="s">
        <v>66</v>
      </c>
      <c r="M148" s="5" t="s">
        <v>48</v>
      </c>
      <c r="N148" s="5" t="s">
        <v>55</v>
      </c>
      <c r="O148" s="5" t="s">
        <v>209</v>
      </c>
      <c r="P148" s="5" t="s">
        <v>52</v>
      </c>
      <c r="Q148" s="1">
        <v>5</v>
      </c>
      <c r="R148" s="1">
        <v>82</v>
      </c>
      <c r="S148" s="1">
        <v>44</v>
      </c>
    </row>
    <row r="149" spans="1:19" ht="43.2" x14ac:dyDescent="0.3">
      <c r="A149" s="46">
        <v>134</v>
      </c>
      <c r="B149" s="4"/>
      <c r="C149" s="6" t="s">
        <v>188</v>
      </c>
      <c r="D149" s="5"/>
      <c r="E149" s="5" t="s">
        <v>210</v>
      </c>
      <c r="F149" s="5" t="s">
        <v>50</v>
      </c>
      <c r="G149" s="5" t="s">
        <v>57</v>
      </c>
      <c r="H149" s="5" t="s">
        <v>71</v>
      </c>
      <c r="I149" s="5" t="s">
        <v>56</v>
      </c>
      <c r="J149" s="5" t="s">
        <v>59</v>
      </c>
      <c r="K149" s="5" t="s">
        <v>53</v>
      </c>
      <c r="L149" s="5" t="s">
        <v>64</v>
      </c>
      <c r="M149" s="5" t="s">
        <v>48</v>
      </c>
      <c r="N149" s="5" t="s">
        <v>55</v>
      </c>
      <c r="O149" s="5" t="s">
        <v>209</v>
      </c>
      <c r="P149" s="5" t="s">
        <v>52</v>
      </c>
      <c r="Q149" s="1">
        <v>5</v>
      </c>
      <c r="R149" s="1">
        <v>80</v>
      </c>
      <c r="S149" s="1">
        <v>42</v>
      </c>
    </row>
    <row r="150" spans="1:19" x14ac:dyDescent="0.3">
      <c r="A150" s="46">
        <v>135</v>
      </c>
      <c r="B150" s="4"/>
      <c r="C150" s="6" t="s">
        <v>33</v>
      </c>
      <c r="D150" s="5"/>
      <c r="E150" s="5" t="s">
        <v>210</v>
      </c>
      <c r="F150" s="5" t="s">
        <v>50</v>
      </c>
      <c r="G150" s="5" t="s">
        <v>57</v>
      </c>
      <c r="H150" s="5" t="s">
        <v>71</v>
      </c>
      <c r="I150" s="5" t="s">
        <v>208</v>
      </c>
      <c r="J150" s="5" t="s">
        <v>59</v>
      </c>
      <c r="K150" s="5" t="s">
        <v>53</v>
      </c>
      <c r="L150" s="5" t="s">
        <v>64</v>
      </c>
      <c r="M150" s="5" t="s">
        <v>48</v>
      </c>
      <c r="N150" s="5" t="s">
        <v>55</v>
      </c>
      <c r="O150" s="5" t="s">
        <v>209</v>
      </c>
      <c r="P150" s="5" t="s">
        <v>65</v>
      </c>
      <c r="Q150" s="1">
        <v>5</v>
      </c>
      <c r="R150" s="1">
        <v>82</v>
      </c>
      <c r="S150" s="1">
        <v>42</v>
      </c>
    </row>
    <row r="151" spans="1:19" ht="28.8" x14ac:dyDescent="0.3">
      <c r="A151" s="46">
        <v>136</v>
      </c>
      <c r="B151" s="4"/>
      <c r="C151" s="6" t="s">
        <v>170</v>
      </c>
      <c r="D151" s="5"/>
      <c r="E151" s="5" t="s">
        <v>68</v>
      </c>
      <c r="F151" s="5" t="s">
        <v>50</v>
      </c>
      <c r="G151" s="5" t="s">
        <v>57</v>
      </c>
      <c r="H151" s="5" t="s">
        <v>63</v>
      </c>
      <c r="I151" s="5" t="s">
        <v>208</v>
      </c>
      <c r="J151" s="5" t="s">
        <v>72</v>
      </c>
      <c r="K151" s="5" t="s">
        <v>53</v>
      </c>
      <c r="L151" s="5" t="s">
        <v>66</v>
      </c>
      <c r="M151" s="5" t="s">
        <v>54</v>
      </c>
      <c r="N151" s="5" t="s">
        <v>47</v>
      </c>
      <c r="O151" s="5" t="s">
        <v>209</v>
      </c>
      <c r="P151" s="5" t="s">
        <v>65</v>
      </c>
      <c r="Q151" s="1">
        <v>5</v>
      </c>
      <c r="R151" s="1">
        <v>65</v>
      </c>
      <c r="S151" s="1">
        <v>41</v>
      </c>
    </row>
    <row r="152" spans="1:19" ht="28.8" x14ac:dyDescent="0.3">
      <c r="A152" s="46">
        <v>137</v>
      </c>
      <c r="B152" s="4"/>
      <c r="C152" s="6" t="s">
        <v>134</v>
      </c>
      <c r="D152" s="5"/>
      <c r="E152" s="5" t="s">
        <v>210</v>
      </c>
      <c r="F152" s="5" t="s">
        <v>50</v>
      </c>
      <c r="G152" s="5" t="s">
        <v>62</v>
      </c>
      <c r="H152" s="5" t="s">
        <v>63</v>
      </c>
      <c r="I152" s="5" t="s">
        <v>56</v>
      </c>
      <c r="J152" s="5" t="s">
        <v>72</v>
      </c>
      <c r="K152" s="5" t="s">
        <v>70</v>
      </c>
      <c r="L152" s="5" t="s">
        <v>66</v>
      </c>
      <c r="M152" s="5" t="s">
        <v>48</v>
      </c>
      <c r="N152" s="5" t="s">
        <v>47</v>
      </c>
      <c r="O152" s="5" t="s">
        <v>60</v>
      </c>
      <c r="P152" s="5" t="s">
        <v>65</v>
      </c>
      <c r="Q152" s="1">
        <v>5</v>
      </c>
      <c r="R152" s="1">
        <v>79</v>
      </c>
      <c r="S152" s="1">
        <v>37</v>
      </c>
    </row>
    <row r="153" spans="1:19" x14ac:dyDescent="0.3">
      <c r="A153" s="46">
        <v>138</v>
      </c>
      <c r="B153" s="4"/>
      <c r="C153" s="6" t="s">
        <v>111</v>
      </c>
      <c r="D153" s="5"/>
      <c r="E153" s="5" t="s">
        <v>68</v>
      </c>
      <c r="F153" s="5" t="s">
        <v>50</v>
      </c>
      <c r="G153" s="5" t="s">
        <v>57</v>
      </c>
      <c r="H153" s="5" t="s">
        <v>63</v>
      </c>
      <c r="I153" s="5" t="s">
        <v>208</v>
      </c>
      <c r="J153" s="5" t="s">
        <v>72</v>
      </c>
      <c r="K153" s="5" t="s">
        <v>53</v>
      </c>
      <c r="L153" s="5" t="s">
        <v>66</v>
      </c>
      <c r="M153" s="5" t="s">
        <v>54</v>
      </c>
      <c r="N153" s="5" t="s">
        <v>47</v>
      </c>
      <c r="O153" s="5" t="s">
        <v>209</v>
      </c>
      <c r="P153" s="5" t="s">
        <v>65</v>
      </c>
      <c r="Q153" s="1">
        <v>5</v>
      </c>
      <c r="R153" s="1">
        <v>80</v>
      </c>
      <c r="S153" s="1">
        <v>36</v>
      </c>
    </row>
    <row r="154" spans="1:19" x14ac:dyDescent="0.3">
      <c r="A154" s="46">
        <v>139</v>
      </c>
      <c r="B154" s="4"/>
      <c r="C154" s="6" t="s">
        <v>11</v>
      </c>
      <c r="D154" s="5"/>
      <c r="E154" s="5" t="s">
        <v>210</v>
      </c>
      <c r="F154" s="5" t="s">
        <v>207</v>
      </c>
      <c r="G154" s="5" t="s">
        <v>57</v>
      </c>
      <c r="H154" s="5" t="s">
        <v>63</v>
      </c>
      <c r="I154" s="5" t="s">
        <v>56</v>
      </c>
      <c r="J154" s="5" t="s">
        <v>59</v>
      </c>
      <c r="K154" s="5" t="s">
        <v>53</v>
      </c>
      <c r="L154" s="5" t="s">
        <v>64</v>
      </c>
      <c r="M154" s="5" t="s">
        <v>48</v>
      </c>
      <c r="N154" s="5" t="s">
        <v>47</v>
      </c>
      <c r="O154" s="5" t="s">
        <v>60</v>
      </c>
      <c r="P154" s="5" t="s">
        <v>65</v>
      </c>
      <c r="Q154" s="1">
        <v>4</v>
      </c>
      <c r="R154" s="1">
        <v>83</v>
      </c>
      <c r="S154" s="1">
        <v>54</v>
      </c>
    </row>
    <row r="155" spans="1:19" x14ac:dyDescent="0.3">
      <c r="A155" s="46">
        <v>140</v>
      </c>
      <c r="B155" s="4"/>
      <c r="C155" s="6" t="s">
        <v>128</v>
      </c>
      <c r="D155" s="5"/>
      <c r="E155" s="5" t="s">
        <v>68</v>
      </c>
      <c r="F155" s="5" t="s">
        <v>207</v>
      </c>
      <c r="G155" s="5" t="s">
        <v>62</v>
      </c>
      <c r="H155" s="5" t="s">
        <v>63</v>
      </c>
      <c r="I155" s="5" t="s">
        <v>208</v>
      </c>
      <c r="J155" s="5" t="s">
        <v>72</v>
      </c>
      <c r="K155" s="5" t="s">
        <v>53</v>
      </c>
      <c r="L155" s="5" t="s">
        <v>66</v>
      </c>
      <c r="M155" s="5" t="s">
        <v>48</v>
      </c>
      <c r="N155" s="5" t="s">
        <v>55</v>
      </c>
      <c r="O155" s="5" t="s">
        <v>60</v>
      </c>
      <c r="P155" s="5" t="s">
        <v>65</v>
      </c>
      <c r="Q155" s="1">
        <v>4</v>
      </c>
      <c r="R155" s="1">
        <v>75</v>
      </c>
      <c r="S155" s="1">
        <v>55</v>
      </c>
    </row>
    <row r="156" spans="1:19" ht="28.8" x14ac:dyDescent="0.3">
      <c r="A156" s="46">
        <v>141</v>
      </c>
      <c r="B156" s="4"/>
      <c r="C156" s="6" t="s">
        <v>15</v>
      </c>
      <c r="D156" s="5"/>
      <c r="E156" s="5" t="s">
        <v>210</v>
      </c>
      <c r="F156" s="5" t="s">
        <v>50</v>
      </c>
      <c r="G156" s="5" t="s">
        <v>57</v>
      </c>
      <c r="H156" s="5" t="s">
        <v>71</v>
      </c>
      <c r="I156" s="5" t="s">
        <v>56</v>
      </c>
      <c r="J156" s="5" t="s">
        <v>59</v>
      </c>
      <c r="K156" s="5" t="s">
        <v>53</v>
      </c>
      <c r="L156" s="5" t="s">
        <v>66</v>
      </c>
      <c r="M156" s="5" t="s">
        <v>48</v>
      </c>
      <c r="N156" s="5" t="s">
        <v>55</v>
      </c>
      <c r="O156" s="5" t="s">
        <v>60</v>
      </c>
      <c r="P156" s="5" t="s">
        <v>65</v>
      </c>
      <c r="Q156" s="1">
        <v>4</v>
      </c>
      <c r="R156" s="1">
        <v>80</v>
      </c>
      <c r="S156" s="1">
        <v>55</v>
      </c>
    </row>
    <row r="157" spans="1:19" x14ac:dyDescent="0.3">
      <c r="A157" s="46">
        <v>142</v>
      </c>
      <c r="B157" s="4"/>
      <c r="C157" s="6" t="s">
        <v>26</v>
      </c>
      <c r="D157" s="5"/>
      <c r="E157" s="5" t="s">
        <v>210</v>
      </c>
      <c r="F157" s="5" t="s">
        <v>207</v>
      </c>
      <c r="G157" s="5" t="s">
        <v>57</v>
      </c>
      <c r="H157" s="5" t="s">
        <v>63</v>
      </c>
      <c r="I157" s="5" t="s">
        <v>208</v>
      </c>
      <c r="J157" s="5" t="s">
        <v>59</v>
      </c>
      <c r="K157" s="5" t="s">
        <v>53</v>
      </c>
      <c r="L157" s="5" t="s">
        <v>64</v>
      </c>
      <c r="M157" s="5" t="s">
        <v>54</v>
      </c>
      <c r="N157" s="5" t="s">
        <v>55</v>
      </c>
      <c r="O157" s="5" t="s">
        <v>209</v>
      </c>
      <c r="P157" s="5" t="s">
        <v>65</v>
      </c>
      <c r="Q157" s="1">
        <v>4</v>
      </c>
      <c r="R157" s="1">
        <v>83</v>
      </c>
      <c r="S157" s="1">
        <v>46</v>
      </c>
    </row>
    <row r="158" spans="1:19" x14ac:dyDescent="0.3">
      <c r="A158" s="46">
        <v>143</v>
      </c>
      <c r="B158" s="4"/>
      <c r="C158" s="6" t="s">
        <v>16</v>
      </c>
      <c r="D158" s="5"/>
      <c r="E158" s="5" t="s">
        <v>210</v>
      </c>
      <c r="F158" s="5" t="s">
        <v>207</v>
      </c>
      <c r="G158" s="5" t="s">
        <v>62</v>
      </c>
      <c r="H158" s="5" t="s">
        <v>63</v>
      </c>
      <c r="I158" s="5" t="s">
        <v>208</v>
      </c>
      <c r="J158" s="5" t="s">
        <v>72</v>
      </c>
      <c r="K158" s="5" t="s">
        <v>53</v>
      </c>
      <c r="L158" s="5" t="s">
        <v>64</v>
      </c>
      <c r="M158" s="5" t="s">
        <v>48</v>
      </c>
      <c r="N158" s="5" t="s">
        <v>55</v>
      </c>
      <c r="O158" s="5" t="s">
        <v>209</v>
      </c>
      <c r="P158" s="5" t="s">
        <v>52</v>
      </c>
      <c r="Q158" s="1">
        <v>4</v>
      </c>
      <c r="R158" s="1">
        <v>94</v>
      </c>
      <c r="S158" s="1">
        <v>45</v>
      </c>
    </row>
    <row r="159" spans="1:19" x14ac:dyDescent="0.3">
      <c r="A159" s="46">
        <v>144</v>
      </c>
      <c r="B159" s="4"/>
      <c r="C159" s="6" t="s">
        <v>31</v>
      </c>
      <c r="D159" s="5"/>
      <c r="E159" s="5" t="s">
        <v>210</v>
      </c>
      <c r="F159" s="5" t="s">
        <v>207</v>
      </c>
      <c r="G159" s="5" t="s">
        <v>57</v>
      </c>
      <c r="H159" s="5" t="s">
        <v>71</v>
      </c>
      <c r="I159" s="5" t="s">
        <v>56</v>
      </c>
      <c r="J159" s="5" t="s">
        <v>59</v>
      </c>
      <c r="K159" s="5" t="s">
        <v>53</v>
      </c>
      <c r="L159" s="5" t="s">
        <v>64</v>
      </c>
      <c r="M159" s="5" t="s">
        <v>48</v>
      </c>
      <c r="N159" s="5" t="s">
        <v>55</v>
      </c>
      <c r="O159" s="5" t="s">
        <v>60</v>
      </c>
      <c r="P159" s="5" t="s">
        <v>65</v>
      </c>
      <c r="Q159" s="1">
        <v>4</v>
      </c>
      <c r="R159" s="1">
        <v>77</v>
      </c>
      <c r="S159" s="1">
        <v>44</v>
      </c>
    </row>
    <row r="160" spans="1:19" x14ac:dyDescent="0.3">
      <c r="A160" s="46">
        <v>145</v>
      </c>
      <c r="B160" s="4"/>
      <c r="C160" s="6" t="s">
        <v>105</v>
      </c>
      <c r="D160" s="5"/>
      <c r="E160" s="5" t="s">
        <v>210</v>
      </c>
      <c r="F160" s="5" t="s">
        <v>50</v>
      </c>
      <c r="G160" s="5" t="s">
        <v>57</v>
      </c>
      <c r="H160" s="5" t="s">
        <v>63</v>
      </c>
      <c r="I160" s="5" t="s">
        <v>56</v>
      </c>
      <c r="J160" s="5" t="s">
        <v>72</v>
      </c>
      <c r="K160" s="5" t="s">
        <v>70</v>
      </c>
      <c r="L160" s="5" t="s">
        <v>66</v>
      </c>
      <c r="M160" s="5" t="s">
        <v>48</v>
      </c>
      <c r="N160" s="5" t="s">
        <v>47</v>
      </c>
      <c r="O160" s="5" t="s">
        <v>60</v>
      </c>
      <c r="P160" s="5" t="s">
        <v>65</v>
      </c>
      <c r="Q160" s="1">
        <v>4</v>
      </c>
      <c r="R160" s="1">
        <v>85</v>
      </c>
      <c r="S160" s="1">
        <v>42</v>
      </c>
    </row>
    <row r="161" spans="1:19" ht="28.8" x14ac:dyDescent="0.3">
      <c r="A161" s="46">
        <v>146</v>
      </c>
      <c r="B161" s="4"/>
      <c r="C161" s="6" t="s">
        <v>102</v>
      </c>
      <c r="D161" s="5"/>
      <c r="E161" s="5" t="s">
        <v>210</v>
      </c>
      <c r="F161" s="5" t="s">
        <v>50</v>
      </c>
      <c r="G161" s="5" t="s">
        <v>57</v>
      </c>
      <c r="H161" s="5" t="s">
        <v>63</v>
      </c>
      <c r="I161" s="5" t="s">
        <v>56</v>
      </c>
      <c r="J161" s="5" t="s">
        <v>72</v>
      </c>
      <c r="K161" s="5" t="s">
        <v>70</v>
      </c>
      <c r="L161" s="5" t="s">
        <v>64</v>
      </c>
      <c r="M161" s="5" t="s">
        <v>48</v>
      </c>
      <c r="N161" s="5" t="s">
        <v>47</v>
      </c>
      <c r="O161" s="5" t="s">
        <v>209</v>
      </c>
      <c r="P161" s="5" t="s">
        <v>65</v>
      </c>
      <c r="Q161" s="1">
        <v>4</v>
      </c>
      <c r="R161" s="1">
        <v>80</v>
      </c>
      <c r="S161" s="1">
        <v>42</v>
      </c>
    </row>
    <row r="162" spans="1:19" ht="28.8" x14ac:dyDescent="0.3">
      <c r="A162" s="46">
        <v>147</v>
      </c>
      <c r="B162" s="4"/>
      <c r="C162" s="6" t="s">
        <v>81</v>
      </c>
      <c r="D162" s="5"/>
      <c r="E162" s="5" t="s">
        <v>210</v>
      </c>
      <c r="F162" s="5" t="s">
        <v>207</v>
      </c>
      <c r="G162" s="5" t="s">
        <v>57</v>
      </c>
      <c r="H162" s="5" t="s">
        <v>71</v>
      </c>
      <c r="I162" s="5" t="s">
        <v>56</v>
      </c>
      <c r="J162" s="5" t="s">
        <v>72</v>
      </c>
      <c r="K162" s="5" t="s">
        <v>53</v>
      </c>
      <c r="L162" s="5" t="s">
        <v>64</v>
      </c>
      <c r="M162" s="5" t="s">
        <v>54</v>
      </c>
      <c r="N162" s="5" t="s">
        <v>55</v>
      </c>
      <c r="O162" s="5" t="s">
        <v>60</v>
      </c>
      <c r="P162" s="5" t="s">
        <v>65</v>
      </c>
      <c r="Q162" s="1">
        <v>4</v>
      </c>
      <c r="R162" s="1">
        <v>94</v>
      </c>
      <c r="S162" s="1">
        <v>41</v>
      </c>
    </row>
    <row r="163" spans="1:19" ht="28.8" x14ac:dyDescent="0.3">
      <c r="A163" s="46">
        <v>148</v>
      </c>
      <c r="B163" s="4"/>
      <c r="C163" s="6" t="s">
        <v>25</v>
      </c>
      <c r="D163" s="5"/>
      <c r="E163" s="5" t="s">
        <v>68</v>
      </c>
      <c r="F163" s="5" t="s">
        <v>207</v>
      </c>
      <c r="G163" s="5" t="s">
        <v>57</v>
      </c>
      <c r="H163" s="5" t="s">
        <v>71</v>
      </c>
      <c r="I163" s="5" t="s">
        <v>56</v>
      </c>
      <c r="J163" s="5" t="s">
        <v>59</v>
      </c>
      <c r="K163" s="5" t="s">
        <v>53</v>
      </c>
      <c r="L163" s="5" t="s">
        <v>66</v>
      </c>
      <c r="M163" s="5" t="s">
        <v>48</v>
      </c>
      <c r="N163" s="5" t="s">
        <v>55</v>
      </c>
      <c r="O163" s="5" t="s">
        <v>209</v>
      </c>
      <c r="P163" s="5" t="s">
        <v>52</v>
      </c>
      <c r="Q163" s="1">
        <v>4</v>
      </c>
      <c r="R163" s="1">
        <v>86</v>
      </c>
      <c r="S163" s="1">
        <v>39</v>
      </c>
    </row>
    <row r="164" spans="1:19" x14ac:dyDescent="0.3">
      <c r="A164" s="46">
        <v>149</v>
      </c>
      <c r="B164" s="4"/>
      <c r="C164" s="6" t="s">
        <v>121</v>
      </c>
      <c r="D164" s="5"/>
      <c r="E164" s="5" t="s">
        <v>210</v>
      </c>
      <c r="F164" s="5" t="s">
        <v>207</v>
      </c>
      <c r="G164" s="5" t="s">
        <v>57</v>
      </c>
      <c r="H164" s="5" t="s">
        <v>71</v>
      </c>
      <c r="I164" s="5" t="s">
        <v>56</v>
      </c>
      <c r="J164" s="5" t="s">
        <v>72</v>
      </c>
      <c r="K164" s="5" t="s">
        <v>53</v>
      </c>
      <c r="L164" s="5" t="s">
        <v>66</v>
      </c>
      <c r="M164" s="5" t="s">
        <v>48</v>
      </c>
      <c r="N164" s="5" t="s">
        <v>47</v>
      </c>
      <c r="O164" s="5" t="s">
        <v>60</v>
      </c>
      <c r="P164" s="5" t="s">
        <v>52</v>
      </c>
      <c r="Q164" s="1">
        <v>4</v>
      </c>
      <c r="R164" s="1">
        <v>93</v>
      </c>
      <c r="S164" s="1">
        <v>36</v>
      </c>
    </row>
    <row r="165" spans="1:19" ht="28.8" x14ac:dyDescent="0.3">
      <c r="A165" s="46">
        <v>150</v>
      </c>
      <c r="B165" s="4"/>
      <c r="C165" s="6" t="s">
        <v>159</v>
      </c>
      <c r="D165" s="5"/>
      <c r="E165" s="5" t="s">
        <v>210</v>
      </c>
      <c r="F165" s="5" t="s">
        <v>207</v>
      </c>
      <c r="G165" s="5" t="s">
        <v>62</v>
      </c>
      <c r="H165" s="5" t="s">
        <v>63</v>
      </c>
      <c r="I165" s="5" t="s">
        <v>56</v>
      </c>
      <c r="J165" s="5" t="s">
        <v>72</v>
      </c>
      <c r="K165" s="5" t="s">
        <v>53</v>
      </c>
      <c r="L165" s="5" t="s">
        <v>64</v>
      </c>
      <c r="M165" s="5" t="s">
        <v>48</v>
      </c>
      <c r="N165" s="5" t="s">
        <v>55</v>
      </c>
      <c r="O165" s="5" t="s">
        <v>209</v>
      </c>
      <c r="P165" s="5" t="s">
        <v>52</v>
      </c>
      <c r="Q165" s="1">
        <v>3</v>
      </c>
      <c r="R165" s="1">
        <v>75</v>
      </c>
      <c r="S165" s="1">
        <v>51</v>
      </c>
    </row>
    <row r="166" spans="1:19" x14ac:dyDescent="0.3">
      <c r="A166" s="46">
        <v>151</v>
      </c>
      <c r="B166" s="4"/>
      <c r="C166" s="6" t="s">
        <v>183</v>
      </c>
      <c r="D166" s="5"/>
      <c r="E166" s="5" t="s">
        <v>210</v>
      </c>
      <c r="F166" s="5" t="s">
        <v>50</v>
      </c>
      <c r="G166" s="5" t="s">
        <v>62</v>
      </c>
      <c r="H166" s="5" t="s">
        <v>63</v>
      </c>
      <c r="I166" s="5" t="s">
        <v>56</v>
      </c>
      <c r="J166" s="5" t="s">
        <v>72</v>
      </c>
      <c r="K166" s="5" t="s">
        <v>53</v>
      </c>
      <c r="L166" s="5" t="s">
        <v>66</v>
      </c>
      <c r="M166" s="5" t="s">
        <v>54</v>
      </c>
      <c r="N166" s="5" t="s">
        <v>55</v>
      </c>
      <c r="O166" s="5" t="s">
        <v>209</v>
      </c>
      <c r="P166" s="5" t="s">
        <v>65</v>
      </c>
      <c r="Q166" s="1">
        <v>3</v>
      </c>
      <c r="R166" s="1">
        <v>84</v>
      </c>
      <c r="S166" s="1">
        <v>47</v>
      </c>
    </row>
    <row r="167" spans="1:19" x14ac:dyDescent="0.3">
      <c r="A167" s="46">
        <v>152</v>
      </c>
      <c r="B167" s="4"/>
      <c r="C167" s="6" t="s">
        <v>84</v>
      </c>
      <c r="D167" s="5"/>
      <c r="E167" s="5" t="s">
        <v>210</v>
      </c>
      <c r="F167" s="5" t="s">
        <v>207</v>
      </c>
      <c r="G167" s="5" t="s">
        <v>57</v>
      </c>
      <c r="H167" s="5" t="s">
        <v>63</v>
      </c>
      <c r="I167" s="5" t="s">
        <v>208</v>
      </c>
      <c r="J167" s="5" t="s">
        <v>59</v>
      </c>
      <c r="K167" s="5" t="s">
        <v>53</v>
      </c>
      <c r="L167" s="5" t="s">
        <v>64</v>
      </c>
      <c r="M167" s="5" t="s">
        <v>48</v>
      </c>
      <c r="N167" s="5" t="s">
        <v>55</v>
      </c>
      <c r="O167" s="5" t="s">
        <v>209</v>
      </c>
      <c r="P167" s="5" t="s">
        <v>65</v>
      </c>
      <c r="Q167" s="1">
        <v>3</v>
      </c>
      <c r="R167" s="1">
        <v>85</v>
      </c>
      <c r="S167" s="1">
        <v>46</v>
      </c>
    </row>
    <row r="168" spans="1:19" ht="28.8" x14ac:dyDescent="0.3">
      <c r="A168" s="46">
        <v>153</v>
      </c>
      <c r="B168" s="4"/>
      <c r="C168" s="6" t="s">
        <v>90</v>
      </c>
      <c r="D168" s="5"/>
      <c r="E168" s="5" t="s">
        <v>210</v>
      </c>
      <c r="F168" s="5" t="s">
        <v>207</v>
      </c>
      <c r="G168" s="5" t="s">
        <v>57</v>
      </c>
      <c r="H168" s="5" t="s">
        <v>63</v>
      </c>
      <c r="I168" s="5" t="s">
        <v>56</v>
      </c>
      <c r="J168" s="5" t="s">
        <v>59</v>
      </c>
      <c r="K168" s="5" t="s">
        <v>53</v>
      </c>
      <c r="L168" s="5" t="s">
        <v>64</v>
      </c>
      <c r="M168" s="5" t="s">
        <v>48</v>
      </c>
      <c r="N168" s="5" t="s">
        <v>47</v>
      </c>
      <c r="O168" s="5" t="s">
        <v>209</v>
      </c>
      <c r="P168" s="5" t="s">
        <v>65</v>
      </c>
      <c r="Q168" s="1">
        <v>3</v>
      </c>
      <c r="R168" s="1">
        <v>81</v>
      </c>
      <c r="S168" s="1">
        <v>44</v>
      </c>
    </row>
    <row r="169" spans="1:19" ht="28.8" x14ac:dyDescent="0.3">
      <c r="A169" s="46">
        <v>154</v>
      </c>
      <c r="B169" s="4"/>
      <c r="C169" s="6" t="s">
        <v>124</v>
      </c>
      <c r="D169" s="5"/>
      <c r="E169" s="5" t="s">
        <v>210</v>
      </c>
      <c r="F169" s="5" t="s">
        <v>50</v>
      </c>
      <c r="G169" s="5" t="s">
        <v>57</v>
      </c>
      <c r="H169" s="5" t="s">
        <v>63</v>
      </c>
      <c r="I169" s="5" t="s">
        <v>56</v>
      </c>
      <c r="J169" s="5" t="s">
        <v>72</v>
      </c>
      <c r="K169" s="5" t="s">
        <v>53</v>
      </c>
      <c r="L169" s="5" t="s">
        <v>66</v>
      </c>
      <c r="M169" s="5" t="s">
        <v>48</v>
      </c>
      <c r="N169" s="5" t="s">
        <v>55</v>
      </c>
      <c r="O169" s="5" t="s">
        <v>60</v>
      </c>
      <c r="P169" s="5" t="s">
        <v>52</v>
      </c>
      <c r="Q169" s="1">
        <v>3</v>
      </c>
      <c r="R169" s="1">
        <v>67</v>
      </c>
      <c r="S169" s="1">
        <v>39</v>
      </c>
    </row>
    <row r="170" spans="1:19" x14ac:dyDescent="0.3">
      <c r="A170" s="46">
        <v>155</v>
      </c>
      <c r="B170" s="4"/>
      <c r="C170" s="6" t="s">
        <v>195</v>
      </c>
      <c r="D170" s="5"/>
      <c r="E170" s="5" t="s">
        <v>210</v>
      </c>
      <c r="F170" s="5" t="s">
        <v>50</v>
      </c>
      <c r="G170" s="5" t="s">
        <v>57</v>
      </c>
      <c r="H170" s="5" t="s">
        <v>63</v>
      </c>
      <c r="I170" s="5" t="s">
        <v>56</v>
      </c>
      <c r="J170" s="5" t="s">
        <v>72</v>
      </c>
      <c r="K170" s="5" t="s">
        <v>53</v>
      </c>
      <c r="L170" s="5" t="s">
        <v>64</v>
      </c>
      <c r="M170" s="5" t="s">
        <v>48</v>
      </c>
      <c r="N170" s="5" t="s">
        <v>47</v>
      </c>
      <c r="O170" s="5" t="s">
        <v>209</v>
      </c>
      <c r="P170" s="5" t="s">
        <v>65</v>
      </c>
      <c r="Q170" s="1">
        <v>3</v>
      </c>
      <c r="R170" s="1">
        <v>62</v>
      </c>
      <c r="S170" s="1">
        <v>37</v>
      </c>
    </row>
    <row r="171" spans="1:19" x14ac:dyDescent="0.3">
      <c r="A171" s="46">
        <v>156</v>
      </c>
      <c r="B171" s="4"/>
      <c r="C171" s="6" t="s">
        <v>173</v>
      </c>
      <c r="D171" s="5"/>
      <c r="E171" s="5" t="s">
        <v>210</v>
      </c>
      <c r="F171" s="5" t="s">
        <v>207</v>
      </c>
      <c r="G171" s="5" t="s">
        <v>57</v>
      </c>
      <c r="H171" s="5" t="s">
        <v>63</v>
      </c>
      <c r="I171" s="5" t="s">
        <v>208</v>
      </c>
      <c r="J171" s="5" t="s">
        <v>72</v>
      </c>
      <c r="K171" s="5" t="s">
        <v>53</v>
      </c>
      <c r="L171" s="5" t="s">
        <v>66</v>
      </c>
      <c r="M171" s="5" t="s">
        <v>54</v>
      </c>
      <c r="N171" s="5" t="s">
        <v>55</v>
      </c>
      <c r="O171" s="5" t="s">
        <v>209</v>
      </c>
      <c r="P171" s="5" t="s">
        <v>65</v>
      </c>
      <c r="Q171" s="1">
        <v>2</v>
      </c>
      <c r="R171" s="1">
        <v>84</v>
      </c>
      <c r="S171" s="1">
        <v>48</v>
      </c>
    </row>
    <row r="172" spans="1:19" x14ac:dyDescent="0.3">
      <c r="A172" s="46">
        <v>157</v>
      </c>
      <c r="B172" s="4"/>
      <c r="C172" s="6" t="s">
        <v>187</v>
      </c>
      <c r="D172" s="5"/>
      <c r="E172" s="5" t="s">
        <v>210</v>
      </c>
      <c r="F172" s="5" t="s">
        <v>207</v>
      </c>
      <c r="G172" s="5" t="s">
        <v>57</v>
      </c>
      <c r="H172" s="5" t="s">
        <v>71</v>
      </c>
      <c r="I172" s="5" t="s">
        <v>56</v>
      </c>
      <c r="J172" s="5" t="s">
        <v>72</v>
      </c>
      <c r="K172" s="5" t="s">
        <v>53</v>
      </c>
      <c r="L172" s="5" t="s">
        <v>66</v>
      </c>
      <c r="M172" s="5" t="s">
        <v>48</v>
      </c>
      <c r="N172" s="5" t="s">
        <v>55</v>
      </c>
      <c r="O172" s="5" t="s">
        <v>209</v>
      </c>
      <c r="P172" s="5" t="s">
        <v>52</v>
      </c>
      <c r="Q172" s="1">
        <v>2</v>
      </c>
      <c r="R172" s="1">
        <v>84</v>
      </c>
      <c r="S172" s="1">
        <v>45</v>
      </c>
    </row>
    <row r="173" spans="1:19" x14ac:dyDescent="0.3">
      <c r="A173" s="46">
        <v>158</v>
      </c>
      <c r="B173" s="4"/>
      <c r="C173" s="6" t="s">
        <v>145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1">
        <v>0</v>
      </c>
      <c r="R173" s="1">
        <v>65</v>
      </c>
      <c r="S173" s="1"/>
    </row>
    <row r="174" spans="1:19" x14ac:dyDescent="0.3">
      <c r="A174" s="46">
        <v>159</v>
      </c>
      <c r="B174" s="4"/>
      <c r="C174" s="6" t="s">
        <v>91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1">
        <v>0</v>
      </c>
      <c r="R174" s="1">
        <v>72</v>
      </c>
      <c r="S174" s="1"/>
    </row>
    <row r="175" spans="1:19" x14ac:dyDescent="0.3">
      <c r="A175" s="46">
        <v>160</v>
      </c>
      <c r="B175" s="4"/>
      <c r="C175" s="6" t="s">
        <v>199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1">
        <v>0</v>
      </c>
      <c r="R175" s="1">
        <v>78</v>
      </c>
      <c r="S175" s="1"/>
    </row>
    <row r="176" spans="1:19" ht="28.8" x14ac:dyDescent="0.3">
      <c r="A176" s="46">
        <v>161</v>
      </c>
      <c r="B176" s="4"/>
      <c r="C176" s="6" t="s">
        <v>197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1">
        <v>0</v>
      </c>
      <c r="R176" s="1">
        <v>56</v>
      </c>
      <c r="S176" s="1"/>
    </row>
    <row r="177" spans="1:19" ht="28.8" x14ac:dyDescent="0.3">
      <c r="A177" s="46">
        <v>162</v>
      </c>
      <c r="B177" s="4"/>
      <c r="C177" s="6" t="s">
        <v>115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1">
        <v>0</v>
      </c>
      <c r="R177" s="1">
        <v>78</v>
      </c>
      <c r="S177" s="1"/>
    </row>
    <row r="178" spans="1:19" ht="28.8" x14ac:dyDescent="0.3">
      <c r="A178" s="46">
        <v>163</v>
      </c>
      <c r="B178" s="4"/>
      <c r="C178" s="6" t="s">
        <v>182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1">
        <v>0</v>
      </c>
      <c r="R178" s="1">
        <v>68</v>
      </c>
      <c r="S178" s="1"/>
    </row>
  </sheetData>
  <mergeCells count="4">
    <mergeCell ref="A9:A15"/>
    <mergeCell ref="B9:B15"/>
    <mergeCell ref="Q9:Q15"/>
    <mergeCell ref="R9:R15"/>
  </mergeCells>
  <conditionalFormatting sqref="P2:P3 P7 E2:N3 E7:N7">
    <cfRule type="cellIs" dxfId="33" priority="13" operator="equal">
      <formula>"Y"</formula>
    </cfRule>
    <cfRule type="cellIs" dxfId="32" priority="14" operator="equal">
      <formula>"N"</formula>
    </cfRule>
  </conditionalFormatting>
  <conditionalFormatting sqref="R7">
    <cfRule type="cellIs" dxfId="31" priority="11" operator="equal">
      <formula>"Y"</formula>
    </cfRule>
    <cfRule type="cellIs" dxfId="30" priority="12" operator="equal">
      <formula>"N"</formula>
    </cfRule>
  </conditionalFormatting>
  <conditionalFormatting sqref="O4">
    <cfRule type="colorScale" priority="5">
      <colorScale>
        <cfvo type="min"/>
        <cfvo type="max"/>
        <color rgb="FFFF7128"/>
        <color rgb="FFFFEF9C"/>
      </colorScale>
    </cfRule>
  </conditionalFormatting>
  <conditionalFormatting sqref="E4:N4 P4">
    <cfRule type="colorScale" priority="15">
      <colorScale>
        <cfvo type="min"/>
        <cfvo type="max"/>
        <color rgb="FFFF7128"/>
        <color rgb="FFFFEF9C"/>
      </colorScale>
    </cfRule>
  </conditionalFormatting>
  <conditionalFormatting sqref="O7">
    <cfRule type="cellIs" dxfId="29" priority="3" operator="equal">
      <formula>"Y"</formula>
    </cfRule>
    <cfRule type="cellIs" dxfId="28" priority="4" operator="equal">
      <formula>"N"</formula>
    </cfRule>
  </conditionalFormatting>
  <conditionalFormatting sqref="O2:O3">
    <cfRule type="cellIs" dxfId="27" priority="1" operator="equal">
      <formula>"Y"</formula>
    </cfRule>
    <cfRule type="cellIs" dxfId="26" priority="2" operator="equal">
      <formula>"N"</formula>
    </cfRule>
  </conditionalFormatting>
  <hyperlinks>
    <hyperlink ref="C16" r:id="rId1" display="https://www.poolhost.com/profootball/playerstats/1704294"/>
    <hyperlink ref="C17" r:id="rId2" display="https://www.poolhost.com/profootball/playerstats/1728787"/>
    <hyperlink ref="C18" r:id="rId3" display="https://www.poolhost.com/profootball/playerstats/1685066"/>
    <hyperlink ref="C19" r:id="rId4" display="https://www.poolhost.com/profootball/playerstats/1649126"/>
    <hyperlink ref="C20" r:id="rId5" display="https://www.poolhost.com/profootball/playerstats/1670025"/>
    <hyperlink ref="C21" r:id="rId6" display="https://www.poolhost.com/profootball/playerstats/1665910"/>
    <hyperlink ref="C22" r:id="rId7" display="https://www.poolhost.com/profootball/playerstats/1673248"/>
    <hyperlink ref="C23" r:id="rId8" display="https://www.poolhost.com/profootball/playerstats/1668687"/>
    <hyperlink ref="C24" r:id="rId9" display="https://www.poolhost.com/profootball/playerstats/1654623"/>
    <hyperlink ref="C25" r:id="rId10" display="https://www.poolhost.com/profootball/playerstats/1700155"/>
    <hyperlink ref="C26" r:id="rId11" display="https://www.poolhost.com/profootball/playerstats/1726326"/>
    <hyperlink ref="C27" r:id="rId12" display="https://www.poolhost.com/profootball/playerstats/1668682"/>
    <hyperlink ref="C28" r:id="rId13" display="https://www.poolhost.com/profootball/playerstats/1731755"/>
    <hyperlink ref="C29" r:id="rId14" display="https://www.poolhost.com/profootball/playerstats/1725535"/>
    <hyperlink ref="C30" r:id="rId15" display="https://www.poolhost.com/profootball/playerstats/1683531"/>
    <hyperlink ref="C31" r:id="rId16" display="https://www.poolhost.com/profootball/playerstats/1654484"/>
    <hyperlink ref="C32" r:id="rId17" display="https://www.poolhost.com/profootball/playerstats/1695716"/>
    <hyperlink ref="C33" r:id="rId18" display="https://www.poolhost.com/profootball/playerstats/1735486"/>
    <hyperlink ref="C34" r:id="rId19" display="https://www.poolhost.com/profootball/playerstats/1730270"/>
    <hyperlink ref="C35" r:id="rId20" display="https://www.poolhost.com/profootball/playerstats/1678667"/>
    <hyperlink ref="C36" r:id="rId21" display="https://www.poolhost.com/profootball/playerstats/1722233"/>
    <hyperlink ref="C37" r:id="rId22" display="https://www.poolhost.com/profootball/playerstats/1674086"/>
    <hyperlink ref="C38" r:id="rId23" display="https://www.poolhost.com/profootball/playerstats/1721307"/>
    <hyperlink ref="C39" r:id="rId24" display="https://www.poolhost.com/profootball/playerstats/1696717"/>
    <hyperlink ref="C40" r:id="rId25" display="https://www.poolhost.com/profootball/playerstats/1686727"/>
    <hyperlink ref="C41" r:id="rId26" display="https://www.poolhost.com/profootball/playerstats/1669212"/>
    <hyperlink ref="C42" r:id="rId27" display="https://www.poolhost.com/profootball/playerstats/1660811"/>
    <hyperlink ref="C43" r:id="rId28" display="https://www.poolhost.com/profootball/playerstats/1658459"/>
    <hyperlink ref="C44" r:id="rId29" display="https://www.poolhost.com/profootball/playerstats/1734172"/>
    <hyperlink ref="C45" r:id="rId30" display="https://www.poolhost.com/profootball/playerstats/1668461"/>
    <hyperlink ref="C46" r:id="rId31" display="https://www.poolhost.com/profootball/playerstats/1671748"/>
    <hyperlink ref="C47" r:id="rId32" display="https://www.poolhost.com/profootball/playerstats/1656464"/>
    <hyperlink ref="C48" r:id="rId33" display="https://www.poolhost.com/profootball/playerstats/1654500"/>
    <hyperlink ref="C49" r:id="rId34" display="https://www.poolhost.com/profootball/playerstats/1686915"/>
    <hyperlink ref="C50" r:id="rId35" display="https://www.poolhost.com/profootball/playerstats/1682884"/>
    <hyperlink ref="C51" r:id="rId36" display="https://www.poolhost.com/profootball/playerstats/1685256"/>
    <hyperlink ref="C52" r:id="rId37" display="https://www.poolhost.com/profootball/playerstats/1695492"/>
    <hyperlink ref="C53" r:id="rId38" display="https://www.poolhost.com/profootball/playerstats/1705049"/>
    <hyperlink ref="C54" r:id="rId39" display="https://www.poolhost.com/profootball/playerstats/1672167"/>
    <hyperlink ref="C55" r:id="rId40" display="https://www.poolhost.com/profootball/playerstats/1694354"/>
    <hyperlink ref="C56" r:id="rId41" display="https://www.poolhost.com/profootball/playerstats/1668628"/>
    <hyperlink ref="C57" r:id="rId42" display="https://www.poolhost.com/profootball/playerstats/1665810"/>
    <hyperlink ref="C58" r:id="rId43" display="https://www.poolhost.com/profootball/playerstats/1679300"/>
    <hyperlink ref="C59" r:id="rId44" display="https://www.poolhost.com/profootball/playerstats/1673761"/>
    <hyperlink ref="C60" r:id="rId45" display="https://www.poolhost.com/profootball/playerstats/1709781"/>
    <hyperlink ref="C61" r:id="rId46" display="https://www.poolhost.com/profootball/playerstats/1670226"/>
    <hyperlink ref="C62" r:id="rId47" display="https://www.poolhost.com/profootball/playerstats/1666027"/>
    <hyperlink ref="C63" r:id="rId48" display="https://www.poolhost.com/profootball/playerstats/1673222"/>
    <hyperlink ref="C64" r:id="rId49" display="https://www.poolhost.com/profootball/playerstats/1726632"/>
    <hyperlink ref="C65" r:id="rId50" display="https://www.poolhost.com/profootball/playerstats/1677370"/>
    <hyperlink ref="C66" r:id="rId51" display="https://www.poolhost.com/profootball/playerstats/1657583"/>
    <hyperlink ref="C67" r:id="rId52" display="https://www.poolhost.com/profootball/playerstats/1657103"/>
    <hyperlink ref="C68" r:id="rId53" display="https://www.poolhost.com/profootball/playerstats/1665614"/>
    <hyperlink ref="C69" r:id="rId54" display="https://www.poolhost.com/profootball/playerstats/1659846"/>
    <hyperlink ref="C70" r:id="rId55" display="https://www.poolhost.com/profootball/playerstats/1659875"/>
    <hyperlink ref="C71" r:id="rId56" display="https://www.poolhost.com/profootball/playerstats/1684491"/>
    <hyperlink ref="C72" r:id="rId57" display="https://www.poolhost.com/profootball/playerstats/1703435"/>
    <hyperlink ref="C73" r:id="rId58" display="https://www.poolhost.com/profootball/playerstats/1731690"/>
    <hyperlink ref="C74" r:id="rId59" display="https://www.poolhost.com/profootball/playerstats/1654603"/>
    <hyperlink ref="C75" r:id="rId60" display="https://www.poolhost.com/profootball/playerstats/1657801"/>
    <hyperlink ref="C76" r:id="rId61" display="https://www.poolhost.com/profootball/playerstats/1729262"/>
    <hyperlink ref="C77" r:id="rId62" display="https://www.poolhost.com/profootball/playerstats/1669305"/>
    <hyperlink ref="C78" r:id="rId63" display="https://www.poolhost.com/profootball/playerstats/1681958"/>
    <hyperlink ref="C79" r:id="rId64" display="https://www.poolhost.com/profootball/playerstats/1732411"/>
    <hyperlink ref="C80" r:id="rId65" display="https://www.poolhost.com/profootball/playerstats/1705346"/>
    <hyperlink ref="C81" r:id="rId66" display="https://www.poolhost.com/profootball/playerstats/1734363"/>
    <hyperlink ref="C82" r:id="rId67" display="https://www.poolhost.com/profootball/playerstats/1697912"/>
    <hyperlink ref="C83" r:id="rId68" display="https://www.poolhost.com/profootball/playerstats/1729314"/>
    <hyperlink ref="C84" r:id="rId69" display="https://www.poolhost.com/profootball/playerstats/1662306"/>
    <hyperlink ref="C85" r:id="rId70" display="https://www.poolhost.com/profootball/playerstats/1678632"/>
    <hyperlink ref="C86" r:id="rId71" display="https://www.poolhost.com/profootball/playerstats/1727817"/>
    <hyperlink ref="C87" r:id="rId72" display="https://www.poolhost.com/profootball/playerstats/1665979"/>
    <hyperlink ref="C88" r:id="rId73" display="https://www.poolhost.com/profootball/playerstats/1724223"/>
    <hyperlink ref="C89" r:id="rId74" display="https://www.poolhost.com/profootball/playerstats/1708805"/>
    <hyperlink ref="C90" r:id="rId75" display="https://www.poolhost.com/profootball/playerstats/1657214"/>
    <hyperlink ref="C91" r:id="rId76" display="https://www.poolhost.com/profootball/playerstats/1662606"/>
    <hyperlink ref="C92" r:id="rId77" display="https://www.poolhost.com/profootball/playerstats/1712780"/>
    <hyperlink ref="C93" r:id="rId78" display="https://www.poolhost.com/profootball/playerstats/1701053"/>
    <hyperlink ref="C94" r:id="rId79" display="https://www.poolhost.com/profootball/playerstats/1699810"/>
    <hyperlink ref="C95" r:id="rId80" display="https://www.poolhost.com/profootball/playerstats/1655447"/>
    <hyperlink ref="C96" r:id="rId81" display="https://www.poolhost.com/profootball/playerstats/1674022"/>
    <hyperlink ref="C97" r:id="rId82" display="https://www.poolhost.com/profootball/playerstats/1730676"/>
    <hyperlink ref="C98" r:id="rId83" display="https://www.poolhost.com/profootball/playerstats/1683389"/>
    <hyperlink ref="C99" r:id="rId84" display="https://www.poolhost.com/profootball/playerstats/1679009"/>
    <hyperlink ref="C100" r:id="rId85" display="https://www.poolhost.com/profootball/playerstats/1659558"/>
    <hyperlink ref="C101" r:id="rId86" display="https://www.poolhost.com/profootball/playerstats/1666034"/>
    <hyperlink ref="C102" r:id="rId87" display="https://www.poolhost.com/profootball/playerstats/1679667"/>
    <hyperlink ref="C103" r:id="rId88" display="https://www.poolhost.com/profootball/playerstats/1665631"/>
    <hyperlink ref="C104" r:id="rId89" display="https://www.poolhost.com/profootball/playerstats/1684266"/>
    <hyperlink ref="C105" r:id="rId90" display="https://www.poolhost.com/profootball/playerstats/1655488"/>
    <hyperlink ref="C106" r:id="rId91" display="https://www.poolhost.com/profootball/playerstats/1679156"/>
    <hyperlink ref="C107" r:id="rId92" display="https://www.poolhost.com/profootball/playerstats/1729617"/>
    <hyperlink ref="C108" r:id="rId93" display="https://www.poolhost.com/profootball/playerstats/1699295"/>
    <hyperlink ref="C109" r:id="rId94" display="https://www.poolhost.com/profootball/playerstats/1708312"/>
    <hyperlink ref="C110" r:id="rId95" display="https://www.poolhost.com/profootball/playerstats/1699660"/>
    <hyperlink ref="C111" r:id="rId96" display="https://www.poolhost.com/profootball/playerstats/1729491"/>
    <hyperlink ref="C112" r:id="rId97" display="https://www.poolhost.com/profootball/playerstats/1732953"/>
    <hyperlink ref="C113" r:id="rId98" display="https://www.poolhost.com/profootball/playerstats/1654791"/>
    <hyperlink ref="C114" r:id="rId99" display="https://www.poolhost.com/profootball/playerstats/1715552"/>
    <hyperlink ref="C115" r:id="rId100" display="https://www.poolhost.com/profootball/playerstats/1667376"/>
    <hyperlink ref="C116" r:id="rId101" display="https://www.poolhost.com/profootball/playerstats/1667866"/>
    <hyperlink ref="C117" r:id="rId102" display="https://www.poolhost.com/profootball/playerstats/1732290"/>
    <hyperlink ref="C118" r:id="rId103" display="https://www.poolhost.com/profootball/playerstats/1732254"/>
    <hyperlink ref="C119" r:id="rId104" display="https://www.poolhost.com/profootball/playerstats/1711169"/>
    <hyperlink ref="C120" r:id="rId105" display="https://www.poolhost.com/profootball/playerstats/1721401"/>
    <hyperlink ref="C121" r:id="rId106" display="https://www.poolhost.com/profootball/playerstats/1733218"/>
    <hyperlink ref="C122" r:id="rId107" display="https://www.poolhost.com/profootball/playerstats/1705029"/>
    <hyperlink ref="C123" r:id="rId108" display="https://www.poolhost.com/profootball/playerstats/1728782"/>
    <hyperlink ref="C124" r:id="rId109" display="https://www.poolhost.com/profootball/playerstats/1663101"/>
    <hyperlink ref="C125" r:id="rId110" display="https://www.poolhost.com/profootball/playerstats/1661711"/>
    <hyperlink ref="C126" r:id="rId111" display="https://www.poolhost.com/profootball/playerstats/1705249"/>
    <hyperlink ref="C127" r:id="rId112" display="https://www.poolhost.com/profootball/playerstats/1654485"/>
    <hyperlink ref="C128" r:id="rId113" display="https://www.poolhost.com/profootball/playerstats/1701354"/>
    <hyperlink ref="C129" r:id="rId114" display="https://www.poolhost.com/profootball/playerstats/1691673"/>
    <hyperlink ref="C130" r:id="rId115" display="https://www.poolhost.com/profootball/playerstats/1707988"/>
    <hyperlink ref="C131" r:id="rId116" display="https://www.poolhost.com/profootball/playerstats/1708448"/>
    <hyperlink ref="C132" r:id="rId117" display="https://www.poolhost.com/profootball/playerstats/1682523"/>
    <hyperlink ref="C133" r:id="rId118" display="https://www.poolhost.com/profootball/playerstats/1671837"/>
    <hyperlink ref="C134" r:id="rId119" display="https://www.poolhost.com/profootball/playerstats/1666473"/>
    <hyperlink ref="C135" r:id="rId120" display="https://www.poolhost.com/profootball/playerstats/1676654"/>
    <hyperlink ref="C136" r:id="rId121" display="https://www.poolhost.com/profootball/playerstats/1667937"/>
    <hyperlink ref="C137" r:id="rId122" display="https://www.poolhost.com/profootball/playerstats/1687892"/>
    <hyperlink ref="C138" r:id="rId123" display="https://www.poolhost.com/profootball/playerstats/1705272"/>
    <hyperlink ref="C139" r:id="rId124" display="https://www.poolhost.com/profootball/playerstats/1684290"/>
    <hyperlink ref="C140" r:id="rId125" display="https://www.poolhost.com/profootball/playerstats/1670484"/>
    <hyperlink ref="C141" r:id="rId126" display="https://www.poolhost.com/profootball/playerstats/1722286"/>
    <hyperlink ref="C142" r:id="rId127" display="https://www.poolhost.com/profootball/playerstats/1709552"/>
    <hyperlink ref="C143" r:id="rId128" display="https://www.poolhost.com/profootball/playerstats/1657241"/>
    <hyperlink ref="C144" r:id="rId129" display="https://www.poolhost.com/profootball/playerstats/1672298"/>
    <hyperlink ref="C145" r:id="rId130" display="https://www.poolhost.com/profootball/playerstats/1731780"/>
    <hyperlink ref="C146" r:id="rId131" display="https://www.poolhost.com/profootball/playerstats/1702449"/>
    <hyperlink ref="C147" r:id="rId132" display="https://www.poolhost.com/profootball/playerstats/1657024"/>
    <hyperlink ref="C148" r:id="rId133" display="https://www.poolhost.com/profootball/playerstats/1681946"/>
    <hyperlink ref="C149" r:id="rId134" display="https://www.poolhost.com/profootball/playerstats/1678377"/>
    <hyperlink ref="C150" r:id="rId135" display="https://www.poolhost.com/profootball/playerstats/1676125"/>
    <hyperlink ref="C151" r:id="rId136" display="https://www.poolhost.com/profootball/playerstats/1704026"/>
    <hyperlink ref="C152" r:id="rId137" display="https://www.poolhost.com/profootball/playerstats/1677049"/>
    <hyperlink ref="C153" r:id="rId138" display="https://www.poolhost.com/profootball/playerstats/1666449"/>
    <hyperlink ref="C154" r:id="rId139" display="https://www.poolhost.com/profootball/playerstats/1694017"/>
    <hyperlink ref="C155" r:id="rId140" display="https://www.poolhost.com/profootball/playerstats/1669323"/>
    <hyperlink ref="C156" r:id="rId141" display="https://www.poolhost.com/profootball/playerstats/1673234"/>
    <hyperlink ref="C157" r:id="rId142" display="https://www.poolhost.com/profootball/playerstats/1680041"/>
    <hyperlink ref="C158" r:id="rId143" display="https://www.poolhost.com/profootball/playerstats/1723980"/>
    <hyperlink ref="C159" r:id="rId144" display="https://www.poolhost.com/profootball/playerstats/1703401"/>
    <hyperlink ref="C160" r:id="rId145" display="https://www.poolhost.com/profootball/playerstats/1654634"/>
    <hyperlink ref="C161" r:id="rId146" display="https://www.poolhost.com/profootball/playerstats/1741250"/>
    <hyperlink ref="C162" r:id="rId147" display="https://www.poolhost.com/profootball/playerstats/1732788"/>
    <hyperlink ref="C163" r:id="rId148" display="https://www.poolhost.com/profootball/playerstats/1649341"/>
    <hyperlink ref="C164" r:id="rId149" display="https://www.poolhost.com/profootball/playerstats/1702170"/>
    <hyperlink ref="C165" r:id="rId150" display="https://www.poolhost.com/profootball/playerstats/1654448"/>
    <hyperlink ref="C166" r:id="rId151" display="https://www.poolhost.com/profootball/playerstats/1727170"/>
    <hyperlink ref="C167" r:id="rId152" display="https://www.poolhost.com/profootball/playerstats/1661981"/>
    <hyperlink ref="C168" r:id="rId153" display="https://www.poolhost.com/profootball/playerstats/1732851"/>
    <hyperlink ref="C169" r:id="rId154" display="https://www.poolhost.com/profootball/playerstats/1681897"/>
    <hyperlink ref="C170" r:id="rId155" display="https://www.poolhost.com/profootball/playerstats/1663641"/>
    <hyperlink ref="C171" r:id="rId156" display="https://www.poolhost.com/profootball/playerstats/1722206"/>
    <hyperlink ref="C172" r:id="rId157" display="https://www.poolhost.com/profootball/playerstats/1730347"/>
    <hyperlink ref="C173" r:id="rId158" display="https://www.poolhost.com/profootball/playerstats/1700157"/>
    <hyperlink ref="C174" r:id="rId159" display="https://www.poolhost.com/profootball/playerstats/1708505"/>
    <hyperlink ref="C175" r:id="rId160" display="https://www.poolhost.com/profootball/playerstats/1654649"/>
    <hyperlink ref="C176" r:id="rId161" display="https://www.poolhost.com/profootball/playerstats/1732996"/>
    <hyperlink ref="C177" r:id="rId162" display="https://www.poolhost.com/profootball/playerstats/1666092"/>
    <hyperlink ref="C178" r:id="rId163" display="https://www.poolhost.com/profootball/playerstats/1733415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8"/>
  <sheetViews>
    <sheetView topLeftCell="K1" zoomScaleNormal="100" workbookViewId="0">
      <selection activeCell="X1" sqref="X1:X14"/>
    </sheetView>
  </sheetViews>
  <sheetFormatPr defaultRowHeight="14.4" x14ac:dyDescent="0.3"/>
  <sheetData>
    <row r="1" spans="1:28" ht="15" thickBot="1" x14ac:dyDescent="0.35">
      <c r="A1" s="2" t="s">
        <v>0</v>
      </c>
      <c r="D1">
        <v>2</v>
      </c>
      <c r="E1">
        <f>D1+1</f>
        <v>3</v>
      </c>
      <c r="F1">
        <f t="shared" ref="F1:U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ref="N1" si="1">M1+1</f>
        <v>12</v>
      </c>
      <c r="O1">
        <f t="shared" ref="O1" si="2">N1+1</f>
        <v>13</v>
      </c>
      <c r="P1">
        <f t="shared" ref="P1:Q1" si="3">O1+1</f>
        <v>14</v>
      </c>
      <c r="Q1">
        <f t="shared" si="3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 t="s">
        <v>226</v>
      </c>
      <c r="W1" s="16">
        <v>0</v>
      </c>
      <c r="X1" s="11">
        <f>COUNTIF(T$16:T$200,W1)</f>
        <v>3</v>
      </c>
      <c r="Y1" s="20">
        <f t="shared" ref="Y1:Y14" si="4">X1/SUM(X$1:X$13)</f>
        <v>1.8404907975460124E-2</v>
      </c>
      <c r="Z1" s="33"/>
      <c r="AA1" t="s">
        <v>227</v>
      </c>
    </row>
    <row r="2" spans="1:28" ht="15" thickBot="1" x14ac:dyDescent="0.35">
      <c r="A2" s="2" t="s">
        <v>1</v>
      </c>
      <c r="C2" t="s">
        <v>204</v>
      </c>
      <c r="E2" s="24" t="str">
        <f t="shared" ref="E2:M3" si="5">IF(VLOOKUP($C2,$C$16:$AC$192,E$1,FALSE)=E$8,"Y","N")</f>
        <v>Y</v>
      </c>
      <c r="F2" s="25" t="str">
        <f t="shared" si="5"/>
        <v>Y</v>
      </c>
      <c r="G2" s="25" t="str">
        <f t="shared" si="5"/>
        <v>Y</v>
      </c>
      <c r="H2" s="25" t="str">
        <f t="shared" si="5"/>
        <v>N</v>
      </c>
      <c r="I2" s="25" t="str">
        <f t="shared" si="5"/>
        <v>Y</v>
      </c>
      <c r="J2" s="25" t="str">
        <f t="shared" si="5"/>
        <v>N</v>
      </c>
      <c r="K2" s="25" t="str">
        <f t="shared" si="5"/>
        <v>N</v>
      </c>
      <c r="L2" s="25" t="str">
        <f t="shared" si="5"/>
        <v>N</v>
      </c>
      <c r="M2" s="25" t="str">
        <f t="shared" si="5"/>
        <v>N</v>
      </c>
      <c r="N2" s="25" t="str">
        <f t="shared" ref="N2:P3" si="6">IF(VLOOKUP($C2,$C$16:$AC$192,N$1,FALSE)=N$8,"Y","N")</f>
        <v>Y</v>
      </c>
      <c r="O2" s="25" t="str">
        <f t="shared" si="6"/>
        <v>Y</v>
      </c>
      <c r="P2" s="25" t="str">
        <f t="shared" si="6"/>
        <v>N</v>
      </c>
      <c r="Q2" s="25" t="str">
        <f t="shared" ref="Q2:S3" si="7">IF(VLOOKUP($C2,$C$16:$AC$192,Q$1,FALSE)=Q$8,"Y","N")</f>
        <v>N</v>
      </c>
      <c r="R2" s="25" t="str">
        <f t="shared" si="7"/>
        <v>N</v>
      </c>
      <c r="S2" s="25" t="str">
        <f t="shared" si="7"/>
        <v>Y</v>
      </c>
      <c r="T2" s="19">
        <f>VLOOKUP($C2,$C$16:$AC$192,T$1,FALSE)</f>
        <v>4</v>
      </c>
      <c r="U2" s="19">
        <f>VLOOKUP($C2,$C$16:$AC$192,U$1,FALSE)</f>
        <v>100</v>
      </c>
      <c r="V2" s="44" t="str">
        <f>IF(COUNTIF($E2:S2,"Y")=T2,"","check")</f>
        <v>check</v>
      </c>
      <c r="W2" s="23">
        <f>W1+1</f>
        <v>1</v>
      </c>
      <c r="X2" s="12">
        <f t="shared" ref="X2:X14" si="8">COUNTIF(T$16:T$200,W2)</f>
        <v>0</v>
      </c>
      <c r="Y2" s="21">
        <f t="shared" si="4"/>
        <v>0</v>
      </c>
      <c r="Z2" s="33"/>
      <c r="AA2">
        <v>0</v>
      </c>
      <c r="AB2">
        <f>COUNTIF(V$16:V$179,AA2)</f>
        <v>0</v>
      </c>
    </row>
    <row r="3" spans="1:28" ht="15" thickBot="1" x14ac:dyDescent="0.35">
      <c r="A3" s="2" t="s">
        <v>2</v>
      </c>
      <c r="C3" t="s">
        <v>162</v>
      </c>
      <c r="E3" s="13" t="str">
        <f t="shared" si="5"/>
        <v>Y</v>
      </c>
      <c r="F3" s="14" t="str">
        <f t="shared" si="5"/>
        <v>Y</v>
      </c>
      <c r="G3" s="14" t="str">
        <f t="shared" si="5"/>
        <v>Y</v>
      </c>
      <c r="H3" s="14" t="str">
        <f t="shared" si="5"/>
        <v>Y</v>
      </c>
      <c r="I3" s="14" t="str">
        <f t="shared" si="5"/>
        <v>Y</v>
      </c>
      <c r="J3" s="14" t="str">
        <f t="shared" si="5"/>
        <v>N</v>
      </c>
      <c r="K3" s="14" t="str">
        <f t="shared" si="5"/>
        <v>N</v>
      </c>
      <c r="L3" s="14" t="str">
        <f t="shared" si="5"/>
        <v>Y</v>
      </c>
      <c r="M3" s="14" t="str">
        <f t="shared" si="5"/>
        <v>N</v>
      </c>
      <c r="N3" s="14" t="str">
        <f t="shared" si="6"/>
        <v>Y</v>
      </c>
      <c r="O3" s="14" t="str">
        <f t="shared" si="6"/>
        <v>Y</v>
      </c>
      <c r="P3" s="14" t="str">
        <f t="shared" si="6"/>
        <v>N</v>
      </c>
      <c r="Q3" s="14" t="str">
        <f t="shared" si="7"/>
        <v>N</v>
      </c>
      <c r="R3" s="14" t="str">
        <f t="shared" si="7"/>
        <v>Y</v>
      </c>
      <c r="S3" s="14" t="str">
        <f t="shared" si="7"/>
        <v>Y</v>
      </c>
      <c r="T3" s="18">
        <f>VLOOKUP($C3,$C$16:$AC$192,T$1,FALSE)</f>
        <v>7</v>
      </c>
      <c r="U3" s="18">
        <f>VLOOKUP($C3,$C$16:$AC$192,U$1,FALSE)</f>
        <v>96</v>
      </c>
      <c r="V3" s="44" t="str">
        <f>IF(COUNTIF($E3:S3,"Y")=T3,"","check")</f>
        <v>check</v>
      </c>
      <c r="W3" s="23">
        <f t="shared" ref="W3:W14" si="9">W2+1</f>
        <v>2</v>
      </c>
      <c r="X3" s="12">
        <f t="shared" si="8"/>
        <v>2</v>
      </c>
      <c r="Y3" s="21">
        <f t="shared" si="4"/>
        <v>1.2269938650306749E-2</v>
      </c>
      <c r="Z3" s="33"/>
      <c r="AA3">
        <v>1</v>
      </c>
      <c r="AB3">
        <f t="shared" ref="AB3:AB66" si="10">COUNTIF(V$16:V$179,AA3)</f>
        <v>0</v>
      </c>
    </row>
    <row r="4" spans="1:28" x14ac:dyDescent="0.3">
      <c r="A4" s="2" t="s">
        <v>3</v>
      </c>
      <c r="C4" t="s">
        <v>205</v>
      </c>
      <c r="E4" s="9" t="e">
        <f>E5/SUM(E5:E6)</f>
        <v>#DIV/0!</v>
      </c>
      <c r="F4" s="9" t="e">
        <f t="shared" ref="F4:S4" si="11">F5/SUM(F5:F6)</f>
        <v>#DIV/0!</v>
      </c>
      <c r="G4" s="9" t="e">
        <f t="shared" si="11"/>
        <v>#DIV/0!</v>
      </c>
      <c r="H4" s="9">
        <f t="shared" si="11"/>
        <v>0.42499999999999999</v>
      </c>
      <c r="I4" s="9">
        <f t="shared" si="11"/>
        <v>0.53125</v>
      </c>
      <c r="J4" s="9">
        <f t="shared" si="11"/>
        <v>0.33124999999999999</v>
      </c>
      <c r="K4" s="9">
        <f t="shared" si="11"/>
        <v>0.65</v>
      </c>
      <c r="L4" s="9">
        <f t="shared" si="11"/>
        <v>0.50624999999999998</v>
      </c>
      <c r="M4" s="9">
        <f t="shared" si="11"/>
        <v>0.35</v>
      </c>
      <c r="N4" s="9">
        <f t="shared" ref="N4:P4" si="12">N5/SUM(N5:N6)</f>
        <v>0.75624999999999998</v>
      </c>
      <c r="O4" s="9">
        <f t="shared" si="12"/>
        <v>0.31874999999999998</v>
      </c>
      <c r="P4" s="9">
        <f t="shared" si="12"/>
        <v>0.375</v>
      </c>
      <c r="Q4" s="9">
        <f t="shared" si="11"/>
        <v>0.51249999999999996</v>
      </c>
      <c r="R4" s="9">
        <f t="shared" si="11"/>
        <v>0.65625</v>
      </c>
      <c r="S4" s="9">
        <f t="shared" si="11"/>
        <v>0.67500000000000004</v>
      </c>
      <c r="T4" s="10" t="s">
        <v>217</v>
      </c>
      <c r="U4" s="10" t="s">
        <v>218</v>
      </c>
      <c r="W4" s="23">
        <f t="shared" si="9"/>
        <v>3</v>
      </c>
      <c r="X4" s="12">
        <f t="shared" si="8"/>
        <v>5</v>
      </c>
      <c r="Y4" s="21">
        <f t="shared" si="4"/>
        <v>3.0674846625766871E-2</v>
      </c>
      <c r="Z4" s="33"/>
      <c r="AA4">
        <v>2</v>
      </c>
      <c r="AB4">
        <f t="shared" si="10"/>
        <v>0</v>
      </c>
    </row>
    <row r="5" spans="1:28" x14ac:dyDescent="0.3">
      <c r="A5" s="2" t="s">
        <v>0</v>
      </c>
      <c r="C5" t="s">
        <v>202</v>
      </c>
      <c r="D5">
        <f t="shared" ref="D5:S5" si="13">COUNTIF(D$16:D$197,D10)</f>
        <v>0</v>
      </c>
      <c r="E5">
        <f t="shared" si="13"/>
        <v>0</v>
      </c>
      <c r="F5">
        <f t="shared" si="13"/>
        <v>0</v>
      </c>
      <c r="G5">
        <f t="shared" si="13"/>
        <v>0</v>
      </c>
      <c r="H5">
        <f t="shared" si="13"/>
        <v>68</v>
      </c>
      <c r="I5">
        <f t="shared" si="13"/>
        <v>85</v>
      </c>
      <c r="J5">
        <f t="shared" si="13"/>
        <v>53</v>
      </c>
      <c r="K5">
        <f t="shared" si="13"/>
        <v>104</v>
      </c>
      <c r="L5">
        <f t="shared" si="13"/>
        <v>81</v>
      </c>
      <c r="M5">
        <f t="shared" si="13"/>
        <v>56</v>
      </c>
      <c r="N5">
        <f t="shared" ref="N5:P5" si="14">COUNTIF(N$16:N$197,N10)</f>
        <v>121</v>
      </c>
      <c r="O5">
        <f t="shared" si="14"/>
        <v>51</v>
      </c>
      <c r="P5">
        <f t="shared" si="14"/>
        <v>60</v>
      </c>
      <c r="Q5">
        <f t="shared" si="13"/>
        <v>82</v>
      </c>
      <c r="R5">
        <f t="shared" si="13"/>
        <v>105</v>
      </c>
      <c r="S5">
        <f t="shared" si="13"/>
        <v>108</v>
      </c>
      <c r="W5" s="23">
        <f t="shared" si="9"/>
        <v>4</v>
      </c>
      <c r="X5" s="12">
        <f t="shared" si="8"/>
        <v>14</v>
      </c>
      <c r="Y5" s="21">
        <f t="shared" si="4"/>
        <v>8.5889570552147243E-2</v>
      </c>
      <c r="Z5" s="33"/>
      <c r="AA5">
        <v>3</v>
      </c>
      <c r="AB5">
        <f t="shared" si="10"/>
        <v>0</v>
      </c>
    </row>
    <row r="6" spans="1:28" ht="15" thickBot="1" x14ac:dyDescent="0.35">
      <c r="A6" s="2" t="s">
        <v>4</v>
      </c>
      <c r="C6" t="s">
        <v>203</v>
      </c>
      <c r="D6">
        <f t="shared" ref="D6:S6" si="15">COUNTIF(D$16:D$197,D12)</f>
        <v>0</v>
      </c>
      <c r="E6">
        <f t="shared" si="15"/>
        <v>0</v>
      </c>
      <c r="F6">
        <f t="shared" si="15"/>
        <v>0</v>
      </c>
      <c r="G6">
        <f t="shared" si="15"/>
        <v>0</v>
      </c>
      <c r="H6">
        <f t="shared" si="15"/>
        <v>92</v>
      </c>
      <c r="I6">
        <f t="shared" si="15"/>
        <v>75</v>
      </c>
      <c r="J6">
        <f t="shared" si="15"/>
        <v>107</v>
      </c>
      <c r="K6">
        <f t="shared" si="15"/>
        <v>56</v>
      </c>
      <c r="L6">
        <f t="shared" si="15"/>
        <v>79</v>
      </c>
      <c r="M6">
        <f t="shared" si="15"/>
        <v>104</v>
      </c>
      <c r="N6">
        <f t="shared" ref="N6:P6" si="16">COUNTIF(N$16:N$197,N12)</f>
        <v>39</v>
      </c>
      <c r="O6">
        <f t="shared" si="16"/>
        <v>109</v>
      </c>
      <c r="P6">
        <f t="shared" si="16"/>
        <v>100</v>
      </c>
      <c r="Q6">
        <f t="shared" si="15"/>
        <v>78</v>
      </c>
      <c r="R6">
        <f t="shared" si="15"/>
        <v>55</v>
      </c>
      <c r="S6">
        <f t="shared" si="15"/>
        <v>52</v>
      </c>
      <c r="W6" s="23">
        <f t="shared" si="9"/>
        <v>5</v>
      </c>
      <c r="X6" s="12">
        <f t="shared" si="8"/>
        <v>23</v>
      </c>
      <c r="Y6" s="21">
        <f t="shared" si="4"/>
        <v>0.1411042944785276</v>
      </c>
      <c r="Z6" s="33"/>
      <c r="AA6">
        <f>AA5+1</f>
        <v>4</v>
      </c>
      <c r="AB6">
        <f t="shared" si="10"/>
        <v>0</v>
      </c>
    </row>
    <row r="7" spans="1:28" ht="15" thickBot="1" x14ac:dyDescent="0.35">
      <c r="A7" s="2"/>
      <c r="C7" t="s">
        <v>213</v>
      </c>
      <c r="E7" s="28" t="e">
        <f>IF(AND(E10=E8,E4&gt;0.5),"Y",IF(AND(E10=E8,E4&lt;0.5),"N",IF(E4&gt;0.5,"Y","N")))</f>
        <v>#DIV/0!</v>
      </c>
      <c r="F7" s="11" t="e">
        <f>IF(AND(F10=F8,F4&gt;0.5),"Y",IF(AND(F10=F8,F4&lt;0.5),"N",IF(F4&gt;0.5,"Y","N")))</f>
        <v>#DIV/0!</v>
      </c>
      <c r="G7" s="11" t="e">
        <f t="shared" ref="G7:S7" si="17">IF(AND(G10=G8,G4&gt;0.5),"Y",IF(AND(G10=G8,G4&lt;0.5),"N",IF(G4&lt;0.5,"Y","N")))</f>
        <v>#DIV/0!</v>
      </c>
      <c r="H7" s="11" t="str">
        <f t="shared" si="17"/>
        <v>Y</v>
      </c>
      <c r="I7" s="11" t="str">
        <f t="shared" si="17"/>
        <v>N</v>
      </c>
      <c r="J7" s="11" t="str">
        <f t="shared" si="17"/>
        <v>N</v>
      </c>
      <c r="K7" s="11" t="str">
        <f t="shared" si="17"/>
        <v>N</v>
      </c>
      <c r="L7" s="11" t="str">
        <f t="shared" si="17"/>
        <v>Y</v>
      </c>
      <c r="M7" s="11" t="str">
        <f t="shared" si="17"/>
        <v>Y</v>
      </c>
      <c r="N7" s="11" t="str">
        <f t="shared" ref="N7:P7" si="18">IF(AND(N10=N8,N4&gt;0.5),"Y",IF(AND(N10=N8,N4&lt;0.5),"N",IF(N4&lt;0.5,"Y","N")))</f>
        <v>Y</v>
      </c>
      <c r="O7" s="11" t="str">
        <f t="shared" si="18"/>
        <v>N</v>
      </c>
      <c r="P7" s="11" t="str">
        <f t="shared" si="18"/>
        <v>Y</v>
      </c>
      <c r="Q7" s="11" t="str">
        <f t="shared" si="17"/>
        <v>N</v>
      </c>
      <c r="R7" s="11" t="str">
        <f t="shared" si="17"/>
        <v>Y</v>
      </c>
      <c r="S7" s="29" t="str">
        <f t="shared" si="17"/>
        <v>Y</v>
      </c>
      <c r="T7" s="37" t="s">
        <v>220</v>
      </c>
      <c r="U7" s="38">
        <f>COUNTIF(C7:S7,"Y")</f>
        <v>7</v>
      </c>
      <c r="W7" s="34">
        <f t="shared" si="9"/>
        <v>6</v>
      </c>
      <c r="X7" s="35">
        <f t="shared" si="8"/>
        <v>37</v>
      </c>
      <c r="Y7" s="36">
        <f t="shared" si="4"/>
        <v>0.22699386503067484</v>
      </c>
      <c r="Z7" s="33"/>
      <c r="AA7">
        <f t="shared" ref="AA7:AA70" si="19">AA6+1</f>
        <v>5</v>
      </c>
      <c r="AB7">
        <f t="shared" si="10"/>
        <v>0</v>
      </c>
    </row>
    <row r="8" spans="1:28" ht="15" thickBot="1" x14ac:dyDescent="0.35">
      <c r="A8" s="2"/>
      <c r="C8" t="s">
        <v>212</v>
      </c>
      <c r="E8" s="30"/>
      <c r="F8" s="31"/>
      <c r="G8" s="31"/>
      <c r="H8" s="31" t="s">
        <v>65</v>
      </c>
      <c r="I8" s="31" t="s">
        <v>67</v>
      </c>
      <c r="J8" s="31" t="s">
        <v>51</v>
      </c>
      <c r="K8" s="31" t="s">
        <v>55</v>
      </c>
      <c r="L8" s="31" t="s">
        <v>56</v>
      </c>
      <c r="M8" s="31" t="s">
        <v>47</v>
      </c>
      <c r="N8" s="31" t="s">
        <v>53</v>
      </c>
      <c r="O8" s="31" t="s">
        <v>68</v>
      </c>
      <c r="P8" s="31" t="s">
        <v>209</v>
      </c>
      <c r="Q8" s="31" t="s">
        <v>60</v>
      </c>
      <c r="R8" s="31" t="s">
        <v>75</v>
      </c>
      <c r="S8" s="32" t="s">
        <v>64</v>
      </c>
      <c r="W8" s="23">
        <f t="shared" si="9"/>
        <v>7</v>
      </c>
      <c r="X8" s="12">
        <f t="shared" si="8"/>
        <v>41</v>
      </c>
      <c r="Y8" s="21">
        <f t="shared" si="4"/>
        <v>0.25153374233128833</v>
      </c>
      <c r="Z8" s="33"/>
      <c r="AA8">
        <f t="shared" si="19"/>
        <v>6</v>
      </c>
      <c r="AB8">
        <f t="shared" si="10"/>
        <v>0</v>
      </c>
    </row>
    <row r="9" spans="1:28" x14ac:dyDescent="0.3">
      <c r="A9" s="47" t="s">
        <v>46</v>
      </c>
      <c r="B9" s="47"/>
      <c r="C9" s="2" t="s">
        <v>0</v>
      </c>
      <c r="D9" s="7">
        <v>23</v>
      </c>
      <c r="E9" s="7">
        <v>27</v>
      </c>
      <c r="F9" s="7">
        <v>30</v>
      </c>
      <c r="G9" s="7">
        <v>19</v>
      </c>
      <c r="H9" s="7">
        <v>13</v>
      </c>
      <c r="I9" s="7">
        <v>38</v>
      </c>
      <c r="J9" s="7">
        <v>20</v>
      </c>
      <c r="K9" s="7">
        <v>23</v>
      </c>
      <c r="L9" s="7">
        <v>24</v>
      </c>
      <c r="M9" s="7">
        <v>21</v>
      </c>
      <c r="N9" s="7">
        <v>42</v>
      </c>
      <c r="O9" s="7">
        <v>23</v>
      </c>
      <c r="P9" s="7">
        <v>14</v>
      </c>
      <c r="Q9" s="7">
        <v>19</v>
      </c>
      <c r="R9" s="7">
        <v>35</v>
      </c>
      <c r="S9" s="7">
        <v>41</v>
      </c>
      <c r="T9" s="47" t="s">
        <v>76</v>
      </c>
      <c r="U9" s="47" t="s">
        <v>77</v>
      </c>
      <c r="V9" s="8" t="s">
        <v>230</v>
      </c>
      <c r="W9" s="23">
        <f t="shared" si="9"/>
        <v>8</v>
      </c>
      <c r="X9" s="12">
        <f t="shared" si="8"/>
        <v>23</v>
      </c>
      <c r="Y9" s="21">
        <f t="shared" si="4"/>
        <v>0.1411042944785276</v>
      </c>
      <c r="Z9" s="33"/>
      <c r="AA9">
        <f t="shared" si="19"/>
        <v>7</v>
      </c>
      <c r="AB9">
        <f t="shared" si="10"/>
        <v>0</v>
      </c>
    </row>
    <row r="10" spans="1:28" x14ac:dyDescent="0.3">
      <c r="A10" s="47"/>
      <c r="B10" s="47"/>
      <c r="C10" s="2" t="s">
        <v>1</v>
      </c>
      <c r="D10" s="7" t="s">
        <v>71</v>
      </c>
      <c r="E10" s="7" t="s">
        <v>70</v>
      </c>
      <c r="F10" s="7" t="s">
        <v>54</v>
      </c>
      <c r="G10" s="7" t="s">
        <v>210</v>
      </c>
      <c r="H10" s="7" t="s">
        <v>69</v>
      </c>
      <c r="I10" s="7" t="s">
        <v>73</v>
      </c>
      <c r="J10" s="7" t="s">
        <v>51</v>
      </c>
      <c r="K10" s="7" t="s">
        <v>207</v>
      </c>
      <c r="L10" s="7" t="s">
        <v>56</v>
      </c>
      <c r="M10" s="7" t="s">
        <v>74</v>
      </c>
      <c r="N10" s="7" t="s">
        <v>53</v>
      </c>
      <c r="O10" s="7" t="s">
        <v>68</v>
      </c>
      <c r="P10" s="7" t="s">
        <v>58</v>
      </c>
      <c r="Q10" s="7" t="s">
        <v>52</v>
      </c>
      <c r="R10" s="7" t="s">
        <v>75</v>
      </c>
      <c r="S10" s="7" t="s">
        <v>64</v>
      </c>
      <c r="T10" s="47"/>
      <c r="U10" s="47"/>
      <c r="V10" s="8" t="s">
        <v>77</v>
      </c>
      <c r="W10" s="23">
        <f t="shared" si="9"/>
        <v>9</v>
      </c>
      <c r="X10" s="12">
        <f t="shared" si="8"/>
        <v>10</v>
      </c>
      <c r="Y10" s="21">
        <f t="shared" si="4"/>
        <v>6.1349693251533742E-2</v>
      </c>
      <c r="Z10" s="33"/>
      <c r="AA10">
        <f t="shared" si="19"/>
        <v>8</v>
      </c>
      <c r="AB10">
        <f t="shared" si="10"/>
        <v>0</v>
      </c>
    </row>
    <row r="11" spans="1:28" x14ac:dyDescent="0.3">
      <c r="A11" s="47"/>
      <c r="B11" s="47"/>
      <c r="C11" s="2" t="s">
        <v>2</v>
      </c>
      <c r="D11" s="7">
        <v>-10.5</v>
      </c>
      <c r="E11" s="7">
        <v>-4</v>
      </c>
      <c r="F11" s="7">
        <v>-3</v>
      </c>
      <c r="G11" s="7">
        <v>-13</v>
      </c>
      <c r="H11" s="7">
        <v>1.5</v>
      </c>
      <c r="I11" s="7">
        <v>-2.5</v>
      </c>
      <c r="J11" s="7">
        <v>5</v>
      </c>
      <c r="K11" s="7">
        <v>-3.5</v>
      </c>
      <c r="L11" s="7">
        <v>2.5</v>
      </c>
      <c r="M11" s="7">
        <v>2.5</v>
      </c>
      <c r="N11" s="7">
        <v>-5.5</v>
      </c>
      <c r="O11" s="7">
        <v>6</v>
      </c>
      <c r="P11" s="7">
        <v>2.5</v>
      </c>
      <c r="Q11" s="7">
        <v>-2.5</v>
      </c>
      <c r="R11" s="7">
        <v>-7</v>
      </c>
      <c r="S11" s="7">
        <v>-5.5</v>
      </c>
      <c r="T11" s="47"/>
      <c r="U11" s="47"/>
      <c r="V11" s="8">
        <v>-73</v>
      </c>
      <c r="W11" s="23">
        <f t="shared" si="9"/>
        <v>10</v>
      </c>
      <c r="X11" s="12">
        <f t="shared" si="8"/>
        <v>4</v>
      </c>
      <c r="Y11" s="21">
        <f t="shared" si="4"/>
        <v>2.4539877300613498E-2</v>
      </c>
      <c r="Z11" s="33"/>
      <c r="AA11">
        <f t="shared" si="19"/>
        <v>9</v>
      </c>
      <c r="AB11">
        <f t="shared" si="10"/>
        <v>0</v>
      </c>
    </row>
    <row r="12" spans="1:28" x14ac:dyDescent="0.3">
      <c r="A12" s="47"/>
      <c r="B12" s="47"/>
      <c r="C12" s="2" t="s">
        <v>3</v>
      </c>
      <c r="D12" s="7" t="s">
        <v>50</v>
      </c>
      <c r="E12" s="7" t="s">
        <v>72</v>
      </c>
      <c r="F12" s="7" t="s">
        <v>208</v>
      </c>
      <c r="G12" s="7" t="s">
        <v>66</v>
      </c>
      <c r="H12" s="7" t="s">
        <v>65</v>
      </c>
      <c r="I12" s="7" t="s">
        <v>67</v>
      </c>
      <c r="J12" s="7" t="s">
        <v>57</v>
      </c>
      <c r="K12" s="7" t="s">
        <v>55</v>
      </c>
      <c r="L12" s="7" t="s">
        <v>63</v>
      </c>
      <c r="M12" s="7" t="s">
        <v>47</v>
      </c>
      <c r="N12" s="7" t="s">
        <v>62</v>
      </c>
      <c r="O12" s="7" t="s">
        <v>59</v>
      </c>
      <c r="P12" s="7" t="s">
        <v>209</v>
      </c>
      <c r="Q12" s="7" t="s">
        <v>60</v>
      </c>
      <c r="R12" s="7" t="s">
        <v>48</v>
      </c>
      <c r="S12" s="7" t="s">
        <v>61</v>
      </c>
      <c r="T12" s="47"/>
      <c r="U12" s="47"/>
      <c r="V12" s="8"/>
      <c r="W12" s="23">
        <f t="shared" si="9"/>
        <v>11</v>
      </c>
      <c r="X12" s="12">
        <f t="shared" si="8"/>
        <v>1</v>
      </c>
      <c r="Y12" s="21">
        <f t="shared" si="4"/>
        <v>6.1349693251533744E-3</v>
      </c>
      <c r="Z12" s="33"/>
      <c r="AA12">
        <f t="shared" si="19"/>
        <v>10</v>
      </c>
      <c r="AB12">
        <f t="shared" si="10"/>
        <v>0</v>
      </c>
    </row>
    <row r="13" spans="1:28" x14ac:dyDescent="0.3">
      <c r="A13" s="47"/>
      <c r="B13" s="47"/>
      <c r="C13" s="2" t="s">
        <v>0</v>
      </c>
      <c r="D13" s="7">
        <v>20</v>
      </c>
      <c r="E13" s="7">
        <v>20</v>
      </c>
      <c r="F13" s="7">
        <v>17</v>
      </c>
      <c r="G13" s="7">
        <v>17</v>
      </c>
      <c r="H13" s="7">
        <v>17</v>
      </c>
      <c r="I13" s="7">
        <v>44</v>
      </c>
      <c r="J13" s="7">
        <v>23</v>
      </c>
      <c r="K13" s="7">
        <v>22</v>
      </c>
      <c r="L13" s="7">
        <v>25</v>
      </c>
      <c r="M13" s="7">
        <v>26</v>
      </c>
      <c r="N13" s="7">
        <v>19</v>
      </c>
      <c r="O13" s="7">
        <v>26</v>
      </c>
      <c r="P13" s="7">
        <v>21</v>
      </c>
      <c r="Q13" s="7">
        <v>24</v>
      </c>
      <c r="R13" s="7">
        <v>10</v>
      </c>
      <c r="S13" s="7">
        <v>32</v>
      </c>
      <c r="T13" s="47"/>
      <c r="U13" s="47"/>
      <c r="V13" s="8"/>
      <c r="W13" s="23">
        <f t="shared" si="9"/>
        <v>12</v>
      </c>
      <c r="X13" s="12">
        <f t="shared" si="8"/>
        <v>0</v>
      </c>
      <c r="Y13" s="21">
        <f t="shared" si="4"/>
        <v>0</v>
      </c>
      <c r="Z13" s="33"/>
      <c r="AA13">
        <f t="shared" si="19"/>
        <v>11</v>
      </c>
      <c r="AB13">
        <f t="shared" si="10"/>
        <v>0</v>
      </c>
    </row>
    <row r="14" spans="1:28" ht="15" thickBot="1" x14ac:dyDescent="0.35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47"/>
      <c r="U14" s="47"/>
      <c r="V14" s="8"/>
      <c r="W14" s="17">
        <f t="shared" si="9"/>
        <v>13</v>
      </c>
      <c r="X14" s="14">
        <f t="shared" si="8"/>
        <v>0</v>
      </c>
      <c r="Y14" s="22">
        <f t="shared" si="4"/>
        <v>0</v>
      </c>
      <c r="Z14" s="33"/>
      <c r="AA14">
        <f t="shared" si="19"/>
        <v>12</v>
      </c>
      <c r="AB14">
        <f t="shared" si="10"/>
        <v>0</v>
      </c>
    </row>
    <row r="15" spans="1:28" ht="28.8" x14ac:dyDescent="0.3">
      <c r="A15" s="47"/>
      <c r="B15" s="47"/>
      <c r="C15" s="2" t="s">
        <v>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 t="s">
        <v>206</v>
      </c>
      <c r="P15" s="7"/>
      <c r="Q15" s="7"/>
      <c r="R15" s="7"/>
      <c r="S15" s="7"/>
      <c r="T15" s="47"/>
      <c r="U15" s="47"/>
      <c r="V15" s="8"/>
      <c r="AA15">
        <f t="shared" si="19"/>
        <v>13</v>
      </c>
      <c r="AB15">
        <f t="shared" si="10"/>
        <v>0</v>
      </c>
    </row>
    <row r="16" spans="1:28" ht="28.8" x14ac:dyDescent="0.3">
      <c r="A16" s="46">
        <v>1</v>
      </c>
      <c r="B16" s="4"/>
      <c r="C16" s="6" t="s">
        <v>29</v>
      </c>
      <c r="D16" s="5"/>
      <c r="E16" s="5"/>
      <c r="F16" s="5"/>
      <c r="G16" s="5"/>
      <c r="H16" s="5" t="s">
        <v>65</v>
      </c>
      <c r="I16" s="5" t="s">
        <v>67</v>
      </c>
      <c r="J16" s="5" t="s">
        <v>51</v>
      </c>
      <c r="K16" s="5" t="s">
        <v>55</v>
      </c>
      <c r="L16" s="5" t="s">
        <v>63</v>
      </c>
      <c r="M16" s="5" t="s">
        <v>47</v>
      </c>
      <c r="N16" s="5" t="s">
        <v>53</v>
      </c>
      <c r="O16" s="5" t="s">
        <v>68</v>
      </c>
      <c r="P16" s="5" t="s">
        <v>209</v>
      </c>
      <c r="Q16" s="5" t="s">
        <v>60</v>
      </c>
      <c r="R16" s="5" t="s">
        <v>75</v>
      </c>
      <c r="S16" s="5" t="s">
        <v>64</v>
      </c>
      <c r="T16" s="1">
        <v>11</v>
      </c>
      <c r="U16" s="1">
        <v>92</v>
      </c>
      <c r="V16" s="1">
        <v>41</v>
      </c>
      <c r="AA16">
        <f t="shared" si="19"/>
        <v>14</v>
      </c>
      <c r="AB16">
        <f t="shared" si="10"/>
        <v>0</v>
      </c>
    </row>
    <row r="17" spans="1:28" ht="28.8" x14ac:dyDescent="0.3">
      <c r="A17" s="46">
        <v>2</v>
      </c>
      <c r="B17" s="4"/>
      <c r="C17" s="6" t="s">
        <v>146</v>
      </c>
      <c r="D17" s="5"/>
      <c r="E17" s="5"/>
      <c r="F17" s="5"/>
      <c r="G17" s="5"/>
      <c r="H17" s="5" t="s">
        <v>65</v>
      </c>
      <c r="I17" s="5" t="s">
        <v>67</v>
      </c>
      <c r="J17" s="5" t="s">
        <v>57</v>
      </c>
      <c r="K17" s="5" t="s">
        <v>55</v>
      </c>
      <c r="L17" s="5" t="s">
        <v>63</v>
      </c>
      <c r="M17" s="5" t="s">
        <v>47</v>
      </c>
      <c r="N17" s="5" t="s">
        <v>53</v>
      </c>
      <c r="O17" s="5" t="s">
        <v>68</v>
      </c>
      <c r="P17" s="5" t="s">
        <v>209</v>
      </c>
      <c r="Q17" s="5" t="s">
        <v>60</v>
      </c>
      <c r="R17" s="5" t="s">
        <v>75</v>
      </c>
      <c r="S17" s="5" t="s">
        <v>64</v>
      </c>
      <c r="T17" s="1">
        <v>10</v>
      </c>
      <c r="U17" s="1">
        <v>96</v>
      </c>
      <c r="V17" s="1">
        <v>49</v>
      </c>
      <c r="AA17">
        <f t="shared" si="19"/>
        <v>15</v>
      </c>
      <c r="AB17">
        <f t="shared" si="10"/>
        <v>0</v>
      </c>
    </row>
    <row r="18" spans="1:28" ht="28.8" x14ac:dyDescent="0.3">
      <c r="A18" s="46">
        <v>3</v>
      </c>
      <c r="B18" s="4"/>
      <c r="C18" s="6" t="s">
        <v>139</v>
      </c>
      <c r="D18" s="5"/>
      <c r="E18" s="5"/>
      <c r="F18" s="5"/>
      <c r="G18" s="5"/>
      <c r="H18" s="5" t="s">
        <v>65</v>
      </c>
      <c r="I18" s="5" t="s">
        <v>73</v>
      </c>
      <c r="J18" s="5" t="s">
        <v>51</v>
      </c>
      <c r="K18" s="5" t="s">
        <v>55</v>
      </c>
      <c r="L18" s="5" t="s">
        <v>56</v>
      </c>
      <c r="M18" s="5" t="s">
        <v>47</v>
      </c>
      <c r="N18" s="5" t="s">
        <v>53</v>
      </c>
      <c r="O18" s="5" t="s">
        <v>59</v>
      </c>
      <c r="P18" s="5" t="s">
        <v>209</v>
      </c>
      <c r="Q18" s="5" t="s">
        <v>60</v>
      </c>
      <c r="R18" s="5" t="s">
        <v>75</v>
      </c>
      <c r="S18" s="5" t="s">
        <v>64</v>
      </c>
      <c r="T18" s="1">
        <v>10</v>
      </c>
      <c r="U18" s="1">
        <v>105</v>
      </c>
      <c r="V18" s="1">
        <v>45</v>
      </c>
      <c r="AA18">
        <f t="shared" si="19"/>
        <v>16</v>
      </c>
      <c r="AB18">
        <f t="shared" si="10"/>
        <v>0</v>
      </c>
    </row>
    <row r="19" spans="1:28" x14ac:dyDescent="0.3">
      <c r="A19" s="46">
        <v>4</v>
      </c>
      <c r="B19" s="4"/>
      <c r="C19" s="6" t="s">
        <v>85</v>
      </c>
      <c r="D19" s="5"/>
      <c r="E19" s="5"/>
      <c r="F19" s="5"/>
      <c r="G19" s="5"/>
      <c r="H19" s="5" t="s">
        <v>65</v>
      </c>
      <c r="I19" s="5" t="s">
        <v>67</v>
      </c>
      <c r="J19" s="5" t="s">
        <v>57</v>
      </c>
      <c r="K19" s="5" t="s">
        <v>55</v>
      </c>
      <c r="L19" s="5" t="s">
        <v>56</v>
      </c>
      <c r="M19" s="5" t="s">
        <v>47</v>
      </c>
      <c r="N19" s="5" t="s">
        <v>53</v>
      </c>
      <c r="O19" s="5" t="s">
        <v>68</v>
      </c>
      <c r="P19" s="5" t="s">
        <v>209</v>
      </c>
      <c r="Q19" s="5" t="s">
        <v>60</v>
      </c>
      <c r="R19" s="5" t="s">
        <v>48</v>
      </c>
      <c r="S19" s="5" t="s">
        <v>64</v>
      </c>
      <c r="T19" s="1">
        <v>10</v>
      </c>
      <c r="U19" s="1">
        <v>99</v>
      </c>
      <c r="V19" s="1">
        <v>42</v>
      </c>
      <c r="AA19">
        <f t="shared" si="19"/>
        <v>17</v>
      </c>
      <c r="AB19">
        <f t="shared" si="10"/>
        <v>0</v>
      </c>
    </row>
    <row r="20" spans="1:28" ht="28.8" x14ac:dyDescent="0.3">
      <c r="A20" s="46">
        <v>5</v>
      </c>
      <c r="B20" s="4"/>
      <c r="C20" s="6" t="s">
        <v>36</v>
      </c>
      <c r="D20" s="5"/>
      <c r="E20" s="5"/>
      <c r="F20" s="5"/>
      <c r="G20" s="5"/>
      <c r="H20" s="5" t="s">
        <v>65</v>
      </c>
      <c r="I20" s="5" t="s">
        <v>73</v>
      </c>
      <c r="J20" s="5" t="s">
        <v>51</v>
      </c>
      <c r="K20" s="5" t="s">
        <v>207</v>
      </c>
      <c r="L20" s="5" t="s">
        <v>56</v>
      </c>
      <c r="M20" s="5" t="s">
        <v>47</v>
      </c>
      <c r="N20" s="5" t="s">
        <v>53</v>
      </c>
      <c r="O20" s="5" t="s">
        <v>68</v>
      </c>
      <c r="P20" s="5" t="s">
        <v>209</v>
      </c>
      <c r="Q20" s="5" t="s">
        <v>60</v>
      </c>
      <c r="R20" s="5" t="s">
        <v>75</v>
      </c>
      <c r="S20" s="5" t="s">
        <v>64</v>
      </c>
      <c r="T20" s="1">
        <v>10</v>
      </c>
      <c r="U20" s="1">
        <v>90</v>
      </c>
      <c r="V20" s="1">
        <v>42</v>
      </c>
      <c r="AA20">
        <f t="shared" si="19"/>
        <v>18</v>
      </c>
      <c r="AB20">
        <f t="shared" si="10"/>
        <v>1</v>
      </c>
    </row>
    <row r="21" spans="1:28" x14ac:dyDescent="0.3">
      <c r="A21" s="46">
        <v>6</v>
      </c>
      <c r="B21" s="4"/>
      <c r="C21" s="6" t="s">
        <v>121</v>
      </c>
      <c r="D21" s="5"/>
      <c r="E21" s="5"/>
      <c r="F21" s="5"/>
      <c r="G21" s="5"/>
      <c r="H21" s="5" t="s">
        <v>65</v>
      </c>
      <c r="I21" s="5" t="s">
        <v>67</v>
      </c>
      <c r="J21" s="5" t="s">
        <v>57</v>
      </c>
      <c r="K21" s="5" t="s">
        <v>207</v>
      </c>
      <c r="L21" s="5" t="s">
        <v>56</v>
      </c>
      <c r="M21" s="5" t="s">
        <v>47</v>
      </c>
      <c r="N21" s="5" t="s">
        <v>53</v>
      </c>
      <c r="O21" s="5" t="s">
        <v>59</v>
      </c>
      <c r="P21" s="5" t="s">
        <v>209</v>
      </c>
      <c r="Q21" s="5" t="s">
        <v>60</v>
      </c>
      <c r="R21" s="5" t="s">
        <v>75</v>
      </c>
      <c r="S21" s="5" t="s">
        <v>64</v>
      </c>
      <c r="T21" s="1">
        <v>9</v>
      </c>
      <c r="U21" s="1">
        <v>102</v>
      </c>
      <c r="V21" s="1">
        <v>46</v>
      </c>
      <c r="AA21">
        <f t="shared" si="19"/>
        <v>19</v>
      </c>
      <c r="AB21">
        <f t="shared" si="10"/>
        <v>0</v>
      </c>
    </row>
    <row r="22" spans="1:28" x14ac:dyDescent="0.3">
      <c r="A22" s="46">
        <v>7</v>
      </c>
      <c r="B22" s="4"/>
      <c r="C22" s="6" t="s">
        <v>180</v>
      </c>
      <c r="D22" s="5"/>
      <c r="E22" s="5"/>
      <c r="F22" s="5"/>
      <c r="G22" s="5"/>
      <c r="H22" s="5" t="s">
        <v>65</v>
      </c>
      <c r="I22" s="5" t="s">
        <v>73</v>
      </c>
      <c r="J22" s="5" t="s">
        <v>57</v>
      </c>
      <c r="K22" s="5" t="s">
        <v>55</v>
      </c>
      <c r="L22" s="5" t="s">
        <v>56</v>
      </c>
      <c r="M22" s="5" t="s">
        <v>47</v>
      </c>
      <c r="N22" s="5" t="s">
        <v>53</v>
      </c>
      <c r="O22" s="5" t="s">
        <v>59</v>
      </c>
      <c r="P22" s="5" t="s">
        <v>209</v>
      </c>
      <c r="Q22" s="5" t="s">
        <v>60</v>
      </c>
      <c r="R22" s="5" t="s">
        <v>75</v>
      </c>
      <c r="S22" s="5" t="s">
        <v>64</v>
      </c>
      <c r="T22" s="1">
        <v>9</v>
      </c>
      <c r="U22" s="1">
        <v>97</v>
      </c>
      <c r="V22" s="1">
        <v>45</v>
      </c>
      <c r="AA22">
        <f t="shared" si="19"/>
        <v>20</v>
      </c>
      <c r="AB22">
        <f t="shared" si="10"/>
        <v>1</v>
      </c>
    </row>
    <row r="23" spans="1:28" ht="28.8" x14ac:dyDescent="0.3">
      <c r="A23" s="46">
        <v>8</v>
      </c>
      <c r="B23" s="4"/>
      <c r="C23" s="6" t="s">
        <v>81</v>
      </c>
      <c r="D23" s="5"/>
      <c r="E23" s="5"/>
      <c r="F23" s="5"/>
      <c r="G23" s="5"/>
      <c r="H23" s="5" t="s">
        <v>65</v>
      </c>
      <c r="I23" s="5" t="s">
        <v>67</v>
      </c>
      <c r="J23" s="5" t="s">
        <v>57</v>
      </c>
      <c r="K23" s="5" t="s">
        <v>55</v>
      </c>
      <c r="L23" s="5" t="s">
        <v>56</v>
      </c>
      <c r="M23" s="5" t="s">
        <v>47</v>
      </c>
      <c r="N23" s="5" t="s">
        <v>62</v>
      </c>
      <c r="O23" s="5" t="s">
        <v>59</v>
      </c>
      <c r="P23" s="5" t="s">
        <v>209</v>
      </c>
      <c r="Q23" s="5" t="s">
        <v>60</v>
      </c>
      <c r="R23" s="5" t="s">
        <v>75</v>
      </c>
      <c r="S23" s="5" t="s">
        <v>64</v>
      </c>
      <c r="T23" s="1">
        <v>9</v>
      </c>
      <c r="U23" s="1">
        <v>103</v>
      </c>
      <c r="V23" s="1">
        <v>42</v>
      </c>
      <c r="AA23">
        <f t="shared" si="19"/>
        <v>21</v>
      </c>
      <c r="AB23">
        <f t="shared" si="10"/>
        <v>1</v>
      </c>
    </row>
    <row r="24" spans="1:28" x14ac:dyDescent="0.3">
      <c r="A24" s="46">
        <v>9</v>
      </c>
      <c r="B24" s="4"/>
      <c r="C24" s="6" t="s">
        <v>145</v>
      </c>
      <c r="D24" s="5"/>
      <c r="E24" s="5"/>
      <c r="F24" s="5"/>
      <c r="G24" s="5"/>
      <c r="H24" s="5" t="s">
        <v>65</v>
      </c>
      <c r="I24" s="5" t="s">
        <v>67</v>
      </c>
      <c r="J24" s="5" t="s">
        <v>51</v>
      </c>
      <c r="K24" s="5" t="s">
        <v>207</v>
      </c>
      <c r="L24" s="5" t="s">
        <v>56</v>
      </c>
      <c r="M24" s="5" t="s">
        <v>47</v>
      </c>
      <c r="N24" s="5" t="s">
        <v>53</v>
      </c>
      <c r="O24" s="5" t="s">
        <v>59</v>
      </c>
      <c r="P24" s="5" t="s">
        <v>209</v>
      </c>
      <c r="Q24" s="5" t="s">
        <v>52</v>
      </c>
      <c r="R24" s="5" t="s">
        <v>75</v>
      </c>
      <c r="S24" s="5" t="s">
        <v>64</v>
      </c>
      <c r="T24" s="1">
        <v>9</v>
      </c>
      <c r="U24" s="1">
        <v>74</v>
      </c>
      <c r="V24" s="1">
        <v>42</v>
      </c>
      <c r="AA24">
        <f t="shared" si="19"/>
        <v>22</v>
      </c>
      <c r="AB24">
        <f t="shared" si="10"/>
        <v>0</v>
      </c>
    </row>
    <row r="25" spans="1:28" x14ac:dyDescent="0.3">
      <c r="A25" s="46">
        <v>10</v>
      </c>
      <c r="B25" s="4"/>
      <c r="C25" s="6" t="s">
        <v>105</v>
      </c>
      <c r="D25" s="5"/>
      <c r="E25" s="5"/>
      <c r="F25" s="5"/>
      <c r="G25" s="5"/>
      <c r="H25" s="5" t="s">
        <v>65</v>
      </c>
      <c r="I25" s="5" t="s">
        <v>67</v>
      </c>
      <c r="J25" s="5" t="s">
        <v>57</v>
      </c>
      <c r="K25" s="5" t="s">
        <v>55</v>
      </c>
      <c r="L25" s="5" t="s">
        <v>56</v>
      </c>
      <c r="M25" s="5" t="s">
        <v>74</v>
      </c>
      <c r="N25" s="5" t="s">
        <v>53</v>
      </c>
      <c r="O25" s="5" t="s">
        <v>59</v>
      </c>
      <c r="P25" s="5" t="s">
        <v>209</v>
      </c>
      <c r="Q25" s="5" t="s">
        <v>60</v>
      </c>
      <c r="R25" s="5" t="s">
        <v>75</v>
      </c>
      <c r="S25" s="5" t="s">
        <v>64</v>
      </c>
      <c r="T25" s="1">
        <v>9</v>
      </c>
      <c r="U25" s="1">
        <v>94</v>
      </c>
      <c r="V25" s="1">
        <v>42</v>
      </c>
      <c r="AA25">
        <f t="shared" si="19"/>
        <v>23</v>
      </c>
      <c r="AB25">
        <f t="shared" si="10"/>
        <v>1</v>
      </c>
    </row>
    <row r="26" spans="1:28" x14ac:dyDescent="0.3">
      <c r="A26" s="46">
        <v>11</v>
      </c>
      <c r="B26" s="4"/>
      <c r="C26" s="6" t="s">
        <v>157</v>
      </c>
      <c r="D26" s="5"/>
      <c r="E26" s="5"/>
      <c r="F26" s="5"/>
      <c r="G26" s="5"/>
      <c r="H26" s="5" t="s">
        <v>65</v>
      </c>
      <c r="I26" s="5" t="s">
        <v>73</v>
      </c>
      <c r="J26" s="5" t="s">
        <v>51</v>
      </c>
      <c r="K26" s="5" t="s">
        <v>55</v>
      </c>
      <c r="L26" s="5" t="s">
        <v>56</v>
      </c>
      <c r="M26" s="5" t="s">
        <v>47</v>
      </c>
      <c r="N26" s="5" t="s">
        <v>53</v>
      </c>
      <c r="O26" s="5" t="s">
        <v>59</v>
      </c>
      <c r="P26" s="5" t="s">
        <v>209</v>
      </c>
      <c r="Q26" s="5" t="s">
        <v>52</v>
      </c>
      <c r="R26" s="5" t="s">
        <v>75</v>
      </c>
      <c r="S26" s="5" t="s">
        <v>64</v>
      </c>
      <c r="T26" s="1">
        <v>9</v>
      </c>
      <c r="U26" s="1">
        <v>88</v>
      </c>
      <c r="V26" s="1">
        <v>41</v>
      </c>
      <c r="AA26">
        <f t="shared" si="19"/>
        <v>24</v>
      </c>
      <c r="AB26">
        <f t="shared" si="10"/>
        <v>0</v>
      </c>
    </row>
    <row r="27" spans="1:28" x14ac:dyDescent="0.3">
      <c r="A27" s="46">
        <v>12</v>
      </c>
      <c r="B27" s="4"/>
      <c r="C27" s="6" t="s">
        <v>13</v>
      </c>
      <c r="D27" s="5"/>
      <c r="E27" s="5"/>
      <c r="F27" s="5"/>
      <c r="G27" s="5"/>
      <c r="H27" s="5" t="s">
        <v>65</v>
      </c>
      <c r="I27" s="5" t="s">
        <v>73</v>
      </c>
      <c r="J27" s="5" t="s">
        <v>51</v>
      </c>
      <c r="K27" s="5" t="s">
        <v>55</v>
      </c>
      <c r="L27" s="5" t="s">
        <v>56</v>
      </c>
      <c r="M27" s="5" t="s">
        <v>47</v>
      </c>
      <c r="N27" s="5" t="s">
        <v>53</v>
      </c>
      <c r="O27" s="5" t="s">
        <v>68</v>
      </c>
      <c r="P27" s="5" t="s">
        <v>209</v>
      </c>
      <c r="Q27" s="5" t="s">
        <v>52</v>
      </c>
      <c r="R27" s="5" t="s">
        <v>48</v>
      </c>
      <c r="S27" s="5" t="s">
        <v>64</v>
      </c>
      <c r="T27" s="1">
        <v>9</v>
      </c>
      <c r="U27" s="1">
        <v>105</v>
      </c>
      <c r="V27" s="1">
        <v>41</v>
      </c>
      <c r="AA27">
        <f t="shared" si="19"/>
        <v>25</v>
      </c>
      <c r="AB27">
        <f t="shared" si="10"/>
        <v>0</v>
      </c>
    </row>
    <row r="28" spans="1:28" ht="43.2" x14ac:dyDescent="0.3">
      <c r="A28" s="46">
        <v>13</v>
      </c>
      <c r="B28" s="4"/>
      <c r="C28" s="6" t="s">
        <v>188</v>
      </c>
      <c r="D28" s="5"/>
      <c r="E28" s="5"/>
      <c r="F28" s="5"/>
      <c r="G28" s="5"/>
      <c r="H28" s="5" t="s">
        <v>65</v>
      </c>
      <c r="I28" s="5" t="s">
        <v>67</v>
      </c>
      <c r="J28" s="5" t="s">
        <v>51</v>
      </c>
      <c r="K28" s="5" t="s">
        <v>55</v>
      </c>
      <c r="L28" s="5" t="s">
        <v>56</v>
      </c>
      <c r="M28" s="5" t="s">
        <v>47</v>
      </c>
      <c r="N28" s="5" t="s">
        <v>62</v>
      </c>
      <c r="O28" s="5" t="s">
        <v>59</v>
      </c>
      <c r="P28" s="5" t="s">
        <v>209</v>
      </c>
      <c r="Q28" s="5" t="s">
        <v>52</v>
      </c>
      <c r="R28" s="5" t="s">
        <v>75</v>
      </c>
      <c r="S28" s="5" t="s">
        <v>64</v>
      </c>
      <c r="T28" s="1">
        <v>9</v>
      </c>
      <c r="U28" s="1">
        <v>89</v>
      </c>
      <c r="V28" s="1">
        <v>37</v>
      </c>
      <c r="AA28">
        <f t="shared" si="19"/>
        <v>26</v>
      </c>
      <c r="AB28">
        <f t="shared" si="10"/>
        <v>0</v>
      </c>
    </row>
    <row r="29" spans="1:28" x14ac:dyDescent="0.3">
      <c r="A29" s="46">
        <v>14</v>
      </c>
      <c r="B29" s="4"/>
      <c r="C29" s="6" t="s">
        <v>98</v>
      </c>
      <c r="D29" s="5"/>
      <c r="E29" s="5"/>
      <c r="F29" s="5"/>
      <c r="G29" s="5"/>
      <c r="H29" s="5" t="s">
        <v>65</v>
      </c>
      <c r="I29" s="5" t="s">
        <v>67</v>
      </c>
      <c r="J29" s="5" t="s">
        <v>51</v>
      </c>
      <c r="K29" s="5" t="s">
        <v>207</v>
      </c>
      <c r="L29" s="5" t="s">
        <v>56</v>
      </c>
      <c r="M29" s="5" t="s">
        <v>47</v>
      </c>
      <c r="N29" s="5" t="s">
        <v>53</v>
      </c>
      <c r="O29" s="5" t="s">
        <v>59</v>
      </c>
      <c r="P29" s="5" t="s">
        <v>58</v>
      </c>
      <c r="Q29" s="5" t="s">
        <v>60</v>
      </c>
      <c r="R29" s="5" t="s">
        <v>75</v>
      </c>
      <c r="S29" s="5" t="s">
        <v>64</v>
      </c>
      <c r="T29" s="1">
        <v>9</v>
      </c>
      <c r="U29" s="1">
        <v>103</v>
      </c>
      <c r="V29" s="1">
        <v>37</v>
      </c>
      <c r="AA29">
        <f t="shared" si="19"/>
        <v>27</v>
      </c>
      <c r="AB29">
        <f t="shared" si="10"/>
        <v>1</v>
      </c>
    </row>
    <row r="30" spans="1:28" ht="28.8" x14ac:dyDescent="0.3">
      <c r="A30" s="46">
        <v>15</v>
      </c>
      <c r="B30" s="4"/>
      <c r="C30" s="6" t="s">
        <v>192</v>
      </c>
      <c r="D30" s="5"/>
      <c r="E30" s="5"/>
      <c r="F30" s="5"/>
      <c r="G30" s="5"/>
      <c r="H30" s="5" t="s">
        <v>65</v>
      </c>
      <c r="I30" s="5" t="s">
        <v>67</v>
      </c>
      <c r="J30" s="5" t="s">
        <v>51</v>
      </c>
      <c r="K30" s="5" t="s">
        <v>55</v>
      </c>
      <c r="L30" s="5" t="s">
        <v>56</v>
      </c>
      <c r="M30" s="5" t="s">
        <v>47</v>
      </c>
      <c r="N30" s="5" t="s">
        <v>53</v>
      </c>
      <c r="O30" s="5" t="s">
        <v>59</v>
      </c>
      <c r="P30" s="5" t="s">
        <v>209</v>
      </c>
      <c r="Q30" s="5" t="s">
        <v>60</v>
      </c>
      <c r="R30" s="5" t="s">
        <v>48</v>
      </c>
      <c r="S30" s="5" t="s">
        <v>61</v>
      </c>
      <c r="T30" s="1">
        <v>9</v>
      </c>
      <c r="U30" s="1">
        <v>101</v>
      </c>
      <c r="V30" s="1">
        <v>20</v>
      </c>
      <c r="AA30">
        <f t="shared" si="19"/>
        <v>28</v>
      </c>
      <c r="AB30">
        <f t="shared" si="10"/>
        <v>0</v>
      </c>
    </row>
    <row r="31" spans="1:28" ht="28.8" x14ac:dyDescent="0.3">
      <c r="A31" s="46">
        <v>16</v>
      </c>
      <c r="B31" s="4"/>
      <c r="C31" s="6" t="s">
        <v>122</v>
      </c>
      <c r="D31" s="5"/>
      <c r="E31" s="5"/>
      <c r="F31" s="5"/>
      <c r="G31" s="5"/>
      <c r="H31" s="5" t="s">
        <v>69</v>
      </c>
      <c r="I31" s="5" t="s">
        <v>73</v>
      </c>
      <c r="J31" s="5" t="s">
        <v>51</v>
      </c>
      <c r="K31" s="5" t="s">
        <v>55</v>
      </c>
      <c r="L31" s="5" t="s">
        <v>63</v>
      </c>
      <c r="M31" s="5" t="s">
        <v>47</v>
      </c>
      <c r="N31" s="5" t="s">
        <v>53</v>
      </c>
      <c r="O31" s="5" t="s">
        <v>68</v>
      </c>
      <c r="P31" s="5" t="s">
        <v>58</v>
      </c>
      <c r="Q31" s="5" t="s">
        <v>60</v>
      </c>
      <c r="R31" s="5" t="s">
        <v>75</v>
      </c>
      <c r="S31" s="5" t="s">
        <v>64</v>
      </c>
      <c r="T31" s="1">
        <v>8</v>
      </c>
      <c r="U31" s="1">
        <v>90</v>
      </c>
      <c r="V31" s="1">
        <v>59</v>
      </c>
      <c r="AA31">
        <f t="shared" si="19"/>
        <v>29</v>
      </c>
      <c r="AB31">
        <f t="shared" si="10"/>
        <v>0</v>
      </c>
    </row>
    <row r="32" spans="1:28" ht="28.8" x14ac:dyDescent="0.3">
      <c r="A32" s="46">
        <v>17</v>
      </c>
      <c r="B32" s="4"/>
      <c r="C32" s="6" t="s">
        <v>123</v>
      </c>
      <c r="D32" s="5"/>
      <c r="E32" s="5"/>
      <c r="F32" s="5"/>
      <c r="G32" s="5"/>
      <c r="H32" s="5" t="s">
        <v>65</v>
      </c>
      <c r="I32" s="5" t="s">
        <v>67</v>
      </c>
      <c r="J32" s="5" t="s">
        <v>57</v>
      </c>
      <c r="K32" s="5" t="s">
        <v>207</v>
      </c>
      <c r="L32" s="5" t="s">
        <v>56</v>
      </c>
      <c r="M32" s="5" t="s">
        <v>47</v>
      </c>
      <c r="N32" s="5" t="s">
        <v>53</v>
      </c>
      <c r="O32" s="5" t="s">
        <v>59</v>
      </c>
      <c r="P32" s="5" t="s">
        <v>58</v>
      </c>
      <c r="Q32" s="5" t="s">
        <v>60</v>
      </c>
      <c r="R32" s="5" t="s">
        <v>75</v>
      </c>
      <c r="S32" s="5" t="s">
        <v>64</v>
      </c>
      <c r="T32" s="1">
        <v>8</v>
      </c>
      <c r="U32" s="1">
        <v>93</v>
      </c>
      <c r="V32" s="1">
        <v>55</v>
      </c>
      <c r="AA32">
        <f t="shared" si="19"/>
        <v>30</v>
      </c>
      <c r="AB32">
        <f t="shared" si="10"/>
        <v>0</v>
      </c>
    </row>
    <row r="33" spans="1:28" x14ac:dyDescent="0.3">
      <c r="A33" s="46">
        <v>18</v>
      </c>
      <c r="B33" s="4"/>
      <c r="C33" s="6" t="s">
        <v>118</v>
      </c>
      <c r="D33" s="5"/>
      <c r="E33" s="5"/>
      <c r="F33" s="5"/>
      <c r="G33" s="5"/>
      <c r="H33" s="5" t="s">
        <v>65</v>
      </c>
      <c r="I33" s="5" t="s">
        <v>73</v>
      </c>
      <c r="J33" s="5" t="s">
        <v>51</v>
      </c>
      <c r="K33" s="5" t="s">
        <v>55</v>
      </c>
      <c r="L33" s="5" t="s">
        <v>56</v>
      </c>
      <c r="M33" s="5" t="s">
        <v>47</v>
      </c>
      <c r="N33" s="5" t="s">
        <v>62</v>
      </c>
      <c r="O33" s="5" t="s">
        <v>59</v>
      </c>
      <c r="P33" s="5" t="s">
        <v>209</v>
      </c>
      <c r="Q33" s="5" t="s">
        <v>52</v>
      </c>
      <c r="R33" s="5" t="s">
        <v>75</v>
      </c>
      <c r="S33" s="5" t="s">
        <v>64</v>
      </c>
      <c r="T33" s="1">
        <v>8</v>
      </c>
      <c r="U33" s="1">
        <v>89</v>
      </c>
      <c r="V33" s="1">
        <v>52</v>
      </c>
      <c r="AA33">
        <f t="shared" si="19"/>
        <v>31</v>
      </c>
      <c r="AB33">
        <f t="shared" si="10"/>
        <v>2</v>
      </c>
    </row>
    <row r="34" spans="1:28" x14ac:dyDescent="0.3">
      <c r="A34" s="46">
        <v>19</v>
      </c>
      <c r="B34" s="4"/>
      <c r="C34" s="6" t="s">
        <v>127</v>
      </c>
      <c r="D34" s="5"/>
      <c r="E34" s="5"/>
      <c r="F34" s="5"/>
      <c r="G34" s="5"/>
      <c r="H34" s="5" t="s">
        <v>65</v>
      </c>
      <c r="I34" s="5" t="s">
        <v>73</v>
      </c>
      <c r="J34" s="5" t="s">
        <v>57</v>
      </c>
      <c r="K34" s="5" t="s">
        <v>207</v>
      </c>
      <c r="L34" s="5" t="s">
        <v>56</v>
      </c>
      <c r="M34" s="5" t="s">
        <v>47</v>
      </c>
      <c r="N34" s="5" t="s">
        <v>53</v>
      </c>
      <c r="O34" s="5" t="s">
        <v>68</v>
      </c>
      <c r="P34" s="5" t="s">
        <v>209</v>
      </c>
      <c r="Q34" s="5" t="s">
        <v>52</v>
      </c>
      <c r="R34" s="5" t="s">
        <v>75</v>
      </c>
      <c r="S34" s="5" t="s">
        <v>64</v>
      </c>
      <c r="T34" s="1">
        <v>8</v>
      </c>
      <c r="U34" s="1">
        <v>92</v>
      </c>
      <c r="V34" s="1">
        <v>51</v>
      </c>
      <c r="AA34">
        <f t="shared" si="19"/>
        <v>32</v>
      </c>
      <c r="AB34">
        <f t="shared" si="10"/>
        <v>1</v>
      </c>
    </row>
    <row r="35" spans="1:28" ht="28.8" x14ac:dyDescent="0.3">
      <c r="A35" s="46">
        <v>20</v>
      </c>
      <c r="B35" s="4"/>
      <c r="C35" s="6" t="s">
        <v>92</v>
      </c>
      <c r="D35" s="5"/>
      <c r="E35" s="5"/>
      <c r="F35" s="5"/>
      <c r="G35" s="5"/>
      <c r="H35" s="5" t="s">
        <v>65</v>
      </c>
      <c r="I35" s="5" t="s">
        <v>73</v>
      </c>
      <c r="J35" s="5" t="s">
        <v>57</v>
      </c>
      <c r="K35" s="5" t="s">
        <v>207</v>
      </c>
      <c r="L35" s="5" t="s">
        <v>56</v>
      </c>
      <c r="M35" s="5" t="s">
        <v>47</v>
      </c>
      <c r="N35" s="5" t="s">
        <v>53</v>
      </c>
      <c r="O35" s="5" t="s">
        <v>68</v>
      </c>
      <c r="P35" s="5" t="s">
        <v>209</v>
      </c>
      <c r="Q35" s="5" t="s">
        <v>60</v>
      </c>
      <c r="R35" s="5" t="s">
        <v>75</v>
      </c>
      <c r="S35" s="5" t="s">
        <v>61</v>
      </c>
      <c r="T35" s="1">
        <v>8</v>
      </c>
      <c r="U35" s="1">
        <v>89</v>
      </c>
      <c r="V35" s="1">
        <v>47</v>
      </c>
      <c r="AA35">
        <f t="shared" si="19"/>
        <v>33</v>
      </c>
      <c r="AB35">
        <f t="shared" si="10"/>
        <v>0</v>
      </c>
    </row>
    <row r="36" spans="1:28" ht="28.8" x14ac:dyDescent="0.3">
      <c r="A36" s="46">
        <v>21</v>
      </c>
      <c r="B36" s="4"/>
      <c r="C36" s="6" t="s">
        <v>108</v>
      </c>
      <c r="D36" s="5"/>
      <c r="E36" s="5"/>
      <c r="F36" s="5"/>
      <c r="G36" s="5"/>
      <c r="H36" s="5" t="s">
        <v>65</v>
      </c>
      <c r="I36" s="5" t="s">
        <v>67</v>
      </c>
      <c r="J36" s="5" t="s">
        <v>57</v>
      </c>
      <c r="K36" s="5" t="s">
        <v>207</v>
      </c>
      <c r="L36" s="5" t="s">
        <v>56</v>
      </c>
      <c r="M36" s="5" t="s">
        <v>47</v>
      </c>
      <c r="N36" s="5" t="s">
        <v>53</v>
      </c>
      <c r="O36" s="5" t="s">
        <v>59</v>
      </c>
      <c r="P36" s="5" t="s">
        <v>58</v>
      </c>
      <c r="Q36" s="5" t="s">
        <v>60</v>
      </c>
      <c r="R36" s="5" t="s">
        <v>75</v>
      </c>
      <c r="S36" s="5" t="s">
        <v>64</v>
      </c>
      <c r="T36" s="1">
        <v>8</v>
      </c>
      <c r="U36" s="1">
        <v>95</v>
      </c>
      <c r="V36" s="1">
        <v>47</v>
      </c>
      <c r="AA36">
        <f t="shared" si="19"/>
        <v>34</v>
      </c>
      <c r="AB36">
        <f t="shared" si="10"/>
        <v>6</v>
      </c>
    </row>
    <row r="37" spans="1:28" x14ac:dyDescent="0.3">
      <c r="A37" s="46">
        <v>22</v>
      </c>
      <c r="B37" s="4"/>
      <c r="C37" s="6" t="s">
        <v>161</v>
      </c>
      <c r="D37" s="5"/>
      <c r="E37" s="5"/>
      <c r="F37" s="5"/>
      <c r="G37" s="5"/>
      <c r="H37" s="5" t="s">
        <v>65</v>
      </c>
      <c r="I37" s="5" t="s">
        <v>67</v>
      </c>
      <c r="J37" s="5" t="s">
        <v>51</v>
      </c>
      <c r="K37" s="5" t="s">
        <v>55</v>
      </c>
      <c r="L37" s="5" t="s">
        <v>63</v>
      </c>
      <c r="M37" s="5" t="s">
        <v>47</v>
      </c>
      <c r="N37" s="5" t="s">
        <v>62</v>
      </c>
      <c r="O37" s="5" t="s">
        <v>59</v>
      </c>
      <c r="P37" s="5" t="s">
        <v>209</v>
      </c>
      <c r="Q37" s="5" t="s">
        <v>52</v>
      </c>
      <c r="R37" s="5" t="s">
        <v>75</v>
      </c>
      <c r="S37" s="5" t="s">
        <v>64</v>
      </c>
      <c r="T37" s="1">
        <v>8</v>
      </c>
      <c r="U37" s="1">
        <v>93</v>
      </c>
      <c r="V37" s="1">
        <v>46</v>
      </c>
      <c r="AA37">
        <f t="shared" si="19"/>
        <v>35</v>
      </c>
      <c r="AB37">
        <f t="shared" si="10"/>
        <v>4</v>
      </c>
    </row>
    <row r="38" spans="1:28" ht="28.8" x14ac:dyDescent="0.3">
      <c r="A38" s="46">
        <v>23</v>
      </c>
      <c r="B38" s="4"/>
      <c r="C38" s="6" t="s">
        <v>200</v>
      </c>
      <c r="D38" s="5"/>
      <c r="E38" s="5"/>
      <c r="F38" s="5"/>
      <c r="G38" s="5"/>
      <c r="H38" s="5" t="s">
        <v>65</v>
      </c>
      <c r="I38" s="5" t="s">
        <v>67</v>
      </c>
      <c r="J38" s="5" t="s">
        <v>57</v>
      </c>
      <c r="K38" s="5" t="s">
        <v>207</v>
      </c>
      <c r="L38" s="5" t="s">
        <v>56</v>
      </c>
      <c r="M38" s="5" t="s">
        <v>47</v>
      </c>
      <c r="N38" s="5" t="s">
        <v>53</v>
      </c>
      <c r="O38" s="5" t="s">
        <v>59</v>
      </c>
      <c r="P38" s="5" t="s">
        <v>209</v>
      </c>
      <c r="Q38" s="5" t="s">
        <v>52</v>
      </c>
      <c r="R38" s="5" t="s">
        <v>75</v>
      </c>
      <c r="S38" s="5" t="s">
        <v>64</v>
      </c>
      <c r="T38" s="1">
        <v>8</v>
      </c>
      <c r="U38" s="1">
        <v>77</v>
      </c>
      <c r="V38" s="1">
        <v>46</v>
      </c>
      <c r="AA38">
        <f t="shared" si="19"/>
        <v>36</v>
      </c>
      <c r="AB38">
        <f t="shared" si="10"/>
        <v>1</v>
      </c>
    </row>
    <row r="39" spans="1:28" x14ac:dyDescent="0.3">
      <c r="A39" s="46">
        <v>24</v>
      </c>
      <c r="B39" s="4"/>
      <c r="C39" s="6" t="s">
        <v>86</v>
      </c>
      <c r="D39" s="5"/>
      <c r="E39" s="5"/>
      <c r="F39" s="5"/>
      <c r="G39" s="5"/>
      <c r="H39" s="5" t="s">
        <v>65</v>
      </c>
      <c r="I39" s="5" t="s">
        <v>67</v>
      </c>
      <c r="J39" s="5" t="s">
        <v>57</v>
      </c>
      <c r="K39" s="5" t="s">
        <v>55</v>
      </c>
      <c r="L39" s="5" t="s">
        <v>56</v>
      </c>
      <c r="M39" s="5" t="s">
        <v>47</v>
      </c>
      <c r="N39" s="5" t="s">
        <v>53</v>
      </c>
      <c r="O39" s="5" t="s">
        <v>59</v>
      </c>
      <c r="P39" s="5" t="s">
        <v>58</v>
      </c>
      <c r="Q39" s="5" t="s">
        <v>60</v>
      </c>
      <c r="R39" s="5" t="s">
        <v>48</v>
      </c>
      <c r="S39" s="5" t="s">
        <v>64</v>
      </c>
      <c r="T39" s="1">
        <v>8</v>
      </c>
      <c r="U39" s="1">
        <v>90</v>
      </c>
      <c r="V39" s="1">
        <v>45</v>
      </c>
      <c r="AA39">
        <f t="shared" si="19"/>
        <v>37</v>
      </c>
      <c r="AB39">
        <f t="shared" si="10"/>
        <v>9</v>
      </c>
    </row>
    <row r="40" spans="1:28" x14ac:dyDescent="0.3">
      <c r="A40" s="46">
        <v>25</v>
      </c>
      <c r="B40" s="4"/>
      <c r="C40" s="6" t="s">
        <v>37</v>
      </c>
      <c r="D40" s="5"/>
      <c r="E40" s="5"/>
      <c r="F40" s="5"/>
      <c r="G40" s="5"/>
      <c r="H40" s="5" t="s">
        <v>65</v>
      </c>
      <c r="I40" s="5" t="s">
        <v>67</v>
      </c>
      <c r="J40" s="5" t="s">
        <v>51</v>
      </c>
      <c r="K40" s="5" t="s">
        <v>207</v>
      </c>
      <c r="L40" s="5" t="s">
        <v>63</v>
      </c>
      <c r="M40" s="5" t="s">
        <v>47</v>
      </c>
      <c r="N40" s="5" t="s">
        <v>53</v>
      </c>
      <c r="O40" s="5" t="s">
        <v>59</v>
      </c>
      <c r="P40" s="5" t="s">
        <v>209</v>
      </c>
      <c r="Q40" s="5" t="s">
        <v>52</v>
      </c>
      <c r="R40" s="5" t="s">
        <v>75</v>
      </c>
      <c r="S40" s="5" t="s">
        <v>64</v>
      </c>
      <c r="T40" s="1">
        <v>8</v>
      </c>
      <c r="U40" s="1">
        <v>95</v>
      </c>
      <c r="V40" s="1">
        <v>45</v>
      </c>
      <c r="AA40">
        <f t="shared" si="19"/>
        <v>38</v>
      </c>
      <c r="AB40">
        <f t="shared" si="10"/>
        <v>7</v>
      </c>
    </row>
    <row r="41" spans="1:28" ht="28.8" x14ac:dyDescent="0.3">
      <c r="A41" s="46">
        <v>26</v>
      </c>
      <c r="B41" s="4"/>
      <c r="C41" s="6" t="s">
        <v>135</v>
      </c>
      <c r="D41" s="5"/>
      <c r="E41" s="5"/>
      <c r="F41" s="5"/>
      <c r="G41" s="5"/>
      <c r="H41" s="5" t="s">
        <v>65</v>
      </c>
      <c r="I41" s="5" t="s">
        <v>73</v>
      </c>
      <c r="J41" s="5" t="s">
        <v>57</v>
      </c>
      <c r="K41" s="5" t="s">
        <v>55</v>
      </c>
      <c r="L41" s="5" t="s">
        <v>63</v>
      </c>
      <c r="M41" s="5" t="s">
        <v>74</v>
      </c>
      <c r="N41" s="5" t="s">
        <v>53</v>
      </c>
      <c r="O41" s="5" t="s">
        <v>68</v>
      </c>
      <c r="P41" s="5" t="s">
        <v>209</v>
      </c>
      <c r="Q41" s="5" t="s">
        <v>60</v>
      </c>
      <c r="R41" s="5" t="s">
        <v>75</v>
      </c>
      <c r="S41" s="5" t="s">
        <v>64</v>
      </c>
      <c r="T41" s="1">
        <v>8</v>
      </c>
      <c r="U41" s="1">
        <v>94</v>
      </c>
      <c r="V41" s="1">
        <v>43</v>
      </c>
      <c r="AA41">
        <f t="shared" si="19"/>
        <v>39</v>
      </c>
      <c r="AB41">
        <f t="shared" si="10"/>
        <v>5</v>
      </c>
    </row>
    <row r="42" spans="1:28" x14ac:dyDescent="0.3">
      <c r="A42" s="46">
        <v>27</v>
      </c>
      <c r="B42" s="4"/>
      <c r="C42" s="6" t="s">
        <v>96</v>
      </c>
      <c r="D42" s="5"/>
      <c r="E42" s="5"/>
      <c r="F42" s="5"/>
      <c r="G42" s="5"/>
      <c r="H42" s="5" t="s">
        <v>69</v>
      </c>
      <c r="I42" s="5" t="s">
        <v>67</v>
      </c>
      <c r="J42" s="5" t="s">
        <v>57</v>
      </c>
      <c r="K42" s="5" t="s">
        <v>55</v>
      </c>
      <c r="L42" s="5" t="s">
        <v>63</v>
      </c>
      <c r="M42" s="5" t="s">
        <v>47</v>
      </c>
      <c r="N42" s="5" t="s">
        <v>53</v>
      </c>
      <c r="O42" s="5" t="s">
        <v>68</v>
      </c>
      <c r="P42" s="5" t="s">
        <v>209</v>
      </c>
      <c r="Q42" s="5" t="s">
        <v>60</v>
      </c>
      <c r="R42" s="5" t="s">
        <v>75</v>
      </c>
      <c r="S42" s="5" t="s">
        <v>61</v>
      </c>
      <c r="T42" s="1">
        <v>8</v>
      </c>
      <c r="U42" s="1">
        <v>91</v>
      </c>
      <c r="V42" s="1">
        <v>43</v>
      </c>
      <c r="AA42">
        <f t="shared" si="19"/>
        <v>40</v>
      </c>
      <c r="AB42">
        <f t="shared" si="10"/>
        <v>8</v>
      </c>
    </row>
    <row r="43" spans="1:28" x14ac:dyDescent="0.3">
      <c r="A43" s="46">
        <v>28</v>
      </c>
      <c r="B43" s="4"/>
      <c r="C43" s="6" t="s">
        <v>138</v>
      </c>
      <c r="D43" s="5"/>
      <c r="E43" s="5"/>
      <c r="F43" s="5"/>
      <c r="G43" s="5"/>
      <c r="H43" s="5" t="s">
        <v>69</v>
      </c>
      <c r="I43" s="5" t="s">
        <v>73</v>
      </c>
      <c r="J43" s="5" t="s">
        <v>51</v>
      </c>
      <c r="K43" s="5" t="s">
        <v>55</v>
      </c>
      <c r="L43" s="5" t="s">
        <v>56</v>
      </c>
      <c r="M43" s="5" t="s">
        <v>47</v>
      </c>
      <c r="N43" s="5" t="s">
        <v>53</v>
      </c>
      <c r="O43" s="5" t="s">
        <v>59</v>
      </c>
      <c r="P43" s="5" t="s">
        <v>209</v>
      </c>
      <c r="Q43" s="5" t="s">
        <v>52</v>
      </c>
      <c r="R43" s="5" t="s">
        <v>75</v>
      </c>
      <c r="S43" s="5" t="s">
        <v>64</v>
      </c>
      <c r="T43" s="1">
        <v>8</v>
      </c>
      <c r="U43" s="1">
        <v>99</v>
      </c>
      <c r="V43" s="1">
        <v>43</v>
      </c>
      <c r="AA43">
        <f t="shared" si="19"/>
        <v>41</v>
      </c>
      <c r="AB43">
        <f t="shared" si="10"/>
        <v>15</v>
      </c>
    </row>
    <row r="44" spans="1:28" ht="28.8" x14ac:dyDescent="0.3">
      <c r="A44" s="46">
        <v>29</v>
      </c>
      <c r="B44" s="4"/>
      <c r="C44" s="6" t="s">
        <v>175</v>
      </c>
      <c r="D44" s="5"/>
      <c r="E44" s="5"/>
      <c r="F44" s="5"/>
      <c r="G44" s="5"/>
      <c r="H44" s="5" t="s">
        <v>69</v>
      </c>
      <c r="I44" s="5" t="s">
        <v>67</v>
      </c>
      <c r="J44" s="5" t="s">
        <v>51</v>
      </c>
      <c r="K44" s="5" t="s">
        <v>207</v>
      </c>
      <c r="L44" s="5" t="s">
        <v>56</v>
      </c>
      <c r="M44" s="5" t="s">
        <v>47</v>
      </c>
      <c r="N44" s="5" t="s">
        <v>53</v>
      </c>
      <c r="O44" s="5" t="s">
        <v>68</v>
      </c>
      <c r="P44" s="5" t="s">
        <v>58</v>
      </c>
      <c r="Q44" s="5" t="s">
        <v>60</v>
      </c>
      <c r="R44" s="5" t="s">
        <v>75</v>
      </c>
      <c r="S44" s="5" t="s">
        <v>61</v>
      </c>
      <c r="T44" s="1">
        <v>8</v>
      </c>
      <c r="U44" s="1">
        <v>81</v>
      </c>
      <c r="V44" s="1">
        <v>42</v>
      </c>
      <c r="AA44">
        <f t="shared" si="19"/>
        <v>42</v>
      </c>
      <c r="AB44">
        <f t="shared" si="10"/>
        <v>22</v>
      </c>
    </row>
    <row r="45" spans="1:28" x14ac:dyDescent="0.3">
      <c r="A45" s="46">
        <v>30</v>
      </c>
      <c r="B45" s="4"/>
      <c r="C45" s="6" t="s">
        <v>173</v>
      </c>
      <c r="D45" s="5"/>
      <c r="E45" s="5"/>
      <c r="F45" s="5"/>
      <c r="G45" s="5"/>
      <c r="H45" s="5" t="s">
        <v>65</v>
      </c>
      <c r="I45" s="5" t="s">
        <v>67</v>
      </c>
      <c r="J45" s="5" t="s">
        <v>57</v>
      </c>
      <c r="K45" s="5" t="s">
        <v>55</v>
      </c>
      <c r="L45" s="5" t="s">
        <v>56</v>
      </c>
      <c r="M45" s="5" t="s">
        <v>47</v>
      </c>
      <c r="N45" s="5" t="s">
        <v>53</v>
      </c>
      <c r="O45" s="5" t="s">
        <v>59</v>
      </c>
      <c r="P45" s="5" t="s">
        <v>209</v>
      </c>
      <c r="Q45" s="5" t="s">
        <v>52</v>
      </c>
      <c r="R45" s="5" t="s">
        <v>75</v>
      </c>
      <c r="S45" s="5" t="s">
        <v>61</v>
      </c>
      <c r="T45" s="1">
        <v>8</v>
      </c>
      <c r="U45" s="1">
        <v>92</v>
      </c>
      <c r="V45" s="1">
        <v>42</v>
      </c>
      <c r="AA45">
        <f t="shared" si="19"/>
        <v>43</v>
      </c>
      <c r="AB45">
        <f t="shared" si="10"/>
        <v>13</v>
      </c>
    </row>
    <row r="46" spans="1:28" ht="28.8" x14ac:dyDescent="0.3">
      <c r="A46" s="46">
        <v>31</v>
      </c>
      <c r="B46" s="4"/>
      <c r="C46" s="6" t="s">
        <v>32</v>
      </c>
      <c r="D46" s="5"/>
      <c r="E46" s="5"/>
      <c r="F46" s="5"/>
      <c r="G46" s="5"/>
      <c r="H46" s="5" t="s">
        <v>65</v>
      </c>
      <c r="I46" s="5" t="s">
        <v>67</v>
      </c>
      <c r="J46" s="5" t="s">
        <v>57</v>
      </c>
      <c r="K46" s="5" t="s">
        <v>207</v>
      </c>
      <c r="L46" s="5" t="s">
        <v>63</v>
      </c>
      <c r="M46" s="5" t="s">
        <v>47</v>
      </c>
      <c r="N46" s="5" t="s">
        <v>53</v>
      </c>
      <c r="O46" s="5" t="s">
        <v>68</v>
      </c>
      <c r="P46" s="5" t="s">
        <v>209</v>
      </c>
      <c r="Q46" s="5" t="s">
        <v>52</v>
      </c>
      <c r="R46" s="5" t="s">
        <v>75</v>
      </c>
      <c r="S46" s="5" t="s">
        <v>64</v>
      </c>
      <c r="T46" s="1">
        <v>8</v>
      </c>
      <c r="U46" s="1">
        <v>94</v>
      </c>
      <c r="V46" s="1">
        <v>41</v>
      </c>
      <c r="AA46">
        <f t="shared" si="19"/>
        <v>44</v>
      </c>
      <c r="AB46">
        <f t="shared" si="10"/>
        <v>13</v>
      </c>
    </row>
    <row r="47" spans="1:28" x14ac:dyDescent="0.3">
      <c r="A47" s="46">
        <v>32</v>
      </c>
      <c r="B47" s="4"/>
      <c r="C47" s="6" t="s">
        <v>7</v>
      </c>
      <c r="D47" s="5"/>
      <c r="E47" s="5"/>
      <c r="F47" s="5"/>
      <c r="G47" s="5"/>
      <c r="H47" s="5" t="s">
        <v>69</v>
      </c>
      <c r="I47" s="5" t="s">
        <v>67</v>
      </c>
      <c r="J47" s="5" t="s">
        <v>51</v>
      </c>
      <c r="K47" s="5" t="s">
        <v>207</v>
      </c>
      <c r="L47" s="5" t="s">
        <v>56</v>
      </c>
      <c r="M47" s="5" t="s">
        <v>47</v>
      </c>
      <c r="N47" s="5" t="s">
        <v>53</v>
      </c>
      <c r="O47" s="5" t="s">
        <v>59</v>
      </c>
      <c r="P47" s="5" t="s">
        <v>58</v>
      </c>
      <c r="Q47" s="5" t="s">
        <v>60</v>
      </c>
      <c r="R47" s="5" t="s">
        <v>75</v>
      </c>
      <c r="S47" s="5" t="s">
        <v>64</v>
      </c>
      <c r="T47" s="1">
        <v>8</v>
      </c>
      <c r="U47" s="1">
        <v>86</v>
      </c>
      <c r="V47" s="1">
        <v>41</v>
      </c>
      <c r="AA47">
        <f t="shared" si="19"/>
        <v>45</v>
      </c>
      <c r="AB47">
        <f t="shared" si="10"/>
        <v>14</v>
      </c>
    </row>
    <row r="48" spans="1:28" x14ac:dyDescent="0.3">
      <c r="A48" s="46">
        <v>33</v>
      </c>
      <c r="B48" s="4"/>
      <c r="C48" s="6" t="s">
        <v>79</v>
      </c>
      <c r="D48" s="5"/>
      <c r="E48" s="5"/>
      <c r="F48" s="5"/>
      <c r="G48" s="5"/>
      <c r="H48" s="5" t="s">
        <v>65</v>
      </c>
      <c r="I48" s="5" t="s">
        <v>73</v>
      </c>
      <c r="J48" s="5" t="s">
        <v>57</v>
      </c>
      <c r="K48" s="5" t="s">
        <v>207</v>
      </c>
      <c r="L48" s="5" t="s">
        <v>56</v>
      </c>
      <c r="M48" s="5" t="s">
        <v>47</v>
      </c>
      <c r="N48" s="5" t="s">
        <v>53</v>
      </c>
      <c r="O48" s="5" t="s">
        <v>68</v>
      </c>
      <c r="P48" s="5" t="s">
        <v>209</v>
      </c>
      <c r="Q48" s="5" t="s">
        <v>60</v>
      </c>
      <c r="R48" s="5" t="s">
        <v>75</v>
      </c>
      <c r="S48" s="5" t="s">
        <v>61</v>
      </c>
      <c r="T48" s="1">
        <v>8</v>
      </c>
      <c r="U48" s="1">
        <v>89</v>
      </c>
      <c r="V48" s="1">
        <v>41</v>
      </c>
      <c r="AA48">
        <f t="shared" si="19"/>
        <v>46</v>
      </c>
      <c r="AB48">
        <f t="shared" si="10"/>
        <v>8</v>
      </c>
    </row>
    <row r="49" spans="1:28" x14ac:dyDescent="0.3">
      <c r="A49" s="46">
        <v>34</v>
      </c>
      <c r="B49" s="4"/>
      <c r="C49" s="6" t="s">
        <v>187</v>
      </c>
      <c r="D49" s="5"/>
      <c r="E49" s="5"/>
      <c r="F49" s="5"/>
      <c r="G49" s="5"/>
      <c r="H49" s="5" t="s">
        <v>69</v>
      </c>
      <c r="I49" s="5" t="s">
        <v>67</v>
      </c>
      <c r="J49" s="5" t="s">
        <v>51</v>
      </c>
      <c r="K49" s="5" t="s">
        <v>207</v>
      </c>
      <c r="L49" s="5" t="s">
        <v>56</v>
      </c>
      <c r="M49" s="5" t="s">
        <v>47</v>
      </c>
      <c r="N49" s="5" t="s">
        <v>53</v>
      </c>
      <c r="O49" s="5" t="s">
        <v>59</v>
      </c>
      <c r="P49" s="5" t="s">
        <v>58</v>
      </c>
      <c r="Q49" s="5" t="s">
        <v>60</v>
      </c>
      <c r="R49" s="5" t="s">
        <v>75</v>
      </c>
      <c r="S49" s="5" t="s">
        <v>64</v>
      </c>
      <c r="T49" s="1">
        <v>8</v>
      </c>
      <c r="U49" s="1">
        <v>92</v>
      </c>
      <c r="V49" s="1">
        <v>38</v>
      </c>
      <c r="AA49">
        <f t="shared" si="19"/>
        <v>47</v>
      </c>
      <c r="AB49">
        <f t="shared" si="10"/>
        <v>8</v>
      </c>
    </row>
    <row r="50" spans="1:28" x14ac:dyDescent="0.3">
      <c r="A50" s="46">
        <v>35</v>
      </c>
      <c r="B50" s="4"/>
      <c r="C50" s="6" t="s">
        <v>110</v>
      </c>
      <c r="D50" s="5"/>
      <c r="E50" s="5"/>
      <c r="F50" s="5"/>
      <c r="G50" s="5"/>
      <c r="H50" s="5" t="s">
        <v>65</v>
      </c>
      <c r="I50" s="5" t="s">
        <v>73</v>
      </c>
      <c r="J50" s="5" t="s">
        <v>51</v>
      </c>
      <c r="K50" s="5" t="s">
        <v>207</v>
      </c>
      <c r="L50" s="5" t="s">
        <v>63</v>
      </c>
      <c r="M50" s="5" t="s">
        <v>47</v>
      </c>
      <c r="N50" s="5" t="s">
        <v>53</v>
      </c>
      <c r="O50" s="5" t="s">
        <v>59</v>
      </c>
      <c r="P50" s="5" t="s">
        <v>209</v>
      </c>
      <c r="Q50" s="5" t="s">
        <v>60</v>
      </c>
      <c r="R50" s="5" t="s">
        <v>75</v>
      </c>
      <c r="S50" s="5" t="s">
        <v>64</v>
      </c>
      <c r="T50" s="1">
        <v>8</v>
      </c>
      <c r="U50" s="1">
        <v>100</v>
      </c>
      <c r="V50" s="1">
        <v>35</v>
      </c>
      <c r="AA50">
        <f t="shared" si="19"/>
        <v>48</v>
      </c>
      <c r="AB50">
        <f t="shared" si="10"/>
        <v>3</v>
      </c>
    </row>
    <row r="51" spans="1:28" x14ac:dyDescent="0.3">
      <c r="A51" s="46">
        <v>36</v>
      </c>
      <c r="B51" s="4"/>
      <c r="C51" s="6" t="s">
        <v>35</v>
      </c>
      <c r="D51" s="5"/>
      <c r="E51" s="5"/>
      <c r="F51" s="5"/>
      <c r="G51" s="5"/>
      <c r="H51" s="5" t="s">
        <v>65</v>
      </c>
      <c r="I51" s="5" t="s">
        <v>73</v>
      </c>
      <c r="J51" s="5" t="s">
        <v>57</v>
      </c>
      <c r="K51" s="5" t="s">
        <v>207</v>
      </c>
      <c r="L51" s="5" t="s">
        <v>56</v>
      </c>
      <c r="M51" s="5" t="s">
        <v>47</v>
      </c>
      <c r="N51" s="5" t="s">
        <v>53</v>
      </c>
      <c r="O51" s="5" t="s">
        <v>59</v>
      </c>
      <c r="P51" s="5" t="s">
        <v>209</v>
      </c>
      <c r="Q51" s="5" t="s">
        <v>60</v>
      </c>
      <c r="R51" s="5" t="s">
        <v>75</v>
      </c>
      <c r="S51" s="5" t="s">
        <v>64</v>
      </c>
      <c r="T51" s="1">
        <v>8</v>
      </c>
      <c r="U51" s="1">
        <v>91</v>
      </c>
      <c r="V51" s="1">
        <v>34</v>
      </c>
      <c r="AA51">
        <f t="shared" si="19"/>
        <v>49</v>
      </c>
      <c r="AB51">
        <f t="shared" si="10"/>
        <v>2</v>
      </c>
    </row>
    <row r="52" spans="1:28" x14ac:dyDescent="0.3">
      <c r="A52" s="46">
        <v>37</v>
      </c>
      <c r="B52" s="4"/>
      <c r="C52" s="6" t="s">
        <v>129</v>
      </c>
      <c r="D52" s="5"/>
      <c r="E52" s="5"/>
      <c r="F52" s="5"/>
      <c r="G52" s="5"/>
      <c r="H52" s="5" t="s">
        <v>65</v>
      </c>
      <c r="I52" s="5" t="s">
        <v>73</v>
      </c>
      <c r="J52" s="5" t="s">
        <v>57</v>
      </c>
      <c r="K52" s="5" t="s">
        <v>55</v>
      </c>
      <c r="L52" s="5" t="s">
        <v>56</v>
      </c>
      <c r="M52" s="5" t="s">
        <v>47</v>
      </c>
      <c r="N52" s="5" t="s">
        <v>53</v>
      </c>
      <c r="O52" s="5" t="s">
        <v>59</v>
      </c>
      <c r="P52" s="5" t="s">
        <v>209</v>
      </c>
      <c r="Q52" s="5" t="s">
        <v>52</v>
      </c>
      <c r="R52" s="5" t="s">
        <v>75</v>
      </c>
      <c r="S52" s="5" t="s">
        <v>64</v>
      </c>
      <c r="T52" s="1">
        <v>8</v>
      </c>
      <c r="U52" s="1">
        <v>101</v>
      </c>
      <c r="V52" s="1">
        <v>32</v>
      </c>
      <c r="AA52">
        <f t="shared" si="19"/>
        <v>50</v>
      </c>
      <c r="AB52">
        <f t="shared" si="10"/>
        <v>0</v>
      </c>
    </row>
    <row r="53" spans="1:28" x14ac:dyDescent="0.3">
      <c r="A53" s="46">
        <v>38</v>
      </c>
      <c r="B53" s="4"/>
      <c r="C53" s="6" t="s">
        <v>82</v>
      </c>
      <c r="D53" s="5"/>
      <c r="E53" s="5"/>
      <c r="F53" s="5"/>
      <c r="G53" s="5"/>
      <c r="H53" s="5" t="s">
        <v>65</v>
      </c>
      <c r="I53" s="5" t="s">
        <v>67</v>
      </c>
      <c r="J53" s="5" t="s">
        <v>57</v>
      </c>
      <c r="K53" s="5" t="s">
        <v>207</v>
      </c>
      <c r="L53" s="5" t="s">
        <v>63</v>
      </c>
      <c r="M53" s="5" t="s">
        <v>47</v>
      </c>
      <c r="N53" s="5" t="s">
        <v>53</v>
      </c>
      <c r="O53" s="5" t="s">
        <v>68</v>
      </c>
      <c r="P53" s="5" t="s">
        <v>58</v>
      </c>
      <c r="Q53" s="5" t="s">
        <v>60</v>
      </c>
      <c r="R53" s="5" t="s">
        <v>75</v>
      </c>
      <c r="S53" s="5" t="s">
        <v>64</v>
      </c>
      <c r="T53" s="1">
        <v>8</v>
      </c>
      <c r="U53" s="1">
        <v>90</v>
      </c>
      <c r="V53" s="1">
        <v>21</v>
      </c>
      <c r="AA53">
        <f t="shared" si="19"/>
        <v>51</v>
      </c>
      <c r="AB53">
        <f t="shared" si="10"/>
        <v>3</v>
      </c>
    </row>
    <row r="54" spans="1:28" x14ac:dyDescent="0.3">
      <c r="A54" s="46">
        <v>39</v>
      </c>
      <c r="B54" s="4"/>
      <c r="C54" s="6" t="s">
        <v>128</v>
      </c>
      <c r="D54" s="5"/>
      <c r="E54" s="5"/>
      <c r="F54" s="5"/>
      <c r="G54" s="5"/>
      <c r="H54" s="5" t="s">
        <v>65</v>
      </c>
      <c r="I54" s="5" t="s">
        <v>73</v>
      </c>
      <c r="J54" s="5" t="s">
        <v>57</v>
      </c>
      <c r="K54" s="5" t="s">
        <v>55</v>
      </c>
      <c r="L54" s="5" t="s">
        <v>56</v>
      </c>
      <c r="M54" s="5" t="s">
        <v>74</v>
      </c>
      <c r="N54" s="5" t="s">
        <v>53</v>
      </c>
      <c r="O54" s="5" t="s">
        <v>68</v>
      </c>
      <c r="P54" s="5" t="s">
        <v>58</v>
      </c>
      <c r="Q54" s="5" t="s">
        <v>60</v>
      </c>
      <c r="R54" s="5" t="s">
        <v>48</v>
      </c>
      <c r="S54" s="5" t="s">
        <v>64</v>
      </c>
      <c r="T54" s="1">
        <v>7</v>
      </c>
      <c r="U54" s="1">
        <v>82</v>
      </c>
      <c r="V54" s="1">
        <v>55</v>
      </c>
      <c r="AA54">
        <f t="shared" si="19"/>
        <v>52</v>
      </c>
      <c r="AB54">
        <f t="shared" si="10"/>
        <v>3</v>
      </c>
    </row>
    <row r="55" spans="1:28" x14ac:dyDescent="0.3">
      <c r="A55" s="46">
        <v>40</v>
      </c>
      <c r="B55" s="4"/>
      <c r="C55" s="6" t="s">
        <v>38</v>
      </c>
      <c r="D55" s="5"/>
      <c r="E55" s="5"/>
      <c r="F55" s="5"/>
      <c r="G55" s="5"/>
      <c r="H55" s="5" t="s">
        <v>65</v>
      </c>
      <c r="I55" s="5" t="s">
        <v>67</v>
      </c>
      <c r="J55" s="5" t="s">
        <v>57</v>
      </c>
      <c r="K55" s="5" t="s">
        <v>207</v>
      </c>
      <c r="L55" s="5" t="s">
        <v>63</v>
      </c>
      <c r="M55" s="5" t="s">
        <v>47</v>
      </c>
      <c r="N55" s="5" t="s">
        <v>53</v>
      </c>
      <c r="O55" s="5" t="s">
        <v>59</v>
      </c>
      <c r="P55" s="5" t="s">
        <v>209</v>
      </c>
      <c r="Q55" s="5" t="s">
        <v>60</v>
      </c>
      <c r="R55" s="5" t="s">
        <v>75</v>
      </c>
      <c r="S55" s="5" t="s">
        <v>61</v>
      </c>
      <c r="T55" s="1">
        <v>7</v>
      </c>
      <c r="U55" s="1">
        <v>101</v>
      </c>
      <c r="V55" s="1">
        <v>53</v>
      </c>
      <c r="AA55">
        <f t="shared" si="19"/>
        <v>53</v>
      </c>
      <c r="AB55">
        <f t="shared" si="10"/>
        <v>3</v>
      </c>
    </row>
    <row r="56" spans="1:28" ht="28.8" x14ac:dyDescent="0.3">
      <c r="A56" s="46">
        <v>41</v>
      </c>
      <c r="B56" s="4"/>
      <c r="C56" s="6" t="s">
        <v>27</v>
      </c>
      <c r="D56" s="5"/>
      <c r="E56" s="5"/>
      <c r="F56" s="5"/>
      <c r="G56" s="5"/>
      <c r="H56" s="5" t="s">
        <v>65</v>
      </c>
      <c r="I56" s="5" t="s">
        <v>67</v>
      </c>
      <c r="J56" s="5" t="s">
        <v>57</v>
      </c>
      <c r="K56" s="5" t="s">
        <v>207</v>
      </c>
      <c r="L56" s="5" t="s">
        <v>63</v>
      </c>
      <c r="M56" s="5" t="s">
        <v>47</v>
      </c>
      <c r="N56" s="5" t="s">
        <v>53</v>
      </c>
      <c r="O56" s="5" t="s">
        <v>59</v>
      </c>
      <c r="P56" s="5" t="s">
        <v>209</v>
      </c>
      <c r="Q56" s="5" t="s">
        <v>52</v>
      </c>
      <c r="R56" s="5" t="s">
        <v>75</v>
      </c>
      <c r="S56" s="5" t="s">
        <v>64</v>
      </c>
      <c r="T56" s="1">
        <v>7</v>
      </c>
      <c r="U56" s="1">
        <v>105</v>
      </c>
      <c r="V56" s="1">
        <v>53</v>
      </c>
      <c r="AA56">
        <f t="shared" si="19"/>
        <v>54</v>
      </c>
      <c r="AB56">
        <f t="shared" si="10"/>
        <v>1</v>
      </c>
    </row>
    <row r="57" spans="1:28" ht="28.8" x14ac:dyDescent="0.3">
      <c r="A57" s="46">
        <v>42</v>
      </c>
      <c r="B57" s="4"/>
      <c r="C57" s="6" t="s">
        <v>125</v>
      </c>
      <c r="D57" s="5"/>
      <c r="E57" s="5"/>
      <c r="F57" s="5"/>
      <c r="G57" s="5"/>
      <c r="H57" s="5" t="s">
        <v>65</v>
      </c>
      <c r="I57" s="5" t="s">
        <v>73</v>
      </c>
      <c r="J57" s="5" t="s">
        <v>57</v>
      </c>
      <c r="K57" s="5" t="s">
        <v>207</v>
      </c>
      <c r="L57" s="5" t="s">
        <v>63</v>
      </c>
      <c r="M57" s="5" t="s">
        <v>47</v>
      </c>
      <c r="N57" s="5" t="s">
        <v>53</v>
      </c>
      <c r="O57" s="5" t="s">
        <v>68</v>
      </c>
      <c r="P57" s="5" t="s">
        <v>209</v>
      </c>
      <c r="Q57" s="5" t="s">
        <v>52</v>
      </c>
      <c r="R57" s="5" t="s">
        <v>75</v>
      </c>
      <c r="S57" s="5" t="s">
        <v>64</v>
      </c>
      <c r="T57" s="1">
        <v>7</v>
      </c>
      <c r="U57" s="1">
        <v>97</v>
      </c>
      <c r="V57" s="1">
        <v>52</v>
      </c>
      <c r="AA57">
        <f t="shared" si="19"/>
        <v>55</v>
      </c>
      <c r="AB57">
        <f t="shared" si="10"/>
        <v>2</v>
      </c>
    </row>
    <row r="58" spans="1:28" x14ac:dyDescent="0.3">
      <c r="A58" s="46">
        <v>43</v>
      </c>
      <c r="B58" s="4"/>
      <c r="C58" s="6" t="s">
        <v>119</v>
      </c>
      <c r="D58" s="5"/>
      <c r="E58" s="5"/>
      <c r="F58" s="5"/>
      <c r="G58" s="5"/>
      <c r="H58" s="5" t="s">
        <v>65</v>
      </c>
      <c r="I58" s="5" t="s">
        <v>67</v>
      </c>
      <c r="J58" s="5" t="s">
        <v>57</v>
      </c>
      <c r="K58" s="5" t="s">
        <v>207</v>
      </c>
      <c r="L58" s="5" t="s">
        <v>63</v>
      </c>
      <c r="M58" s="5" t="s">
        <v>47</v>
      </c>
      <c r="N58" s="5" t="s">
        <v>53</v>
      </c>
      <c r="O58" s="5" t="s">
        <v>59</v>
      </c>
      <c r="P58" s="5" t="s">
        <v>58</v>
      </c>
      <c r="Q58" s="5" t="s">
        <v>60</v>
      </c>
      <c r="R58" s="5" t="s">
        <v>75</v>
      </c>
      <c r="S58" s="5" t="s">
        <v>64</v>
      </c>
      <c r="T58" s="1">
        <v>7</v>
      </c>
      <c r="U58" s="1">
        <v>102</v>
      </c>
      <c r="V58" s="1">
        <v>47</v>
      </c>
      <c r="AA58">
        <f t="shared" si="19"/>
        <v>56</v>
      </c>
      <c r="AB58">
        <f t="shared" si="10"/>
        <v>0</v>
      </c>
    </row>
    <row r="59" spans="1:28" ht="28.8" x14ac:dyDescent="0.3">
      <c r="A59" s="46">
        <v>44</v>
      </c>
      <c r="B59" s="4"/>
      <c r="C59" s="6" t="s">
        <v>165</v>
      </c>
      <c r="D59" s="5"/>
      <c r="E59" s="5"/>
      <c r="F59" s="5"/>
      <c r="G59" s="5"/>
      <c r="H59" s="5" t="s">
        <v>69</v>
      </c>
      <c r="I59" s="5" t="s">
        <v>67</v>
      </c>
      <c r="J59" s="5" t="s">
        <v>51</v>
      </c>
      <c r="K59" s="5" t="s">
        <v>55</v>
      </c>
      <c r="L59" s="5" t="s">
        <v>56</v>
      </c>
      <c r="M59" s="5" t="s">
        <v>74</v>
      </c>
      <c r="N59" s="5" t="s">
        <v>62</v>
      </c>
      <c r="O59" s="5" t="s">
        <v>68</v>
      </c>
      <c r="P59" s="5" t="s">
        <v>58</v>
      </c>
      <c r="Q59" s="5" t="s">
        <v>60</v>
      </c>
      <c r="R59" s="5" t="s">
        <v>48</v>
      </c>
      <c r="S59" s="5" t="s">
        <v>64</v>
      </c>
      <c r="T59" s="1">
        <v>7</v>
      </c>
      <c r="U59" s="1">
        <v>83</v>
      </c>
      <c r="V59" s="1">
        <v>46</v>
      </c>
      <c r="AA59">
        <f t="shared" si="19"/>
        <v>57</v>
      </c>
      <c r="AB59">
        <f t="shared" si="10"/>
        <v>0</v>
      </c>
    </row>
    <row r="60" spans="1:28" ht="28.8" x14ac:dyDescent="0.3">
      <c r="A60" s="46">
        <v>45</v>
      </c>
      <c r="B60" s="4"/>
      <c r="C60" s="6" t="s">
        <v>174</v>
      </c>
      <c r="D60" s="5"/>
      <c r="E60" s="5"/>
      <c r="F60" s="5"/>
      <c r="G60" s="5"/>
      <c r="H60" s="5" t="s">
        <v>65</v>
      </c>
      <c r="I60" s="5" t="s">
        <v>73</v>
      </c>
      <c r="J60" s="5" t="s">
        <v>57</v>
      </c>
      <c r="K60" s="5" t="s">
        <v>207</v>
      </c>
      <c r="L60" s="5" t="s">
        <v>56</v>
      </c>
      <c r="M60" s="5" t="s">
        <v>74</v>
      </c>
      <c r="N60" s="5" t="s">
        <v>53</v>
      </c>
      <c r="O60" s="5" t="s">
        <v>59</v>
      </c>
      <c r="P60" s="5" t="s">
        <v>209</v>
      </c>
      <c r="Q60" s="5" t="s">
        <v>60</v>
      </c>
      <c r="R60" s="5" t="s">
        <v>75</v>
      </c>
      <c r="S60" s="5" t="s">
        <v>64</v>
      </c>
      <c r="T60" s="1">
        <v>7</v>
      </c>
      <c r="U60" s="1">
        <v>97</v>
      </c>
      <c r="V60" s="1">
        <v>45</v>
      </c>
      <c r="AA60">
        <f t="shared" si="19"/>
        <v>58</v>
      </c>
      <c r="AB60">
        <f t="shared" si="10"/>
        <v>0</v>
      </c>
    </row>
    <row r="61" spans="1:28" ht="28.8" x14ac:dyDescent="0.3">
      <c r="A61" s="46">
        <v>46</v>
      </c>
      <c r="B61" s="4"/>
      <c r="C61" s="6" t="s">
        <v>30</v>
      </c>
      <c r="D61" s="5"/>
      <c r="E61" s="5"/>
      <c r="F61" s="5"/>
      <c r="G61" s="5"/>
      <c r="H61" s="5" t="s">
        <v>65</v>
      </c>
      <c r="I61" s="5" t="s">
        <v>67</v>
      </c>
      <c r="J61" s="5" t="s">
        <v>57</v>
      </c>
      <c r="K61" s="5" t="s">
        <v>207</v>
      </c>
      <c r="L61" s="5" t="s">
        <v>63</v>
      </c>
      <c r="M61" s="5" t="s">
        <v>47</v>
      </c>
      <c r="N61" s="5" t="s">
        <v>53</v>
      </c>
      <c r="O61" s="5" t="s">
        <v>59</v>
      </c>
      <c r="P61" s="5" t="s">
        <v>58</v>
      </c>
      <c r="Q61" s="5" t="s">
        <v>60</v>
      </c>
      <c r="R61" s="5" t="s">
        <v>75</v>
      </c>
      <c r="S61" s="5" t="s">
        <v>64</v>
      </c>
      <c r="T61" s="1">
        <v>7</v>
      </c>
      <c r="U61" s="1">
        <v>96</v>
      </c>
      <c r="V61" s="1">
        <v>45</v>
      </c>
      <c r="AA61">
        <f t="shared" si="19"/>
        <v>59</v>
      </c>
      <c r="AB61">
        <f t="shared" si="10"/>
        <v>1</v>
      </c>
    </row>
    <row r="62" spans="1:28" ht="28.8" x14ac:dyDescent="0.3">
      <c r="A62" s="46">
        <v>47</v>
      </c>
      <c r="B62" s="4"/>
      <c r="C62" s="6" t="s">
        <v>89</v>
      </c>
      <c r="D62" s="5"/>
      <c r="E62" s="5"/>
      <c r="F62" s="5"/>
      <c r="G62" s="5"/>
      <c r="H62" s="5" t="s">
        <v>69</v>
      </c>
      <c r="I62" s="5" t="s">
        <v>73</v>
      </c>
      <c r="J62" s="5" t="s">
        <v>51</v>
      </c>
      <c r="K62" s="5" t="s">
        <v>207</v>
      </c>
      <c r="L62" s="5" t="s">
        <v>56</v>
      </c>
      <c r="M62" s="5" t="s">
        <v>47</v>
      </c>
      <c r="N62" s="5" t="s">
        <v>53</v>
      </c>
      <c r="O62" s="5" t="s">
        <v>68</v>
      </c>
      <c r="P62" s="5" t="s">
        <v>58</v>
      </c>
      <c r="Q62" s="5" t="s">
        <v>60</v>
      </c>
      <c r="R62" s="5" t="s">
        <v>75</v>
      </c>
      <c r="S62" s="5" t="s">
        <v>61</v>
      </c>
      <c r="T62" s="1">
        <v>7</v>
      </c>
      <c r="U62" s="1">
        <v>89</v>
      </c>
      <c r="V62" s="1">
        <v>45</v>
      </c>
      <c r="AA62">
        <f t="shared" si="19"/>
        <v>60</v>
      </c>
      <c r="AB62">
        <f t="shared" si="10"/>
        <v>0</v>
      </c>
    </row>
    <row r="63" spans="1:28" x14ac:dyDescent="0.3">
      <c r="A63" s="46">
        <v>48</v>
      </c>
      <c r="B63" s="4"/>
      <c r="C63" s="6" t="s">
        <v>190</v>
      </c>
      <c r="D63" s="5"/>
      <c r="E63" s="5"/>
      <c r="F63" s="5"/>
      <c r="G63" s="5"/>
      <c r="H63" s="5" t="s">
        <v>69</v>
      </c>
      <c r="I63" s="5" t="s">
        <v>67</v>
      </c>
      <c r="J63" s="5" t="s">
        <v>57</v>
      </c>
      <c r="K63" s="5" t="s">
        <v>207</v>
      </c>
      <c r="L63" s="5" t="s">
        <v>56</v>
      </c>
      <c r="M63" s="5" t="s">
        <v>47</v>
      </c>
      <c r="N63" s="5" t="s">
        <v>53</v>
      </c>
      <c r="O63" s="5" t="s">
        <v>59</v>
      </c>
      <c r="P63" s="5" t="s">
        <v>58</v>
      </c>
      <c r="Q63" s="5" t="s">
        <v>60</v>
      </c>
      <c r="R63" s="5" t="s">
        <v>75</v>
      </c>
      <c r="S63" s="5" t="s">
        <v>64</v>
      </c>
      <c r="T63" s="1">
        <v>7</v>
      </c>
      <c r="U63" s="1">
        <v>101</v>
      </c>
      <c r="V63" s="1">
        <v>45</v>
      </c>
      <c r="AA63">
        <f t="shared" si="19"/>
        <v>61</v>
      </c>
      <c r="AB63">
        <f t="shared" si="10"/>
        <v>0</v>
      </c>
    </row>
    <row r="64" spans="1:28" x14ac:dyDescent="0.3">
      <c r="A64" s="46">
        <v>49</v>
      </c>
      <c r="B64" s="4"/>
      <c r="C64" s="6" t="s">
        <v>169</v>
      </c>
      <c r="D64" s="5"/>
      <c r="E64" s="5"/>
      <c r="F64" s="5"/>
      <c r="G64" s="5"/>
      <c r="H64" s="5" t="s">
        <v>65</v>
      </c>
      <c r="I64" s="5" t="s">
        <v>73</v>
      </c>
      <c r="J64" s="5" t="s">
        <v>51</v>
      </c>
      <c r="K64" s="5" t="s">
        <v>55</v>
      </c>
      <c r="L64" s="5" t="s">
        <v>56</v>
      </c>
      <c r="M64" s="5" t="s">
        <v>74</v>
      </c>
      <c r="N64" s="5" t="s">
        <v>53</v>
      </c>
      <c r="O64" s="5" t="s">
        <v>59</v>
      </c>
      <c r="P64" s="5" t="s">
        <v>209</v>
      </c>
      <c r="Q64" s="5" t="s">
        <v>52</v>
      </c>
      <c r="R64" s="5" t="s">
        <v>48</v>
      </c>
      <c r="S64" s="5" t="s">
        <v>64</v>
      </c>
      <c r="T64" s="1">
        <v>7</v>
      </c>
      <c r="U64" s="1">
        <v>89</v>
      </c>
      <c r="V64" s="1">
        <v>45</v>
      </c>
      <c r="AA64">
        <f t="shared" si="19"/>
        <v>62</v>
      </c>
      <c r="AB64">
        <f t="shared" si="10"/>
        <v>0</v>
      </c>
    </row>
    <row r="65" spans="1:28" x14ac:dyDescent="0.3">
      <c r="A65" s="46">
        <v>50</v>
      </c>
      <c r="B65" s="4"/>
      <c r="C65" s="6" t="s">
        <v>12</v>
      </c>
      <c r="D65" s="5"/>
      <c r="E65" s="5"/>
      <c r="F65" s="5"/>
      <c r="G65" s="5"/>
      <c r="H65" s="5" t="s">
        <v>65</v>
      </c>
      <c r="I65" s="5" t="s">
        <v>67</v>
      </c>
      <c r="J65" s="5" t="s">
        <v>57</v>
      </c>
      <c r="K65" s="5" t="s">
        <v>207</v>
      </c>
      <c r="L65" s="5" t="s">
        <v>56</v>
      </c>
      <c r="M65" s="5" t="s">
        <v>47</v>
      </c>
      <c r="N65" s="5" t="s">
        <v>62</v>
      </c>
      <c r="O65" s="5" t="s">
        <v>68</v>
      </c>
      <c r="P65" s="5" t="s">
        <v>209</v>
      </c>
      <c r="Q65" s="5" t="s">
        <v>60</v>
      </c>
      <c r="R65" s="5" t="s">
        <v>48</v>
      </c>
      <c r="S65" s="5" t="s">
        <v>61</v>
      </c>
      <c r="T65" s="1">
        <v>7</v>
      </c>
      <c r="U65" s="1">
        <v>91</v>
      </c>
      <c r="V65" s="1">
        <v>45</v>
      </c>
      <c r="AA65">
        <f t="shared" si="19"/>
        <v>63</v>
      </c>
      <c r="AB65">
        <f t="shared" si="10"/>
        <v>0</v>
      </c>
    </row>
    <row r="66" spans="1:28" x14ac:dyDescent="0.3">
      <c r="A66" s="46">
        <v>51</v>
      </c>
      <c r="B66" s="4"/>
      <c r="C66" s="6" t="s">
        <v>45</v>
      </c>
      <c r="D66" s="5"/>
      <c r="E66" s="5"/>
      <c r="F66" s="5"/>
      <c r="G66" s="5"/>
      <c r="H66" s="5" t="s">
        <v>69</v>
      </c>
      <c r="I66" s="5" t="s">
        <v>67</v>
      </c>
      <c r="J66" s="5" t="s">
        <v>57</v>
      </c>
      <c r="K66" s="5" t="s">
        <v>207</v>
      </c>
      <c r="L66" s="5" t="s">
        <v>63</v>
      </c>
      <c r="M66" s="5" t="s">
        <v>47</v>
      </c>
      <c r="N66" s="5" t="s">
        <v>53</v>
      </c>
      <c r="O66" s="5" t="s">
        <v>59</v>
      </c>
      <c r="P66" s="5" t="s">
        <v>209</v>
      </c>
      <c r="Q66" s="5" t="s">
        <v>60</v>
      </c>
      <c r="R66" s="5" t="s">
        <v>75</v>
      </c>
      <c r="S66" s="5" t="s">
        <v>64</v>
      </c>
      <c r="T66" s="1">
        <v>7</v>
      </c>
      <c r="U66" s="1">
        <v>81</v>
      </c>
      <c r="V66" s="1">
        <v>44</v>
      </c>
      <c r="AA66">
        <f t="shared" si="19"/>
        <v>64</v>
      </c>
      <c r="AB66">
        <f t="shared" si="10"/>
        <v>0</v>
      </c>
    </row>
    <row r="67" spans="1:28" x14ac:dyDescent="0.3">
      <c r="A67" s="46">
        <v>52</v>
      </c>
      <c r="B67" s="4"/>
      <c r="C67" s="6" t="s">
        <v>83</v>
      </c>
      <c r="D67" s="5"/>
      <c r="E67" s="5"/>
      <c r="F67" s="5"/>
      <c r="G67" s="5"/>
      <c r="H67" s="5" t="s">
        <v>65</v>
      </c>
      <c r="I67" s="5" t="s">
        <v>73</v>
      </c>
      <c r="J67" s="5" t="s">
        <v>57</v>
      </c>
      <c r="K67" s="5" t="s">
        <v>207</v>
      </c>
      <c r="L67" s="5" t="s">
        <v>63</v>
      </c>
      <c r="M67" s="5" t="s">
        <v>47</v>
      </c>
      <c r="N67" s="5" t="s">
        <v>53</v>
      </c>
      <c r="O67" s="5" t="s">
        <v>59</v>
      </c>
      <c r="P67" s="5" t="s">
        <v>209</v>
      </c>
      <c r="Q67" s="5" t="s">
        <v>60</v>
      </c>
      <c r="R67" s="5" t="s">
        <v>75</v>
      </c>
      <c r="S67" s="5" t="s">
        <v>64</v>
      </c>
      <c r="T67" s="1">
        <v>7</v>
      </c>
      <c r="U67" s="1">
        <v>100</v>
      </c>
      <c r="V67" s="1">
        <v>44</v>
      </c>
      <c r="AA67">
        <f t="shared" si="19"/>
        <v>65</v>
      </c>
      <c r="AB67">
        <f t="shared" ref="AB67:AB120" si="20">COUNTIF(V$16:V$179,AA67)</f>
        <v>0</v>
      </c>
    </row>
    <row r="68" spans="1:28" x14ac:dyDescent="0.3">
      <c r="A68" s="46">
        <v>53</v>
      </c>
      <c r="B68" s="4"/>
      <c r="C68" s="6" t="s">
        <v>120</v>
      </c>
      <c r="D68" s="5"/>
      <c r="E68" s="5"/>
      <c r="F68" s="5"/>
      <c r="G68" s="5"/>
      <c r="H68" s="5" t="s">
        <v>65</v>
      </c>
      <c r="I68" s="5" t="s">
        <v>73</v>
      </c>
      <c r="J68" s="5" t="s">
        <v>57</v>
      </c>
      <c r="K68" s="5" t="s">
        <v>207</v>
      </c>
      <c r="L68" s="5" t="s">
        <v>56</v>
      </c>
      <c r="M68" s="5" t="s">
        <v>74</v>
      </c>
      <c r="N68" s="5" t="s">
        <v>53</v>
      </c>
      <c r="O68" s="5" t="s">
        <v>59</v>
      </c>
      <c r="P68" s="5" t="s">
        <v>209</v>
      </c>
      <c r="Q68" s="5" t="s">
        <v>60</v>
      </c>
      <c r="R68" s="5" t="s">
        <v>75</v>
      </c>
      <c r="S68" s="5" t="s">
        <v>64</v>
      </c>
      <c r="T68" s="1">
        <v>7</v>
      </c>
      <c r="U68" s="1">
        <v>87</v>
      </c>
      <c r="V68" s="1">
        <v>44</v>
      </c>
      <c r="AA68">
        <f t="shared" si="19"/>
        <v>66</v>
      </c>
      <c r="AB68">
        <f t="shared" si="20"/>
        <v>0</v>
      </c>
    </row>
    <row r="69" spans="1:28" ht="28.8" x14ac:dyDescent="0.3">
      <c r="A69" s="46">
        <v>54</v>
      </c>
      <c r="B69" s="4"/>
      <c r="C69" s="6" t="s">
        <v>15</v>
      </c>
      <c r="D69" s="5"/>
      <c r="E69" s="5"/>
      <c r="F69" s="5"/>
      <c r="G69" s="5"/>
      <c r="H69" s="5" t="s">
        <v>65</v>
      </c>
      <c r="I69" s="5" t="s">
        <v>67</v>
      </c>
      <c r="J69" s="5" t="s">
        <v>57</v>
      </c>
      <c r="K69" s="5" t="s">
        <v>207</v>
      </c>
      <c r="L69" s="5" t="s">
        <v>63</v>
      </c>
      <c r="M69" s="5" t="s">
        <v>47</v>
      </c>
      <c r="N69" s="5" t="s">
        <v>53</v>
      </c>
      <c r="O69" s="5" t="s">
        <v>59</v>
      </c>
      <c r="P69" s="5" t="s">
        <v>209</v>
      </c>
      <c r="Q69" s="5" t="s">
        <v>60</v>
      </c>
      <c r="R69" s="5" t="s">
        <v>75</v>
      </c>
      <c r="S69" s="5" t="s">
        <v>61</v>
      </c>
      <c r="T69" s="1">
        <v>7</v>
      </c>
      <c r="U69" s="1">
        <v>87</v>
      </c>
      <c r="V69" s="1">
        <v>44</v>
      </c>
      <c r="AA69">
        <f t="shared" si="19"/>
        <v>67</v>
      </c>
      <c r="AB69">
        <f t="shared" si="20"/>
        <v>0</v>
      </c>
    </row>
    <row r="70" spans="1:28" x14ac:dyDescent="0.3">
      <c r="A70" s="46">
        <v>55</v>
      </c>
      <c r="B70" s="4"/>
      <c r="C70" s="6" t="s">
        <v>166</v>
      </c>
      <c r="D70" s="5"/>
      <c r="E70" s="5"/>
      <c r="F70" s="5"/>
      <c r="G70" s="5"/>
      <c r="H70" s="5" t="s">
        <v>65</v>
      </c>
      <c r="I70" s="5" t="s">
        <v>73</v>
      </c>
      <c r="J70" s="5" t="s">
        <v>57</v>
      </c>
      <c r="K70" s="5" t="s">
        <v>55</v>
      </c>
      <c r="L70" s="5" t="s">
        <v>56</v>
      </c>
      <c r="M70" s="5" t="s">
        <v>74</v>
      </c>
      <c r="N70" s="5" t="s">
        <v>62</v>
      </c>
      <c r="O70" s="5" t="s">
        <v>68</v>
      </c>
      <c r="P70" s="5" t="s">
        <v>209</v>
      </c>
      <c r="Q70" s="5" t="s">
        <v>52</v>
      </c>
      <c r="R70" s="5" t="s">
        <v>75</v>
      </c>
      <c r="S70" s="5" t="s">
        <v>64</v>
      </c>
      <c r="T70" s="1">
        <v>7</v>
      </c>
      <c r="U70" s="1">
        <v>83</v>
      </c>
      <c r="V70" s="1">
        <v>44</v>
      </c>
      <c r="AA70">
        <f t="shared" si="19"/>
        <v>68</v>
      </c>
      <c r="AB70">
        <f t="shared" si="20"/>
        <v>0</v>
      </c>
    </row>
    <row r="71" spans="1:28" ht="28.8" x14ac:dyDescent="0.3">
      <c r="A71" s="46">
        <v>56</v>
      </c>
      <c r="B71" s="4"/>
      <c r="C71" s="6" t="s">
        <v>163</v>
      </c>
      <c r="D71" s="5"/>
      <c r="E71" s="5"/>
      <c r="F71" s="5"/>
      <c r="G71" s="5"/>
      <c r="H71" s="5" t="s">
        <v>65</v>
      </c>
      <c r="I71" s="5" t="s">
        <v>67</v>
      </c>
      <c r="J71" s="5" t="s">
        <v>51</v>
      </c>
      <c r="K71" s="5" t="s">
        <v>55</v>
      </c>
      <c r="L71" s="5" t="s">
        <v>63</v>
      </c>
      <c r="M71" s="5" t="s">
        <v>74</v>
      </c>
      <c r="N71" s="5" t="s">
        <v>62</v>
      </c>
      <c r="O71" s="5" t="s">
        <v>59</v>
      </c>
      <c r="P71" s="5" t="s">
        <v>209</v>
      </c>
      <c r="Q71" s="5" t="s">
        <v>60</v>
      </c>
      <c r="R71" s="5" t="s">
        <v>48</v>
      </c>
      <c r="S71" s="5" t="s">
        <v>64</v>
      </c>
      <c r="T71" s="1">
        <v>7</v>
      </c>
      <c r="U71" s="1">
        <v>99</v>
      </c>
      <c r="V71" s="1">
        <v>44</v>
      </c>
      <c r="AA71">
        <f t="shared" ref="AA71:AA120" si="21">AA70+1</f>
        <v>69</v>
      </c>
      <c r="AB71">
        <f t="shared" si="20"/>
        <v>0</v>
      </c>
    </row>
    <row r="72" spans="1:28" x14ac:dyDescent="0.3">
      <c r="A72" s="46">
        <v>57</v>
      </c>
      <c r="B72" s="4"/>
      <c r="C72" s="6" t="s">
        <v>178</v>
      </c>
      <c r="D72" s="5"/>
      <c r="E72" s="5"/>
      <c r="F72" s="5"/>
      <c r="G72" s="5"/>
      <c r="H72" s="5" t="s">
        <v>69</v>
      </c>
      <c r="I72" s="5" t="s">
        <v>73</v>
      </c>
      <c r="J72" s="5" t="s">
        <v>57</v>
      </c>
      <c r="K72" s="5" t="s">
        <v>55</v>
      </c>
      <c r="L72" s="5" t="s">
        <v>63</v>
      </c>
      <c r="M72" s="5" t="s">
        <v>47</v>
      </c>
      <c r="N72" s="5" t="s">
        <v>53</v>
      </c>
      <c r="O72" s="5" t="s">
        <v>59</v>
      </c>
      <c r="P72" s="5" t="s">
        <v>209</v>
      </c>
      <c r="Q72" s="5" t="s">
        <v>60</v>
      </c>
      <c r="R72" s="5" t="s">
        <v>75</v>
      </c>
      <c r="S72" s="5" t="s">
        <v>64</v>
      </c>
      <c r="T72" s="1">
        <v>7</v>
      </c>
      <c r="U72" s="1">
        <v>88</v>
      </c>
      <c r="V72" s="1">
        <v>43</v>
      </c>
      <c r="AA72">
        <f t="shared" si="21"/>
        <v>70</v>
      </c>
      <c r="AB72">
        <f t="shared" si="20"/>
        <v>0</v>
      </c>
    </row>
    <row r="73" spans="1:28" ht="28.8" x14ac:dyDescent="0.3">
      <c r="A73" s="46">
        <v>58</v>
      </c>
      <c r="B73" s="4"/>
      <c r="C73" s="6" t="s">
        <v>41</v>
      </c>
      <c r="D73" s="5"/>
      <c r="E73" s="5"/>
      <c r="F73" s="5"/>
      <c r="G73" s="5"/>
      <c r="H73" s="5" t="s">
        <v>65</v>
      </c>
      <c r="I73" s="5" t="s">
        <v>67</v>
      </c>
      <c r="J73" s="5" t="s">
        <v>57</v>
      </c>
      <c r="K73" s="5" t="s">
        <v>207</v>
      </c>
      <c r="L73" s="5" t="s">
        <v>56</v>
      </c>
      <c r="M73" s="5" t="s">
        <v>47</v>
      </c>
      <c r="N73" s="5" t="s">
        <v>53</v>
      </c>
      <c r="O73" s="5" t="s">
        <v>59</v>
      </c>
      <c r="P73" s="5" t="s">
        <v>58</v>
      </c>
      <c r="Q73" s="5" t="s">
        <v>52</v>
      </c>
      <c r="R73" s="5" t="s">
        <v>75</v>
      </c>
      <c r="S73" s="5" t="s">
        <v>64</v>
      </c>
      <c r="T73" s="1">
        <v>7</v>
      </c>
      <c r="U73" s="1">
        <v>87</v>
      </c>
      <c r="V73" s="1">
        <v>43</v>
      </c>
      <c r="AA73">
        <f t="shared" si="21"/>
        <v>71</v>
      </c>
      <c r="AB73">
        <f t="shared" si="20"/>
        <v>0</v>
      </c>
    </row>
    <row r="74" spans="1:28" x14ac:dyDescent="0.3">
      <c r="A74" s="46">
        <v>59</v>
      </c>
      <c r="B74" s="4"/>
      <c r="C74" s="6" t="s">
        <v>42</v>
      </c>
      <c r="D74" s="5"/>
      <c r="E74" s="5"/>
      <c r="F74" s="5"/>
      <c r="G74" s="5"/>
      <c r="H74" s="5" t="s">
        <v>69</v>
      </c>
      <c r="I74" s="5" t="s">
        <v>73</v>
      </c>
      <c r="J74" s="5" t="s">
        <v>57</v>
      </c>
      <c r="K74" s="5" t="s">
        <v>207</v>
      </c>
      <c r="L74" s="5" t="s">
        <v>56</v>
      </c>
      <c r="M74" s="5" t="s">
        <v>47</v>
      </c>
      <c r="N74" s="5" t="s">
        <v>53</v>
      </c>
      <c r="O74" s="5" t="s">
        <v>68</v>
      </c>
      <c r="P74" s="5" t="s">
        <v>209</v>
      </c>
      <c r="Q74" s="5" t="s">
        <v>52</v>
      </c>
      <c r="R74" s="5" t="s">
        <v>75</v>
      </c>
      <c r="S74" s="5" t="s">
        <v>64</v>
      </c>
      <c r="T74" s="1">
        <v>7</v>
      </c>
      <c r="U74" s="1">
        <v>93</v>
      </c>
      <c r="V74" s="1">
        <v>43</v>
      </c>
      <c r="AA74">
        <f t="shared" si="21"/>
        <v>72</v>
      </c>
      <c r="AB74">
        <f t="shared" si="20"/>
        <v>0</v>
      </c>
    </row>
    <row r="75" spans="1:28" x14ac:dyDescent="0.3">
      <c r="A75" s="46">
        <v>60</v>
      </c>
      <c r="B75" s="4"/>
      <c r="C75" s="6" t="s">
        <v>152</v>
      </c>
      <c r="D75" s="5"/>
      <c r="E75" s="5"/>
      <c r="F75" s="5"/>
      <c r="G75" s="5"/>
      <c r="H75" s="5" t="s">
        <v>69</v>
      </c>
      <c r="I75" s="5" t="s">
        <v>73</v>
      </c>
      <c r="J75" s="5" t="s">
        <v>57</v>
      </c>
      <c r="K75" s="5" t="s">
        <v>55</v>
      </c>
      <c r="L75" s="5" t="s">
        <v>56</v>
      </c>
      <c r="M75" s="5" t="s">
        <v>74</v>
      </c>
      <c r="N75" s="5" t="s">
        <v>62</v>
      </c>
      <c r="O75" s="5" t="s">
        <v>68</v>
      </c>
      <c r="P75" s="5" t="s">
        <v>209</v>
      </c>
      <c r="Q75" s="5" t="s">
        <v>60</v>
      </c>
      <c r="R75" s="5" t="s">
        <v>75</v>
      </c>
      <c r="S75" s="5" t="s">
        <v>64</v>
      </c>
      <c r="T75" s="1">
        <v>7</v>
      </c>
      <c r="U75" s="1">
        <v>103</v>
      </c>
      <c r="V75" s="1">
        <v>43</v>
      </c>
      <c r="AA75">
        <f t="shared" si="21"/>
        <v>73</v>
      </c>
      <c r="AB75">
        <f t="shared" si="20"/>
        <v>1</v>
      </c>
    </row>
    <row r="76" spans="1:28" ht="28.8" x14ac:dyDescent="0.3">
      <c r="A76" s="46">
        <v>61</v>
      </c>
      <c r="B76" s="4"/>
      <c r="C76" s="6" t="s">
        <v>103</v>
      </c>
      <c r="D76" s="5"/>
      <c r="E76" s="5"/>
      <c r="F76" s="5"/>
      <c r="G76" s="5"/>
      <c r="H76" s="5" t="s">
        <v>65</v>
      </c>
      <c r="I76" s="5" t="s">
        <v>67</v>
      </c>
      <c r="J76" s="5" t="s">
        <v>57</v>
      </c>
      <c r="K76" s="5" t="s">
        <v>207</v>
      </c>
      <c r="L76" s="5" t="s">
        <v>56</v>
      </c>
      <c r="M76" s="5" t="s">
        <v>47</v>
      </c>
      <c r="N76" s="5" t="s">
        <v>53</v>
      </c>
      <c r="O76" s="5" t="s">
        <v>59</v>
      </c>
      <c r="P76" s="5" t="s">
        <v>58</v>
      </c>
      <c r="Q76" s="5" t="s">
        <v>52</v>
      </c>
      <c r="R76" s="5" t="s">
        <v>75</v>
      </c>
      <c r="S76" s="5" t="s">
        <v>64</v>
      </c>
      <c r="T76" s="1">
        <v>7</v>
      </c>
      <c r="U76" s="1">
        <v>94</v>
      </c>
      <c r="V76" s="1">
        <v>43</v>
      </c>
      <c r="AA76">
        <f t="shared" si="21"/>
        <v>74</v>
      </c>
      <c r="AB76">
        <f t="shared" si="20"/>
        <v>0</v>
      </c>
    </row>
    <row r="77" spans="1:28" ht="28.8" x14ac:dyDescent="0.3">
      <c r="A77" s="46">
        <v>62</v>
      </c>
      <c r="B77" s="4"/>
      <c r="C77" s="6" t="s">
        <v>193</v>
      </c>
      <c r="D77" s="5"/>
      <c r="E77" s="5"/>
      <c r="F77" s="5"/>
      <c r="G77" s="5"/>
      <c r="H77" s="5" t="s">
        <v>65</v>
      </c>
      <c r="I77" s="5" t="s">
        <v>73</v>
      </c>
      <c r="J77" s="5" t="s">
        <v>57</v>
      </c>
      <c r="K77" s="5" t="s">
        <v>207</v>
      </c>
      <c r="L77" s="5" t="s">
        <v>63</v>
      </c>
      <c r="M77" s="5" t="s">
        <v>47</v>
      </c>
      <c r="N77" s="5" t="s">
        <v>53</v>
      </c>
      <c r="O77" s="5" t="s">
        <v>59</v>
      </c>
      <c r="P77" s="5" t="s">
        <v>209</v>
      </c>
      <c r="Q77" s="5" t="s">
        <v>60</v>
      </c>
      <c r="R77" s="5" t="s">
        <v>75</v>
      </c>
      <c r="S77" s="5" t="s">
        <v>64</v>
      </c>
      <c r="T77" s="1">
        <v>7</v>
      </c>
      <c r="U77" s="1">
        <v>89</v>
      </c>
      <c r="V77" s="1">
        <v>42</v>
      </c>
      <c r="AA77">
        <f t="shared" si="21"/>
        <v>75</v>
      </c>
      <c r="AB77">
        <f t="shared" si="20"/>
        <v>0</v>
      </c>
    </row>
    <row r="78" spans="1:28" x14ac:dyDescent="0.3">
      <c r="A78" s="46">
        <v>63</v>
      </c>
      <c r="B78" s="4"/>
      <c r="C78" s="6" t="s">
        <v>156</v>
      </c>
      <c r="D78" s="5"/>
      <c r="E78" s="5"/>
      <c r="F78" s="5"/>
      <c r="G78" s="5"/>
      <c r="H78" s="5" t="s">
        <v>69</v>
      </c>
      <c r="I78" s="5" t="s">
        <v>73</v>
      </c>
      <c r="J78" s="5" t="s">
        <v>57</v>
      </c>
      <c r="K78" s="5" t="s">
        <v>55</v>
      </c>
      <c r="L78" s="5" t="s">
        <v>56</v>
      </c>
      <c r="M78" s="5" t="s">
        <v>47</v>
      </c>
      <c r="N78" s="5" t="s">
        <v>53</v>
      </c>
      <c r="O78" s="5" t="s">
        <v>68</v>
      </c>
      <c r="P78" s="5" t="s">
        <v>209</v>
      </c>
      <c r="Q78" s="5" t="s">
        <v>52</v>
      </c>
      <c r="R78" s="5" t="s">
        <v>48</v>
      </c>
      <c r="S78" s="5" t="s">
        <v>64</v>
      </c>
      <c r="T78" s="1">
        <v>7</v>
      </c>
      <c r="U78" s="1">
        <v>101</v>
      </c>
      <c r="V78" s="1">
        <v>42</v>
      </c>
      <c r="AA78">
        <f t="shared" si="21"/>
        <v>76</v>
      </c>
      <c r="AB78">
        <f t="shared" si="20"/>
        <v>0</v>
      </c>
    </row>
    <row r="79" spans="1:28" x14ac:dyDescent="0.3">
      <c r="A79" s="46">
        <v>64</v>
      </c>
      <c r="B79" s="4"/>
      <c r="C79" s="6" t="s">
        <v>33</v>
      </c>
      <c r="D79" s="5"/>
      <c r="E79" s="5"/>
      <c r="F79" s="5"/>
      <c r="G79" s="5"/>
      <c r="H79" s="5" t="s">
        <v>69</v>
      </c>
      <c r="I79" s="5" t="s">
        <v>67</v>
      </c>
      <c r="J79" s="5" t="s">
        <v>57</v>
      </c>
      <c r="K79" s="5" t="s">
        <v>207</v>
      </c>
      <c r="L79" s="5" t="s">
        <v>56</v>
      </c>
      <c r="M79" s="5" t="s">
        <v>47</v>
      </c>
      <c r="N79" s="5" t="s">
        <v>53</v>
      </c>
      <c r="O79" s="5" t="s">
        <v>59</v>
      </c>
      <c r="P79" s="5" t="s">
        <v>209</v>
      </c>
      <c r="Q79" s="5" t="s">
        <v>60</v>
      </c>
      <c r="R79" s="5" t="s">
        <v>75</v>
      </c>
      <c r="S79" s="5" t="s">
        <v>61</v>
      </c>
      <c r="T79" s="1">
        <v>7</v>
      </c>
      <c r="U79" s="1">
        <v>89</v>
      </c>
      <c r="V79" s="1">
        <v>42</v>
      </c>
      <c r="AA79">
        <f t="shared" si="21"/>
        <v>77</v>
      </c>
      <c r="AB79">
        <f t="shared" si="20"/>
        <v>0</v>
      </c>
    </row>
    <row r="80" spans="1:28" x14ac:dyDescent="0.3">
      <c r="A80" s="46">
        <v>65</v>
      </c>
      <c r="B80" s="4"/>
      <c r="C80" s="6" t="s">
        <v>155</v>
      </c>
      <c r="D80" s="5"/>
      <c r="E80" s="5"/>
      <c r="F80" s="5"/>
      <c r="G80" s="5"/>
      <c r="H80" s="5" t="s">
        <v>65</v>
      </c>
      <c r="I80" s="5" t="s">
        <v>67</v>
      </c>
      <c r="J80" s="5" t="s">
        <v>57</v>
      </c>
      <c r="K80" s="5" t="s">
        <v>207</v>
      </c>
      <c r="L80" s="5" t="s">
        <v>63</v>
      </c>
      <c r="M80" s="5" t="s">
        <v>47</v>
      </c>
      <c r="N80" s="5" t="s">
        <v>53</v>
      </c>
      <c r="O80" s="5" t="s">
        <v>59</v>
      </c>
      <c r="P80" s="5" t="s">
        <v>58</v>
      </c>
      <c r="Q80" s="5" t="s">
        <v>60</v>
      </c>
      <c r="R80" s="5" t="s">
        <v>75</v>
      </c>
      <c r="S80" s="5" t="s">
        <v>64</v>
      </c>
      <c r="T80" s="1">
        <v>7</v>
      </c>
      <c r="U80" s="1">
        <v>88</v>
      </c>
      <c r="V80" s="1">
        <v>42</v>
      </c>
      <c r="AA80">
        <f t="shared" si="21"/>
        <v>78</v>
      </c>
      <c r="AB80">
        <f t="shared" si="20"/>
        <v>0</v>
      </c>
    </row>
    <row r="81" spans="1:28" x14ac:dyDescent="0.3">
      <c r="A81" s="46">
        <v>66</v>
      </c>
      <c r="B81" s="4"/>
      <c r="C81" s="6" t="s">
        <v>201</v>
      </c>
      <c r="D81" s="5"/>
      <c r="E81" s="5"/>
      <c r="F81" s="5"/>
      <c r="G81" s="5"/>
      <c r="H81" s="5" t="s">
        <v>65</v>
      </c>
      <c r="I81" s="5" t="s">
        <v>73</v>
      </c>
      <c r="J81" s="5" t="s">
        <v>57</v>
      </c>
      <c r="K81" s="5" t="s">
        <v>207</v>
      </c>
      <c r="L81" s="5" t="s">
        <v>63</v>
      </c>
      <c r="M81" s="5" t="s">
        <v>47</v>
      </c>
      <c r="N81" s="5" t="s">
        <v>53</v>
      </c>
      <c r="O81" s="5" t="s">
        <v>59</v>
      </c>
      <c r="P81" s="5" t="s">
        <v>209</v>
      </c>
      <c r="Q81" s="5" t="s">
        <v>60</v>
      </c>
      <c r="R81" s="5" t="s">
        <v>75</v>
      </c>
      <c r="S81" s="5" t="s">
        <v>64</v>
      </c>
      <c r="T81" s="1">
        <v>7</v>
      </c>
      <c r="U81" s="1">
        <v>78</v>
      </c>
      <c r="V81" s="1">
        <v>40</v>
      </c>
      <c r="AA81">
        <f t="shared" si="21"/>
        <v>79</v>
      </c>
      <c r="AB81">
        <f t="shared" si="20"/>
        <v>0</v>
      </c>
    </row>
    <row r="82" spans="1:28" x14ac:dyDescent="0.3">
      <c r="A82" s="46">
        <v>67</v>
      </c>
      <c r="B82" s="4"/>
      <c r="C82" s="6" t="s">
        <v>141</v>
      </c>
      <c r="D82" s="5"/>
      <c r="E82" s="5"/>
      <c r="F82" s="5"/>
      <c r="G82" s="5"/>
      <c r="H82" s="5" t="s">
        <v>65</v>
      </c>
      <c r="I82" s="5" t="s">
        <v>67</v>
      </c>
      <c r="J82" s="5" t="s">
        <v>51</v>
      </c>
      <c r="K82" s="5" t="s">
        <v>207</v>
      </c>
      <c r="L82" s="5" t="s">
        <v>56</v>
      </c>
      <c r="M82" s="5" t="s">
        <v>74</v>
      </c>
      <c r="N82" s="5" t="s">
        <v>53</v>
      </c>
      <c r="O82" s="5" t="s">
        <v>68</v>
      </c>
      <c r="P82" s="5" t="s">
        <v>58</v>
      </c>
      <c r="Q82" s="5" t="s">
        <v>60</v>
      </c>
      <c r="R82" s="5" t="s">
        <v>48</v>
      </c>
      <c r="S82" s="5" t="s">
        <v>61</v>
      </c>
      <c r="T82" s="1">
        <v>7</v>
      </c>
      <c r="U82" s="1">
        <v>92</v>
      </c>
      <c r="V82" s="1">
        <v>40</v>
      </c>
      <c r="AA82">
        <f t="shared" si="21"/>
        <v>80</v>
      </c>
      <c r="AB82">
        <f t="shared" si="20"/>
        <v>0</v>
      </c>
    </row>
    <row r="83" spans="1:28" ht="28.8" x14ac:dyDescent="0.3">
      <c r="A83" s="46">
        <v>68</v>
      </c>
      <c r="B83" s="4"/>
      <c r="C83" s="6" t="s">
        <v>162</v>
      </c>
      <c r="D83" s="5"/>
      <c r="E83" s="5"/>
      <c r="F83" s="5"/>
      <c r="G83" s="5"/>
      <c r="H83" s="5" t="s">
        <v>65</v>
      </c>
      <c r="I83" s="5" t="s">
        <v>67</v>
      </c>
      <c r="J83" s="5" t="s">
        <v>57</v>
      </c>
      <c r="K83" s="5" t="s">
        <v>207</v>
      </c>
      <c r="L83" s="5" t="s">
        <v>56</v>
      </c>
      <c r="M83" s="5" t="s">
        <v>74</v>
      </c>
      <c r="N83" s="5" t="s">
        <v>53</v>
      </c>
      <c r="O83" s="5" t="s">
        <v>68</v>
      </c>
      <c r="P83" s="5" t="s">
        <v>58</v>
      </c>
      <c r="Q83" s="5" t="s">
        <v>52</v>
      </c>
      <c r="R83" s="5" t="s">
        <v>75</v>
      </c>
      <c r="S83" s="5" t="s">
        <v>64</v>
      </c>
      <c r="T83" s="1">
        <v>7</v>
      </c>
      <c r="U83" s="1">
        <v>96</v>
      </c>
      <c r="V83" s="1">
        <v>40</v>
      </c>
      <c r="AA83">
        <f t="shared" si="21"/>
        <v>81</v>
      </c>
      <c r="AB83">
        <f t="shared" si="20"/>
        <v>0</v>
      </c>
    </row>
    <row r="84" spans="1:28" x14ac:dyDescent="0.3">
      <c r="A84" s="46">
        <v>69</v>
      </c>
      <c r="B84" s="4"/>
      <c r="C84" s="6" t="s">
        <v>168</v>
      </c>
      <c r="D84" s="5"/>
      <c r="E84" s="5"/>
      <c r="F84" s="5"/>
      <c r="G84" s="5"/>
      <c r="H84" s="5" t="s">
        <v>65</v>
      </c>
      <c r="I84" s="5" t="s">
        <v>73</v>
      </c>
      <c r="J84" s="5" t="s">
        <v>51</v>
      </c>
      <c r="K84" s="5" t="s">
        <v>55</v>
      </c>
      <c r="L84" s="5" t="s">
        <v>63</v>
      </c>
      <c r="M84" s="5" t="s">
        <v>47</v>
      </c>
      <c r="N84" s="5" t="s">
        <v>53</v>
      </c>
      <c r="O84" s="5" t="s">
        <v>68</v>
      </c>
      <c r="P84" s="5" t="s">
        <v>58</v>
      </c>
      <c r="Q84" s="5" t="s">
        <v>52</v>
      </c>
      <c r="R84" s="5" t="s">
        <v>48</v>
      </c>
      <c r="S84" s="5" t="s">
        <v>64</v>
      </c>
      <c r="T84" s="1">
        <v>7</v>
      </c>
      <c r="U84" s="1">
        <v>93</v>
      </c>
      <c r="V84" s="1">
        <v>39</v>
      </c>
      <c r="AA84">
        <f t="shared" si="21"/>
        <v>82</v>
      </c>
      <c r="AB84">
        <f t="shared" si="20"/>
        <v>0</v>
      </c>
    </row>
    <row r="85" spans="1:28" ht="28.8" x14ac:dyDescent="0.3">
      <c r="A85" s="46">
        <v>70</v>
      </c>
      <c r="B85" s="4"/>
      <c r="C85" s="6" t="s">
        <v>167</v>
      </c>
      <c r="D85" s="5"/>
      <c r="E85" s="5"/>
      <c r="F85" s="5"/>
      <c r="G85" s="5"/>
      <c r="H85" s="5" t="s">
        <v>65</v>
      </c>
      <c r="I85" s="5" t="s">
        <v>73</v>
      </c>
      <c r="J85" s="5" t="s">
        <v>51</v>
      </c>
      <c r="K85" s="5" t="s">
        <v>207</v>
      </c>
      <c r="L85" s="5" t="s">
        <v>56</v>
      </c>
      <c r="M85" s="5" t="s">
        <v>74</v>
      </c>
      <c r="N85" s="5" t="s">
        <v>62</v>
      </c>
      <c r="O85" s="5" t="s">
        <v>59</v>
      </c>
      <c r="P85" s="5" t="s">
        <v>209</v>
      </c>
      <c r="Q85" s="5" t="s">
        <v>60</v>
      </c>
      <c r="R85" s="5" t="s">
        <v>75</v>
      </c>
      <c r="S85" s="5" t="s">
        <v>64</v>
      </c>
      <c r="T85" s="1">
        <v>7</v>
      </c>
      <c r="U85" s="1">
        <v>85</v>
      </c>
      <c r="V85" s="1">
        <v>39</v>
      </c>
      <c r="AA85">
        <f t="shared" si="21"/>
        <v>83</v>
      </c>
      <c r="AB85">
        <f t="shared" si="20"/>
        <v>0</v>
      </c>
    </row>
    <row r="86" spans="1:28" ht="28.8" x14ac:dyDescent="0.3">
      <c r="A86" s="46">
        <v>71</v>
      </c>
      <c r="B86" s="4"/>
      <c r="C86" s="6" t="s">
        <v>99</v>
      </c>
      <c r="D86" s="5"/>
      <c r="E86" s="5"/>
      <c r="F86" s="5"/>
      <c r="G86" s="5"/>
      <c r="H86" s="5" t="s">
        <v>65</v>
      </c>
      <c r="I86" s="5" t="s">
        <v>67</v>
      </c>
      <c r="J86" s="5" t="s">
        <v>57</v>
      </c>
      <c r="K86" s="5" t="s">
        <v>207</v>
      </c>
      <c r="L86" s="5" t="s">
        <v>63</v>
      </c>
      <c r="M86" s="5" t="s">
        <v>47</v>
      </c>
      <c r="N86" s="5" t="s">
        <v>53</v>
      </c>
      <c r="O86" s="5" t="s">
        <v>59</v>
      </c>
      <c r="P86" s="5" t="s">
        <v>209</v>
      </c>
      <c r="Q86" s="5" t="s">
        <v>52</v>
      </c>
      <c r="R86" s="5" t="s">
        <v>75</v>
      </c>
      <c r="S86" s="5" t="s">
        <v>64</v>
      </c>
      <c r="T86" s="1">
        <v>7</v>
      </c>
      <c r="U86" s="1">
        <v>107</v>
      </c>
      <c r="V86" s="1">
        <v>39</v>
      </c>
      <c r="AA86">
        <f t="shared" si="21"/>
        <v>84</v>
      </c>
      <c r="AB86">
        <f t="shared" si="20"/>
        <v>0</v>
      </c>
    </row>
    <row r="87" spans="1:28" x14ac:dyDescent="0.3">
      <c r="A87" s="46">
        <v>72</v>
      </c>
      <c r="B87" s="4"/>
      <c r="C87" s="6" t="s">
        <v>144</v>
      </c>
      <c r="D87" s="5"/>
      <c r="E87" s="5"/>
      <c r="F87" s="5"/>
      <c r="G87" s="5"/>
      <c r="H87" s="5" t="s">
        <v>69</v>
      </c>
      <c r="I87" s="5" t="s">
        <v>73</v>
      </c>
      <c r="J87" s="5" t="s">
        <v>57</v>
      </c>
      <c r="K87" s="5" t="s">
        <v>55</v>
      </c>
      <c r="L87" s="5" t="s">
        <v>56</v>
      </c>
      <c r="M87" s="5" t="s">
        <v>47</v>
      </c>
      <c r="N87" s="5" t="s">
        <v>62</v>
      </c>
      <c r="O87" s="5" t="s">
        <v>68</v>
      </c>
      <c r="P87" s="5" t="s">
        <v>58</v>
      </c>
      <c r="Q87" s="5" t="s">
        <v>60</v>
      </c>
      <c r="R87" s="5" t="s">
        <v>75</v>
      </c>
      <c r="S87" s="5" t="s">
        <v>64</v>
      </c>
      <c r="T87" s="1">
        <v>7</v>
      </c>
      <c r="U87" s="1">
        <v>94</v>
      </c>
      <c r="V87" s="1">
        <v>39</v>
      </c>
      <c r="AA87">
        <f t="shared" si="21"/>
        <v>85</v>
      </c>
      <c r="AB87">
        <f t="shared" si="20"/>
        <v>0</v>
      </c>
    </row>
    <row r="88" spans="1:28" ht="28.8" x14ac:dyDescent="0.3">
      <c r="A88" s="46">
        <v>73</v>
      </c>
      <c r="B88" s="4"/>
      <c r="C88" s="6" t="s">
        <v>25</v>
      </c>
      <c r="D88" s="5"/>
      <c r="E88" s="5"/>
      <c r="F88" s="5"/>
      <c r="G88" s="5"/>
      <c r="H88" s="5" t="s">
        <v>69</v>
      </c>
      <c r="I88" s="5" t="s">
        <v>67</v>
      </c>
      <c r="J88" s="5" t="s">
        <v>57</v>
      </c>
      <c r="K88" s="5" t="s">
        <v>55</v>
      </c>
      <c r="L88" s="5" t="s">
        <v>56</v>
      </c>
      <c r="M88" s="5" t="s">
        <v>47</v>
      </c>
      <c r="N88" s="5" t="s">
        <v>53</v>
      </c>
      <c r="O88" s="5" t="s">
        <v>59</v>
      </c>
      <c r="P88" s="5" t="s">
        <v>209</v>
      </c>
      <c r="Q88" s="5" t="s">
        <v>52</v>
      </c>
      <c r="R88" s="5" t="s">
        <v>75</v>
      </c>
      <c r="S88" s="5" t="s">
        <v>61</v>
      </c>
      <c r="T88" s="1">
        <v>7</v>
      </c>
      <c r="U88" s="1">
        <v>93</v>
      </c>
      <c r="V88" s="1">
        <v>39</v>
      </c>
      <c r="AA88">
        <f t="shared" si="21"/>
        <v>86</v>
      </c>
      <c r="AB88">
        <f t="shared" si="20"/>
        <v>0</v>
      </c>
    </row>
    <row r="89" spans="1:28" ht="28.8" x14ac:dyDescent="0.3">
      <c r="A89" s="46">
        <v>74</v>
      </c>
      <c r="B89" s="4"/>
      <c r="C89" s="6" t="s">
        <v>87</v>
      </c>
      <c r="D89" s="5"/>
      <c r="E89" s="5"/>
      <c r="F89" s="5"/>
      <c r="G89" s="5"/>
      <c r="H89" s="5" t="s">
        <v>69</v>
      </c>
      <c r="I89" s="5" t="s">
        <v>73</v>
      </c>
      <c r="J89" s="5" t="s">
        <v>57</v>
      </c>
      <c r="K89" s="5" t="s">
        <v>207</v>
      </c>
      <c r="L89" s="5" t="s">
        <v>56</v>
      </c>
      <c r="M89" s="5" t="s">
        <v>47</v>
      </c>
      <c r="N89" s="5" t="s">
        <v>53</v>
      </c>
      <c r="O89" s="5" t="s">
        <v>68</v>
      </c>
      <c r="P89" s="5" t="s">
        <v>209</v>
      </c>
      <c r="Q89" s="5" t="s">
        <v>52</v>
      </c>
      <c r="R89" s="5" t="s">
        <v>75</v>
      </c>
      <c r="S89" s="5" t="s">
        <v>64</v>
      </c>
      <c r="T89" s="1">
        <v>7</v>
      </c>
      <c r="U89" s="1">
        <v>81</v>
      </c>
      <c r="V89" s="1">
        <v>38</v>
      </c>
      <c r="AA89">
        <f t="shared" si="21"/>
        <v>87</v>
      </c>
      <c r="AB89">
        <f t="shared" si="20"/>
        <v>0</v>
      </c>
    </row>
    <row r="90" spans="1:28" x14ac:dyDescent="0.3">
      <c r="A90" s="46">
        <v>75</v>
      </c>
      <c r="B90" s="4"/>
      <c r="C90" s="6" t="s">
        <v>43</v>
      </c>
      <c r="D90" s="5"/>
      <c r="E90" s="5"/>
      <c r="F90" s="5"/>
      <c r="G90" s="5"/>
      <c r="H90" s="5" t="s">
        <v>65</v>
      </c>
      <c r="I90" s="5" t="s">
        <v>73</v>
      </c>
      <c r="J90" s="5" t="s">
        <v>51</v>
      </c>
      <c r="K90" s="5" t="s">
        <v>55</v>
      </c>
      <c r="L90" s="5" t="s">
        <v>63</v>
      </c>
      <c r="M90" s="5" t="s">
        <v>47</v>
      </c>
      <c r="N90" s="5" t="s">
        <v>62</v>
      </c>
      <c r="O90" s="5" t="s">
        <v>59</v>
      </c>
      <c r="P90" s="5" t="s">
        <v>209</v>
      </c>
      <c r="Q90" s="5" t="s">
        <v>52</v>
      </c>
      <c r="R90" s="5" t="s">
        <v>75</v>
      </c>
      <c r="S90" s="5" t="s">
        <v>64</v>
      </c>
      <c r="T90" s="1">
        <v>7</v>
      </c>
      <c r="U90" s="1">
        <v>92</v>
      </c>
      <c r="V90" s="1">
        <v>37</v>
      </c>
      <c r="AA90">
        <f t="shared" si="21"/>
        <v>88</v>
      </c>
      <c r="AB90">
        <f t="shared" si="20"/>
        <v>0</v>
      </c>
    </row>
    <row r="91" spans="1:28" x14ac:dyDescent="0.3">
      <c r="A91" s="46">
        <v>76</v>
      </c>
      <c r="B91" s="4"/>
      <c r="C91" s="6" t="s">
        <v>111</v>
      </c>
      <c r="D91" s="5"/>
      <c r="E91" s="5"/>
      <c r="F91" s="5"/>
      <c r="G91" s="5"/>
      <c r="H91" s="5" t="s">
        <v>69</v>
      </c>
      <c r="I91" s="5" t="s">
        <v>67</v>
      </c>
      <c r="J91" s="5" t="s">
        <v>57</v>
      </c>
      <c r="K91" s="5" t="s">
        <v>207</v>
      </c>
      <c r="L91" s="5" t="s">
        <v>56</v>
      </c>
      <c r="M91" s="5" t="s">
        <v>74</v>
      </c>
      <c r="N91" s="5" t="s">
        <v>53</v>
      </c>
      <c r="O91" s="5" t="s">
        <v>68</v>
      </c>
      <c r="P91" s="5" t="s">
        <v>209</v>
      </c>
      <c r="Q91" s="5" t="s">
        <v>60</v>
      </c>
      <c r="R91" s="5" t="s">
        <v>48</v>
      </c>
      <c r="S91" s="5" t="s">
        <v>64</v>
      </c>
      <c r="T91" s="1">
        <v>7</v>
      </c>
      <c r="U91" s="1">
        <v>87</v>
      </c>
      <c r="V91" s="1">
        <v>36</v>
      </c>
      <c r="AA91">
        <f t="shared" si="21"/>
        <v>89</v>
      </c>
      <c r="AB91">
        <f t="shared" si="20"/>
        <v>0</v>
      </c>
    </row>
    <row r="92" spans="1:28" ht="28.8" x14ac:dyDescent="0.3">
      <c r="A92" s="46">
        <v>77</v>
      </c>
      <c r="B92" s="4"/>
      <c r="C92" s="6" t="s">
        <v>196</v>
      </c>
      <c r="D92" s="5"/>
      <c r="E92" s="5"/>
      <c r="F92" s="5"/>
      <c r="G92" s="5"/>
      <c r="H92" s="5" t="s">
        <v>65</v>
      </c>
      <c r="I92" s="5" t="s">
        <v>73</v>
      </c>
      <c r="J92" s="5" t="s">
        <v>57</v>
      </c>
      <c r="K92" s="5" t="s">
        <v>55</v>
      </c>
      <c r="L92" s="5" t="s">
        <v>63</v>
      </c>
      <c r="M92" s="5" t="s">
        <v>47</v>
      </c>
      <c r="N92" s="5" t="s">
        <v>53</v>
      </c>
      <c r="O92" s="5" t="s">
        <v>68</v>
      </c>
      <c r="P92" s="5" t="s">
        <v>209</v>
      </c>
      <c r="Q92" s="5" t="s">
        <v>60</v>
      </c>
      <c r="R92" s="5" t="s">
        <v>48</v>
      </c>
      <c r="S92" s="5" t="s">
        <v>61</v>
      </c>
      <c r="T92" s="1">
        <v>7</v>
      </c>
      <c r="U92" s="1">
        <v>86</v>
      </c>
      <c r="V92" s="1">
        <v>35</v>
      </c>
      <c r="AA92">
        <f t="shared" si="21"/>
        <v>90</v>
      </c>
      <c r="AB92">
        <f t="shared" si="20"/>
        <v>0</v>
      </c>
    </row>
    <row r="93" spans="1:28" x14ac:dyDescent="0.3">
      <c r="A93" s="46">
        <v>78</v>
      </c>
      <c r="B93" s="4"/>
      <c r="C93" s="6" t="s">
        <v>142</v>
      </c>
      <c r="D93" s="5"/>
      <c r="E93" s="5"/>
      <c r="F93" s="5"/>
      <c r="G93" s="5"/>
      <c r="H93" s="5" t="s">
        <v>69</v>
      </c>
      <c r="I93" s="5" t="s">
        <v>67</v>
      </c>
      <c r="J93" s="5" t="s">
        <v>51</v>
      </c>
      <c r="K93" s="5" t="s">
        <v>55</v>
      </c>
      <c r="L93" s="5" t="s">
        <v>63</v>
      </c>
      <c r="M93" s="5" t="s">
        <v>74</v>
      </c>
      <c r="N93" s="5" t="s">
        <v>53</v>
      </c>
      <c r="O93" s="5" t="s">
        <v>59</v>
      </c>
      <c r="P93" s="5" t="s">
        <v>209</v>
      </c>
      <c r="Q93" s="5" t="s">
        <v>60</v>
      </c>
      <c r="R93" s="5" t="s">
        <v>48</v>
      </c>
      <c r="S93" s="5" t="s">
        <v>64</v>
      </c>
      <c r="T93" s="1">
        <v>7</v>
      </c>
      <c r="U93" s="1">
        <v>97</v>
      </c>
      <c r="V93" s="1">
        <v>35</v>
      </c>
      <c r="AA93">
        <f t="shared" si="21"/>
        <v>91</v>
      </c>
      <c r="AB93">
        <f t="shared" si="20"/>
        <v>0</v>
      </c>
    </row>
    <row r="94" spans="1:28" x14ac:dyDescent="0.3">
      <c r="A94" s="46">
        <v>79</v>
      </c>
      <c r="B94" s="4"/>
      <c r="C94" s="6" t="s">
        <v>130</v>
      </c>
      <c r="D94" s="5"/>
      <c r="E94" s="5"/>
      <c r="F94" s="5"/>
      <c r="G94" s="5"/>
      <c r="H94" s="5" t="s">
        <v>69</v>
      </c>
      <c r="I94" s="5" t="s">
        <v>73</v>
      </c>
      <c r="J94" s="5" t="s">
        <v>51</v>
      </c>
      <c r="K94" s="5" t="s">
        <v>55</v>
      </c>
      <c r="L94" s="5" t="s">
        <v>56</v>
      </c>
      <c r="M94" s="5" t="s">
        <v>74</v>
      </c>
      <c r="N94" s="5" t="s">
        <v>62</v>
      </c>
      <c r="O94" s="5" t="s">
        <v>68</v>
      </c>
      <c r="P94" s="5" t="s">
        <v>209</v>
      </c>
      <c r="Q94" s="5" t="s">
        <v>60</v>
      </c>
      <c r="R94" s="5" t="s">
        <v>48</v>
      </c>
      <c r="S94" s="5" t="s">
        <v>64</v>
      </c>
      <c r="T94" s="1">
        <v>7</v>
      </c>
      <c r="U94" s="1">
        <v>91</v>
      </c>
      <c r="V94" s="1">
        <v>31</v>
      </c>
      <c r="AA94">
        <f t="shared" si="21"/>
        <v>92</v>
      </c>
      <c r="AB94">
        <f t="shared" si="20"/>
        <v>0</v>
      </c>
    </row>
    <row r="95" spans="1:28" x14ac:dyDescent="0.3">
      <c r="A95" s="46">
        <v>80</v>
      </c>
      <c r="B95" s="4"/>
      <c r="C95" s="6" t="s">
        <v>126</v>
      </c>
      <c r="D95" s="5"/>
      <c r="E95" s="5"/>
      <c r="F95" s="5"/>
      <c r="G95" s="5"/>
      <c r="H95" s="5" t="s">
        <v>65</v>
      </c>
      <c r="I95" s="5" t="s">
        <v>73</v>
      </c>
      <c r="J95" s="5" t="s">
        <v>57</v>
      </c>
      <c r="K95" s="5" t="s">
        <v>207</v>
      </c>
      <c r="L95" s="5" t="s">
        <v>56</v>
      </c>
      <c r="M95" s="5" t="s">
        <v>47</v>
      </c>
      <c r="N95" s="5" t="s">
        <v>53</v>
      </c>
      <c r="O95" s="5" t="s">
        <v>59</v>
      </c>
      <c r="P95" s="5" t="s">
        <v>209</v>
      </c>
      <c r="Q95" s="5" t="s">
        <v>52</v>
      </c>
      <c r="R95" s="5" t="s">
        <v>75</v>
      </c>
      <c r="S95" s="5" t="s">
        <v>61</v>
      </c>
      <c r="T95" s="1">
        <v>6</v>
      </c>
      <c r="U95" s="1">
        <v>96</v>
      </c>
      <c r="V95" s="1">
        <v>73</v>
      </c>
      <c r="AA95">
        <f t="shared" si="21"/>
        <v>93</v>
      </c>
      <c r="AB95">
        <f t="shared" si="20"/>
        <v>0</v>
      </c>
    </row>
    <row r="96" spans="1:28" ht="28.8" x14ac:dyDescent="0.3">
      <c r="A96" s="46">
        <v>81</v>
      </c>
      <c r="B96" s="4"/>
      <c r="C96" s="6" t="s">
        <v>28</v>
      </c>
      <c r="D96" s="5"/>
      <c r="E96" s="5"/>
      <c r="F96" s="5"/>
      <c r="G96" s="5"/>
      <c r="H96" s="5" t="s">
        <v>69</v>
      </c>
      <c r="I96" s="5" t="s">
        <v>73</v>
      </c>
      <c r="J96" s="5" t="s">
        <v>51</v>
      </c>
      <c r="K96" s="5" t="s">
        <v>207</v>
      </c>
      <c r="L96" s="5" t="s">
        <v>56</v>
      </c>
      <c r="M96" s="5" t="s">
        <v>74</v>
      </c>
      <c r="N96" s="5" t="s">
        <v>53</v>
      </c>
      <c r="O96" s="5" t="s">
        <v>68</v>
      </c>
      <c r="P96" s="5" t="s">
        <v>58</v>
      </c>
      <c r="Q96" s="5" t="s">
        <v>52</v>
      </c>
      <c r="R96" s="5" t="s">
        <v>75</v>
      </c>
      <c r="S96" s="5" t="s">
        <v>64</v>
      </c>
      <c r="T96" s="1">
        <v>6</v>
      </c>
      <c r="U96" s="1">
        <v>82</v>
      </c>
      <c r="V96" s="1">
        <v>54</v>
      </c>
      <c r="AA96">
        <f t="shared" si="21"/>
        <v>94</v>
      </c>
      <c r="AB96">
        <f t="shared" si="20"/>
        <v>0</v>
      </c>
    </row>
    <row r="97" spans="1:28" ht="28.8" x14ac:dyDescent="0.3">
      <c r="A97" s="46">
        <v>82</v>
      </c>
      <c r="B97" s="4"/>
      <c r="C97" s="6" t="s">
        <v>191</v>
      </c>
      <c r="D97" s="5"/>
      <c r="E97" s="5"/>
      <c r="F97" s="5"/>
      <c r="G97" s="5"/>
      <c r="H97" s="5" t="s">
        <v>69</v>
      </c>
      <c r="I97" s="5" t="s">
        <v>67</v>
      </c>
      <c r="J97" s="5" t="s">
        <v>51</v>
      </c>
      <c r="K97" s="5" t="s">
        <v>55</v>
      </c>
      <c r="L97" s="5" t="s">
        <v>56</v>
      </c>
      <c r="M97" s="5" t="s">
        <v>74</v>
      </c>
      <c r="N97" s="5" t="s">
        <v>62</v>
      </c>
      <c r="O97" s="5" t="s">
        <v>68</v>
      </c>
      <c r="P97" s="5" t="s">
        <v>58</v>
      </c>
      <c r="Q97" s="5" t="s">
        <v>60</v>
      </c>
      <c r="R97" s="5" t="s">
        <v>48</v>
      </c>
      <c r="S97" s="5" t="s">
        <v>61</v>
      </c>
      <c r="T97" s="1">
        <v>6</v>
      </c>
      <c r="U97" s="1">
        <v>92</v>
      </c>
      <c r="V97" s="1">
        <v>53</v>
      </c>
      <c r="AA97">
        <f t="shared" si="21"/>
        <v>95</v>
      </c>
      <c r="AB97">
        <f t="shared" si="20"/>
        <v>0</v>
      </c>
    </row>
    <row r="98" spans="1:28" ht="28.8" x14ac:dyDescent="0.3">
      <c r="A98" s="46">
        <v>83</v>
      </c>
      <c r="B98" s="4"/>
      <c r="C98" s="6" t="s">
        <v>80</v>
      </c>
      <c r="D98" s="5"/>
      <c r="E98" s="5"/>
      <c r="F98" s="5"/>
      <c r="G98" s="5"/>
      <c r="H98" s="5" t="s">
        <v>65</v>
      </c>
      <c r="I98" s="5" t="s">
        <v>73</v>
      </c>
      <c r="J98" s="5" t="s">
        <v>51</v>
      </c>
      <c r="K98" s="5" t="s">
        <v>55</v>
      </c>
      <c r="L98" s="5" t="s">
        <v>56</v>
      </c>
      <c r="M98" s="5" t="s">
        <v>74</v>
      </c>
      <c r="N98" s="5" t="s">
        <v>62</v>
      </c>
      <c r="O98" s="5" t="s">
        <v>59</v>
      </c>
      <c r="P98" s="5" t="s">
        <v>209</v>
      </c>
      <c r="Q98" s="5" t="s">
        <v>52</v>
      </c>
      <c r="R98" s="5" t="s">
        <v>48</v>
      </c>
      <c r="S98" s="5" t="s">
        <v>64</v>
      </c>
      <c r="T98" s="1">
        <v>6</v>
      </c>
      <c r="U98" s="1">
        <v>93</v>
      </c>
      <c r="V98" s="1">
        <v>49</v>
      </c>
      <c r="AA98">
        <f t="shared" si="21"/>
        <v>96</v>
      </c>
      <c r="AB98">
        <f t="shared" si="20"/>
        <v>0</v>
      </c>
    </row>
    <row r="99" spans="1:28" x14ac:dyDescent="0.3">
      <c r="A99" s="46">
        <v>84</v>
      </c>
      <c r="B99" s="4"/>
      <c r="C99" s="6" t="s">
        <v>194</v>
      </c>
      <c r="D99" s="5"/>
      <c r="E99" s="5"/>
      <c r="F99" s="5"/>
      <c r="G99" s="5"/>
      <c r="H99" s="5" t="s">
        <v>69</v>
      </c>
      <c r="I99" s="5" t="s">
        <v>67</v>
      </c>
      <c r="J99" s="5" t="s">
        <v>57</v>
      </c>
      <c r="K99" s="5" t="s">
        <v>207</v>
      </c>
      <c r="L99" s="5" t="s">
        <v>63</v>
      </c>
      <c r="M99" s="5" t="s">
        <v>47</v>
      </c>
      <c r="N99" s="5" t="s">
        <v>53</v>
      </c>
      <c r="O99" s="5" t="s">
        <v>59</v>
      </c>
      <c r="P99" s="5" t="s">
        <v>58</v>
      </c>
      <c r="Q99" s="5" t="s">
        <v>60</v>
      </c>
      <c r="R99" s="5" t="s">
        <v>75</v>
      </c>
      <c r="S99" s="5" t="s">
        <v>64</v>
      </c>
      <c r="T99" s="1">
        <v>6</v>
      </c>
      <c r="U99" s="1">
        <v>89</v>
      </c>
      <c r="V99" s="1">
        <v>47</v>
      </c>
      <c r="AA99">
        <f t="shared" si="21"/>
        <v>97</v>
      </c>
      <c r="AB99">
        <f t="shared" si="20"/>
        <v>0</v>
      </c>
    </row>
    <row r="100" spans="1:28" x14ac:dyDescent="0.3">
      <c r="A100" s="46">
        <v>85</v>
      </c>
      <c r="B100" s="4"/>
      <c r="C100" s="6" t="s">
        <v>97</v>
      </c>
      <c r="D100" s="5"/>
      <c r="E100" s="5"/>
      <c r="F100" s="5"/>
      <c r="G100" s="5"/>
      <c r="H100" s="5" t="s">
        <v>65</v>
      </c>
      <c r="I100" s="5" t="s">
        <v>73</v>
      </c>
      <c r="J100" s="5" t="s">
        <v>57</v>
      </c>
      <c r="K100" s="5" t="s">
        <v>207</v>
      </c>
      <c r="L100" s="5" t="s">
        <v>63</v>
      </c>
      <c r="M100" s="5" t="s">
        <v>74</v>
      </c>
      <c r="N100" s="5" t="s">
        <v>53</v>
      </c>
      <c r="O100" s="5" t="s">
        <v>59</v>
      </c>
      <c r="P100" s="5" t="s">
        <v>209</v>
      </c>
      <c r="Q100" s="5" t="s">
        <v>60</v>
      </c>
      <c r="R100" s="5" t="s">
        <v>75</v>
      </c>
      <c r="S100" s="5" t="s">
        <v>64</v>
      </c>
      <c r="T100" s="1">
        <v>6</v>
      </c>
      <c r="U100" s="1">
        <v>85</v>
      </c>
      <c r="V100" s="1">
        <v>47</v>
      </c>
      <c r="AA100">
        <f t="shared" si="21"/>
        <v>98</v>
      </c>
      <c r="AB100">
        <f t="shared" si="20"/>
        <v>0</v>
      </c>
    </row>
    <row r="101" spans="1:28" ht="28.8" x14ac:dyDescent="0.3">
      <c r="A101" s="46">
        <v>86</v>
      </c>
      <c r="B101" s="4"/>
      <c r="C101" s="6" t="s">
        <v>24</v>
      </c>
      <c r="D101" s="5"/>
      <c r="E101" s="5"/>
      <c r="F101" s="5"/>
      <c r="G101" s="5"/>
      <c r="H101" s="5" t="s">
        <v>69</v>
      </c>
      <c r="I101" s="5" t="s">
        <v>73</v>
      </c>
      <c r="J101" s="5" t="s">
        <v>51</v>
      </c>
      <c r="K101" s="5" t="s">
        <v>55</v>
      </c>
      <c r="L101" s="5" t="s">
        <v>63</v>
      </c>
      <c r="M101" s="5" t="s">
        <v>47</v>
      </c>
      <c r="N101" s="5" t="s">
        <v>62</v>
      </c>
      <c r="O101" s="5" t="s">
        <v>59</v>
      </c>
      <c r="P101" s="5" t="s">
        <v>209</v>
      </c>
      <c r="Q101" s="5" t="s">
        <v>52</v>
      </c>
      <c r="R101" s="5" t="s">
        <v>75</v>
      </c>
      <c r="S101" s="5" t="s">
        <v>64</v>
      </c>
      <c r="T101" s="1">
        <v>6</v>
      </c>
      <c r="U101" s="1">
        <v>91</v>
      </c>
      <c r="V101" s="1">
        <v>47</v>
      </c>
      <c r="AA101">
        <f t="shared" si="21"/>
        <v>99</v>
      </c>
      <c r="AB101">
        <f t="shared" si="20"/>
        <v>0</v>
      </c>
    </row>
    <row r="102" spans="1:28" ht="28.8" x14ac:dyDescent="0.3">
      <c r="A102" s="46">
        <v>87</v>
      </c>
      <c r="B102" s="4"/>
      <c r="C102" s="6" t="s">
        <v>147</v>
      </c>
      <c r="D102" s="5"/>
      <c r="E102" s="5"/>
      <c r="F102" s="5"/>
      <c r="G102" s="5"/>
      <c r="H102" s="5" t="s">
        <v>65</v>
      </c>
      <c r="I102" s="5" t="s">
        <v>73</v>
      </c>
      <c r="J102" s="5" t="s">
        <v>57</v>
      </c>
      <c r="K102" s="5" t="s">
        <v>207</v>
      </c>
      <c r="L102" s="5" t="s">
        <v>56</v>
      </c>
      <c r="M102" s="5" t="s">
        <v>74</v>
      </c>
      <c r="N102" s="5" t="s">
        <v>53</v>
      </c>
      <c r="O102" s="5" t="s">
        <v>68</v>
      </c>
      <c r="P102" s="5" t="s">
        <v>58</v>
      </c>
      <c r="Q102" s="5" t="s">
        <v>52</v>
      </c>
      <c r="R102" s="5" t="s">
        <v>75</v>
      </c>
      <c r="S102" s="5" t="s">
        <v>64</v>
      </c>
      <c r="T102" s="1">
        <v>6</v>
      </c>
      <c r="U102" s="1">
        <v>97</v>
      </c>
      <c r="V102" s="1">
        <v>46</v>
      </c>
      <c r="AA102">
        <f t="shared" si="21"/>
        <v>100</v>
      </c>
      <c r="AB102">
        <f t="shared" si="20"/>
        <v>0</v>
      </c>
    </row>
    <row r="103" spans="1:28" ht="28.8" x14ac:dyDescent="0.3">
      <c r="A103" s="46">
        <v>88</v>
      </c>
      <c r="B103" s="4"/>
      <c r="C103" s="6" t="s">
        <v>9</v>
      </c>
      <c r="D103" s="5"/>
      <c r="E103" s="5"/>
      <c r="F103" s="5"/>
      <c r="G103" s="5"/>
      <c r="H103" s="5" t="s">
        <v>69</v>
      </c>
      <c r="I103" s="5" t="s">
        <v>67</v>
      </c>
      <c r="J103" s="5" t="s">
        <v>57</v>
      </c>
      <c r="K103" s="5" t="s">
        <v>207</v>
      </c>
      <c r="L103" s="5" t="s">
        <v>56</v>
      </c>
      <c r="M103" s="5" t="s">
        <v>47</v>
      </c>
      <c r="N103" s="5" t="s">
        <v>62</v>
      </c>
      <c r="O103" s="5" t="s">
        <v>59</v>
      </c>
      <c r="P103" s="5" t="s">
        <v>58</v>
      </c>
      <c r="Q103" s="5" t="s">
        <v>60</v>
      </c>
      <c r="R103" s="5" t="s">
        <v>75</v>
      </c>
      <c r="S103" s="5" t="s">
        <v>64</v>
      </c>
      <c r="T103" s="1">
        <v>6</v>
      </c>
      <c r="U103" s="1">
        <v>100</v>
      </c>
      <c r="V103" s="1">
        <v>46</v>
      </c>
      <c r="AA103">
        <f t="shared" si="21"/>
        <v>101</v>
      </c>
      <c r="AB103">
        <f t="shared" si="20"/>
        <v>0</v>
      </c>
    </row>
    <row r="104" spans="1:28" ht="28.8" x14ac:dyDescent="0.3">
      <c r="A104" s="46">
        <v>89</v>
      </c>
      <c r="B104" s="4"/>
      <c r="C104" s="6" t="s">
        <v>114</v>
      </c>
      <c r="D104" s="5"/>
      <c r="E104" s="5"/>
      <c r="F104" s="5"/>
      <c r="G104" s="5"/>
      <c r="H104" s="5" t="s">
        <v>65</v>
      </c>
      <c r="I104" s="5" t="s">
        <v>73</v>
      </c>
      <c r="J104" s="5" t="s">
        <v>51</v>
      </c>
      <c r="K104" s="5" t="s">
        <v>207</v>
      </c>
      <c r="L104" s="5" t="s">
        <v>63</v>
      </c>
      <c r="M104" s="5" t="s">
        <v>47</v>
      </c>
      <c r="N104" s="5" t="s">
        <v>53</v>
      </c>
      <c r="O104" s="5" t="s">
        <v>59</v>
      </c>
      <c r="P104" s="5" t="s">
        <v>209</v>
      </c>
      <c r="Q104" s="5" t="s">
        <v>60</v>
      </c>
      <c r="R104" s="5" t="s">
        <v>48</v>
      </c>
      <c r="S104" s="5" t="s">
        <v>61</v>
      </c>
      <c r="T104" s="1">
        <v>6</v>
      </c>
      <c r="U104" s="1">
        <v>93</v>
      </c>
      <c r="V104" s="1">
        <v>45</v>
      </c>
      <c r="AA104">
        <f t="shared" si="21"/>
        <v>102</v>
      </c>
      <c r="AB104">
        <f t="shared" si="20"/>
        <v>0</v>
      </c>
    </row>
    <row r="105" spans="1:28" ht="28.8" x14ac:dyDescent="0.3">
      <c r="A105" s="46">
        <v>90</v>
      </c>
      <c r="B105" s="4"/>
      <c r="C105" s="6" t="s">
        <v>177</v>
      </c>
      <c r="D105" s="5"/>
      <c r="E105" s="5"/>
      <c r="F105" s="5"/>
      <c r="G105" s="5"/>
      <c r="H105" s="5" t="s">
        <v>65</v>
      </c>
      <c r="I105" s="5" t="s">
        <v>67</v>
      </c>
      <c r="J105" s="5" t="s">
        <v>57</v>
      </c>
      <c r="K105" s="5" t="s">
        <v>207</v>
      </c>
      <c r="L105" s="5" t="s">
        <v>63</v>
      </c>
      <c r="M105" s="5" t="s">
        <v>47</v>
      </c>
      <c r="N105" s="5" t="s">
        <v>53</v>
      </c>
      <c r="O105" s="5" t="s">
        <v>59</v>
      </c>
      <c r="P105" s="5" t="s">
        <v>58</v>
      </c>
      <c r="Q105" s="5" t="s">
        <v>52</v>
      </c>
      <c r="R105" s="5" t="s">
        <v>75</v>
      </c>
      <c r="S105" s="5" t="s">
        <v>64</v>
      </c>
      <c r="T105" s="1">
        <v>6</v>
      </c>
      <c r="U105" s="1">
        <v>98</v>
      </c>
      <c r="V105" s="1">
        <v>45</v>
      </c>
      <c r="AA105">
        <f t="shared" si="21"/>
        <v>103</v>
      </c>
      <c r="AB105">
        <f t="shared" si="20"/>
        <v>0</v>
      </c>
    </row>
    <row r="106" spans="1:28" x14ac:dyDescent="0.3">
      <c r="A106" s="46">
        <v>91</v>
      </c>
      <c r="B106" s="4"/>
      <c r="C106" s="6" t="s">
        <v>31</v>
      </c>
      <c r="D106" s="5"/>
      <c r="E106" s="5"/>
      <c r="F106" s="5"/>
      <c r="G106" s="5"/>
      <c r="H106" s="5" t="s">
        <v>65</v>
      </c>
      <c r="I106" s="5" t="s">
        <v>73</v>
      </c>
      <c r="J106" s="5" t="s">
        <v>57</v>
      </c>
      <c r="K106" s="5" t="s">
        <v>55</v>
      </c>
      <c r="L106" s="5" t="s">
        <v>63</v>
      </c>
      <c r="M106" s="5" t="s">
        <v>47</v>
      </c>
      <c r="N106" s="5" t="s">
        <v>53</v>
      </c>
      <c r="O106" s="5" t="s">
        <v>59</v>
      </c>
      <c r="P106" s="5" t="s">
        <v>209</v>
      </c>
      <c r="Q106" s="5" t="s">
        <v>60</v>
      </c>
      <c r="R106" s="5" t="s">
        <v>48</v>
      </c>
      <c r="S106" s="5" t="s">
        <v>61</v>
      </c>
      <c r="T106" s="1">
        <v>6</v>
      </c>
      <c r="U106" s="1">
        <v>83</v>
      </c>
      <c r="V106" s="1">
        <v>44</v>
      </c>
      <c r="AA106">
        <f t="shared" si="21"/>
        <v>104</v>
      </c>
      <c r="AB106">
        <f t="shared" si="20"/>
        <v>0</v>
      </c>
    </row>
    <row r="107" spans="1:28" x14ac:dyDescent="0.3">
      <c r="A107" s="46">
        <v>92</v>
      </c>
      <c r="B107" s="4"/>
      <c r="C107" s="6" t="s">
        <v>26</v>
      </c>
      <c r="D107" s="5"/>
      <c r="E107" s="5"/>
      <c r="F107" s="5"/>
      <c r="G107" s="5"/>
      <c r="H107" s="5" t="s">
        <v>65</v>
      </c>
      <c r="I107" s="5" t="s">
        <v>73</v>
      </c>
      <c r="J107" s="5" t="s">
        <v>51</v>
      </c>
      <c r="K107" s="5" t="s">
        <v>207</v>
      </c>
      <c r="L107" s="5" t="s">
        <v>56</v>
      </c>
      <c r="M107" s="5" t="s">
        <v>47</v>
      </c>
      <c r="N107" s="5" t="s">
        <v>53</v>
      </c>
      <c r="O107" s="5" t="s">
        <v>59</v>
      </c>
      <c r="P107" s="5" t="s">
        <v>58</v>
      </c>
      <c r="Q107" s="5" t="s">
        <v>52</v>
      </c>
      <c r="R107" s="5" t="s">
        <v>75</v>
      </c>
      <c r="S107" s="5" t="s">
        <v>61</v>
      </c>
      <c r="T107" s="1">
        <v>6</v>
      </c>
      <c r="U107" s="1">
        <v>89</v>
      </c>
      <c r="V107" s="1">
        <v>44</v>
      </c>
      <c r="AA107">
        <f t="shared" si="21"/>
        <v>105</v>
      </c>
      <c r="AB107">
        <f t="shared" si="20"/>
        <v>0</v>
      </c>
    </row>
    <row r="108" spans="1:28" ht="28.8" x14ac:dyDescent="0.3">
      <c r="A108" s="46">
        <v>93</v>
      </c>
      <c r="B108" s="4"/>
      <c r="C108" s="6" t="s">
        <v>172</v>
      </c>
      <c r="D108" s="5"/>
      <c r="E108" s="5"/>
      <c r="F108" s="5"/>
      <c r="G108" s="5"/>
      <c r="H108" s="5" t="s">
        <v>69</v>
      </c>
      <c r="I108" s="5" t="s">
        <v>67</v>
      </c>
      <c r="J108" s="5" t="s">
        <v>57</v>
      </c>
      <c r="K108" s="5" t="s">
        <v>207</v>
      </c>
      <c r="L108" s="5" t="s">
        <v>56</v>
      </c>
      <c r="M108" s="5" t="s">
        <v>47</v>
      </c>
      <c r="N108" s="5" t="s">
        <v>62</v>
      </c>
      <c r="O108" s="5" t="s">
        <v>68</v>
      </c>
      <c r="P108" s="5" t="s">
        <v>209</v>
      </c>
      <c r="Q108" s="5" t="s">
        <v>60</v>
      </c>
      <c r="R108" s="5" t="s">
        <v>48</v>
      </c>
      <c r="S108" s="5" t="s">
        <v>61</v>
      </c>
      <c r="T108" s="1">
        <v>6</v>
      </c>
      <c r="U108" s="1">
        <v>93</v>
      </c>
      <c r="V108" s="1">
        <v>44</v>
      </c>
      <c r="AA108">
        <f t="shared" si="21"/>
        <v>106</v>
      </c>
      <c r="AB108">
        <f t="shared" si="20"/>
        <v>0</v>
      </c>
    </row>
    <row r="109" spans="1:28" ht="43.2" x14ac:dyDescent="0.3">
      <c r="A109" s="46">
        <v>94</v>
      </c>
      <c r="B109" s="4"/>
      <c r="C109" s="6" t="s">
        <v>171</v>
      </c>
      <c r="D109" s="5"/>
      <c r="E109" s="5"/>
      <c r="F109" s="5"/>
      <c r="G109" s="5"/>
      <c r="H109" s="5" t="s">
        <v>65</v>
      </c>
      <c r="I109" s="5" t="s">
        <v>73</v>
      </c>
      <c r="J109" s="5" t="s">
        <v>51</v>
      </c>
      <c r="K109" s="5" t="s">
        <v>55</v>
      </c>
      <c r="L109" s="5" t="s">
        <v>63</v>
      </c>
      <c r="M109" s="5" t="s">
        <v>74</v>
      </c>
      <c r="N109" s="5" t="s">
        <v>62</v>
      </c>
      <c r="O109" s="5" t="s">
        <v>59</v>
      </c>
      <c r="P109" s="5" t="s">
        <v>209</v>
      </c>
      <c r="Q109" s="5" t="s">
        <v>52</v>
      </c>
      <c r="R109" s="5" t="s">
        <v>75</v>
      </c>
      <c r="S109" s="5" t="s">
        <v>64</v>
      </c>
      <c r="T109" s="1">
        <v>6</v>
      </c>
      <c r="U109" s="1">
        <v>88</v>
      </c>
      <c r="V109" s="1">
        <v>43</v>
      </c>
      <c r="AA109">
        <f t="shared" si="21"/>
        <v>107</v>
      </c>
      <c r="AB109">
        <f t="shared" si="20"/>
        <v>0</v>
      </c>
    </row>
    <row r="110" spans="1:28" ht="28.8" x14ac:dyDescent="0.3">
      <c r="A110" s="46">
        <v>95</v>
      </c>
      <c r="B110" s="4"/>
      <c r="C110" s="6" t="s">
        <v>148</v>
      </c>
      <c r="D110" s="5"/>
      <c r="E110" s="5"/>
      <c r="F110" s="5"/>
      <c r="G110" s="5"/>
      <c r="H110" s="5" t="s">
        <v>65</v>
      </c>
      <c r="I110" s="5" t="s">
        <v>73</v>
      </c>
      <c r="J110" s="5" t="s">
        <v>57</v>
      </c>
      <c r="K110" s="5" t="s">
        <v>207</v>
      </c>
      <c r="L110" s="5" t="s">
        <v>63</v>
      </c>
      <c r="M110" s="5" t="s">
        <v>47</v>
      </c>
      <c r="N110" s="5" t="s">
        <v>53</v>
      </c>
      <c r="O110" s="5" t="s">
        <v>59</v>
      </c>
      <c r="P110" s="5" t="s">
        <v>209</v>
      </c>
      <c r="Q110" s="5" t="s">
        <v>52</v>
      </c>
      <c r="R110" s="5" t="s">
        <v>75</v>
      </c>
      <c r="S110" s="5" t="s">
        <v>64</v>
      </c>
      <c r="T110" s="1">
        <v>6</v>
      </c>
      <c r="U110" s="1">
        <v>96</v>
      </c>
      <c r="V110" s="1">
        <v>43</v>
      </c>
      <c r="AA110">
        <f t="shared" si="21"/>
        <v>108</v>
      </c>
      <c r="AB110">
        <f t="shared" si="20"/>
        <v>0</v>
      </c>
    </row>
    <row r="111" spans="1:28" ht="28.8" x14ac:dyDescent="0.3">
      <c r="A111" s="46">
        <v>96</v>
      </c>
      <c r="B111" s="4"/>
      <c r="C111" s="6" t="s">
        <v>197</v>
      </c>
      <c r="D111" s="5"/>
      <c r="E111" s="5"/>
      <c r="F111" s="5"/>
      <c r="G111" s="5"/>
      <c r="H111" s="5" t="s">
        <v>65</v>
      </c>
      <c r="I111" s="5" t="s">
        <v>67</v>
      </c>
      <c r="J111" s="5" t="s">
        <v>51</v>
      </c>
      <c r="K111" s="5" t="s">
        <v>207</v>
      </c>
      <c r="L111" s="5" t="s">
        <v>63</v>
      </c>
      <c r="M111" s="5" t="s">
        <v>47</v>
      </c>
      <c r="N111" s="5" t="s">
        <v>53</v>
      </c>
      <c r="O111" s="5" t="s">
        <v>59</v>
      </c>
      <c r="P111" s="5" t="s">
        <v>209</v>
      </c>
      <c r="Q111" s="5" t="s">
        <v>52</v>
      </c>
      <c r="R111" s="5" t="s">
        <v>48</v>
      </c>
      <c r="S111" s="5" t="s">
        <v>61</v>
      </c>
      <c r="T111" s="1">
        <v>6</v>
      </c>
      <c r="U111" s="1">
        <v>62</v>
      </c>
      <c r="V111" s="1">
        <v>43</v>
      </c>
      <c r="AA111">
        <f t="shared" si="21"/>
        <v>109</v>
      </c>
      <c r="AB111">
        <f t="shared" si="20"/>
        <v>0</v>
      </c>
    </row>
    <row r="112" spans="1:28" x14ac:dyDescent="0.3">
      <c r="A112" s="46">
        <v>97</v>
      </c>
      <c r="B112" s="4"/>
      <c r="C112" s="6" t="s">
        <v>106</v>
      </c>
      <c r="D112" s="5"/>
      <c r="E112" s="5"/>
      <c r="F112" s="5"/>
      <c r="G112" s="5"/>
      <c r="H112" s="5" t="s">
        <v>69</v>
      </c>
      <c r="I112" s="5" t="s">
        <v>67</v>
      </c>
      <c r="J112" s="5" t="s">
        <v>57</v>
      </c>
      <c r="K112" s="5" t="s">
        <v>55</v>
      </c>
      <c r="L112" s="5" t="s">
        <v>63</v>
      </c>
      <c r="M112" s="5" t="s">
        <v>47</v>
      </c>
      <c r="N112" s="5" t="s">
        <v>62</v>
      </c>
      <c r="O112" s="5" t="s">
        <v>59</v>
      </c>
      <c r="P112" s="5" t="s">
        <v>209</v>
      </c>
      <c r="Q112" s="5" t="s">
        <v>60</v>
      </c>
      <c r="R112" s="5" t="s">
        <v>75</v>
      </c>
      <c r="S112" s="5" t="s">
        <v>61</v>
      </c>
      <c r="T112" s="1">
        <v>6</v>
      </c>
      <c r="U112" s="1">
        <v>89</v>
      </c>
      <c r="V112" s="1">
        <v>42</v>
      </c>
      <c r="AA112">
        <f t="shared" si="21"/>
        <v>110</v>
      </c>
      <c r="AB112">
        <f t="shared" si="20"/>
        <v>0</v>
      </c>
    </row>
    <row r="113" spans="1:28" ht="28.8" x14ac:dyDescent="0.3">
      <c r="A113" s="46">
        <v>98</v>
      </c>
      <c r="B113" s="4"/>
      <c r="C113" s="6" t="s">
        <v>179</v>
      </c>
      <c r="D113" s="5"/>
      <c r="E113" s="5"/>
      <c r="F113" s="5"/>
      <c r="G113" s="5"/>
      <c r="H113" s="5" t="s">
        <v>69</v>
      </c>
      <c r="I113" s="5" t="s">
        <v>67</v>
      </c>
      <c r="J113" s="5" t="s">
        <v>57</v>
      </c>
      <c r="K113" s="5" t="s">
        <v>55</v>
      </c>
      <c r="L113" s="5" t="s">
        <v>56</v>
      </c>
      <c r="M113" s="5" t="s">
        <v>47</v>
      </c>
      <c r="N113" s="5" t="s">
        <v>53</v>
      </c>
      <c r="O113" s="5" t="s">
        <v>59</v>
      </c>
      <c r="P113" s="5" t="s">
        <v>58</v>
      </c>
      <c r="Q113" s="5" t="s">
        <v>52</v>
      </c>
      <c r="R113" s="5" t="s">
        <v>75</v>
      </c>
      <c r="S113" s="5" t="s">
        <v>61</v>
      </c>
      <c r="T113" s="1">
        <v>6</v>
      </c>
      <c r="U113" s="1">
        <v>90</v>
      </c>
      <c r="V113" s="1">
        <v>42</v>
      </c>
      <c r="AA113">
        <f t="shared" si="21"/>
        <v>111</v>
      </c>
      <c r="AB113">
        <f t="shared" si="20"/>
        <v>0</v>
      </c>
    </row>
    <row r="114" spans="1:28" x14ac:dyDescent="0.3">
      <c r="A114" s="46">
        <v>99</v>
      </c>
      <c r="B114" s="4"/>
      <c r="C114" s="6" t="s">
        <v>84</v>
      </c>
      <c r="D114" s="5"/>
      <c r="E114" s="5"/>
      <c r="F114" s="5"/>
      <c r="G114" s="5"/>
      <c r="H114" s="5" t="s">
        <v>69</v>
      </c>
      <c r="I114" s="5" t="s">
        <v>67</v>
      </c>
      <c r="J114" s="5" t="s">
        <v>57</v>
      </c>
      <c r="K114" s="5" t="s">
        <v>55</v>
      </c>
      <c r="L114" s="5" t="s">
        <v>56</v>
      </c>
      <c r="M114" s="5" t="s">
        <v>74</v>
      </c>
      <c r="N114" s="5" t="s">
        <v>53</v>
      </c>
      <c r="O114" s="5" t="s">
        <v>59</v>
      </c>
      <c r="P114" s="5" t="s">
        <v>58</v>
      </c>
      <c r="Q114" s="5" t="s">
        <v>60</v>
      </c>
      <c r="R114" s="5" t="s">
        <v>75</v>
      </c>
      <c r="S114" s="5" t="s">
        <v>61</v>
      </c>
      <c r="T114" s="1">
        <v>6</v>
      </c>
      <c r="U114" s="1">
        <v>91</v>
      </c>
      <c r="V114" s="1">
        <v>42</v>
      </c>
      <c r="AA114">
        <f t="shared" si="21"/>
        <v>112</v>
      </c>
      <c r="AB114">
        <f t="shared" si="20"/>
        <v>0</v>
      </c>
    </row>
    <row r="115" spans="1:28" x14ac:dyDescent="0.3">
      <c r="A115" s="46">
        <v>100</v>
      </c>
      <c r="B115" s="4"/>
      <c r="C115" s="6" t="s">
        <v>150</v>
      </c>
      <c r="D115" s="5"/>
      <c r="E115" s="5"/>
      <c r="F115" s="5"/>
      <c r="G115" s="5"/>
      <c r="H115" s="5" t="s">
        <v>65</v>
      </c>
      <c r="I115" s="5" t="s">
        <v>73</v>
      </c>
      <c r="J115" s="5" t="s">
        <v>51</v>
      </c>
      <c r="K115" s="5" t="s">
        <v>207</v>
      </c>
      <c r="L115" s="5" t="s">
        <v>56</v>
      </c>
      <c r="M115" s="5" t="s">
        <v>74</v>
      </c>
      <c r="N115" s="5" t="s">
        <v>53</v>
      </c>
      <c r="O115" s="5" t="s">
        <v>68</v>
      </c>
      <c r="P115" s="5" t="s">
        <v>209</v>
      </c>
      <c r="Q115" s="5" t="s">
        <v>52</v>
      </c>
      <c r="R115" s="5" t="s">
        <v>48</v>
      </c>
      <c r="S115" s="5" t="s">
        <v>61</v>
      </c>
      <c r="T115" s="1">
        <v>6</v>
      </c>
      <c r="U115" s="1">
        <v>94</v>
      </c>
      <c r="V115" s="1">
        <v>42</v>
      </c>
      <c r="AA115">
        <f t="shared" si="21"/>
        <v>113</v>
      </c>
      <c r="AB115">
        <f t="shared" si="20"/>
        <v>0</v>
      </c>
    </row>
    <row r="116" spans="1:28" ht="28.8" x14ac:dyDescent="0.3">
      <c r="A116" s="46">
        <v>101</v>
      </c>
      <c r="B116" s="4"/>
      <c r="C116" s="6" t="s">
        <v>20</v>
      </c>
      <c r="D116" s="5"/>
      <c r="E116" s="5"/>
      <c r="F116" s="5"/>
      <c r="G116" s="5"/>
      <c r="H116" s="5" t="s">
        <v>69</v>
      </c>
      <c r="I116" s="5" t="s">
        <v>73</v>
      </c>
      <c r="J116" s="5" t="s">
        <v>57</v>
      </c>
      <c r="K116" s="5" t="s">
        <v>207</v>
      </c>
      <c r="L116" s="5" t="s">
        <v>63</v>
      </c>
      <c r="M116" s="5" t="s">
        <v>47</v>
      </c>
      <c r="N116" s="5" t="s">
        <v>53</v>
      </c>
      <c r="O116" s="5" t="s">
        <v>59</v>
      </c>
      <c r="P116" s="5" t="s">
        <v>209</v>
      </c>
      <c r="Q116" s="5" t="s">
        <v>60</v>
      </c>
      <c r="R116" s="5" t="s">
        <v>75</v>
      </c>
      <c r="S116" s="5" t="s">
        <v>64</v>
      </c>
      <c r="T116" s="1">
        <v>6</v>
      </c>
      <c r="U116" s="1">
        <v>92</v>
      </c>
      <c r="V116" s="1">
        <v>42</v>
      </c>
      <c r="AA116">
        <f t="shared" si="21"/>
        <v>114</v>
      </c>
      <c r="AB116">
        <f t="shared" si="20"/>
        <v>0</v>
      </c>
    </row>
    <row r="117" spans="1:28" x14ac:dyDescent="0.3">
      <c r="A117" s="46">
        <v>102</v>
      </c>
      <c r="B117" s="4"/>
      <c r="C117" s="6" t="s">
        <v>100</v>
      </c>
      <c r="D117" s="5"/>
      <c r="E117" s="5"/>
      <c r="F117" s="5"/>
      <c r="G117" s="5"/>
      <c r="H117" s="5" t="s">
        <v>65</v>
      </c>
      <c r="I117" s="5" t="s">
        <v>73</v>
      </c>
      <c r="J117" s="5" t="s">
        <v>57</v>
      </c>
      <c r="K117" s="5" t="s">
        <v>207</v>
      </c>
      <c r="L117" s="5" t="s">
        <v>63</v>
      </c>
      <c r="M117" s="5" t="s">
        <v>47</v>
      </c>
      <c r="N117" s="5" t="s">
        <v>53</v>
      </c>
      <c r="O117" s="5" t="s">
        <v>59</v>
      </c>
      <c r="P117" s="5" t="s">
        <v>58</v>
      </c>
      <c r="Q117" s="5" t="s">
        <v>60</v>
      </c>
      <c r="R117" s="5" t="s">
        <v>75</v>
      </c>
      <c r="S117" s="5" t="s">
        <v>64</v>
      </c>
      <c r="T117" s="1">
        <v>6</v>
      </c>
      <c r="U117" s="1">
        <v>98</v>
      </c>
      <c r="V117" s="1">
        <v>41</v>
      </c>
      <c r="AA117">
        <f t="shared" si="21"/>
        <v>115</v>
      </c>
      <c r="AB117">
        <f t="shared" si="20"/>
        <v>0</v>
      </c>
    </row>
    <row r="118" spans="1:28" ht="28.8" x14ac:dyDescent="0.3">
      <c r="A118" s="46">
        <v>103</v>
      </c>
      <c r="B118" s="4"/>
      <c r="C118" s="6" t="s">
        <v>159</v>
      </c>
      <c r="D118" s="5"/>
      <c r="E118" s="5"/>
      <c r="F118" s="5"/>
      <c r="G118" s="5"/>
      <c r="H118" s="5" t="s">
        <v>69</v>
      </c>
      <c r="I118" s="5" t="s">
        <v>67</v>
      </c>
      <c r="J118" s="5" t="s">
        <v>57</v>
      </c>
      <c r="K118" s="5" t="s">
        <v>207</v>
      </c>
      <c r="L118" s="5" t="s">
        <v>63</v>
      </c>
      <c r="M118" s="5" t="s">
        <v>47</v>
      </c>
      <c r="N118" s="5" t="s">
        <v>62</v>
      </c>
      <c r="O118" s="5" t="s">
        <v>68</v>
      </c>
      <c r="P118" s="5" t="s">
        <v>209</v>
      </c>
      <c r="Q118" s="5" t="s">
        <v>60</v>
      </c>
      <c r="R118" s="5" t="s">
        <v>75</v>
      </c>
      <c r="S118" s="5" t="s">
        <v>61</v>
      </c>
      <c r="T118" s="1">
        <v>6</v>
      </c>
      <c r="U118" s="1">
        <v>81</v>
      </c>
      <c r="V118" s="1">
        <v>41</v>
      </c>
      <c r="AA118">
        <f t="shared" si="21"/>
        <v>116</v>
      </c>
      <c r="AB118">
        <f t="shared" si="20"/>
        <v>0</v>
      </c>
    </row>
    <row r="119" spans="1:28" x14ac:dyDescent="0.3">
      <c r="A119" s="46">
        <v>104</v>
      </c>
      <c r="B119" s="4"/>
      <c r="C119" s="6" t="s">
        <v>186</v>
      </c>
      <c r="D119" s="5"/>
      <c r="E119" s="5"/>
      <c r="F119" s="5"/>
      <c r="G119" s="5"/>
      <c r="H119" s="5" t="s">
        <v>69</v>
      </c>
      <c r="I119" s="5" t="s">
        <v>67</v>
      </c>
      <c r="J119" s="5" t="s">
        <v>57</v>
      </c>
      <c r="K119" s="5" t="s">
        <v>207</v>
      </c>
      <c r="L119" s="5" t="s">
        <v>56</v>
      </c>
      <c r="M119" s="5" t="s">
        <v>47</v>
      </c>
      <c r="N119" s="5" t="s">
        <v>53</v>
      </c>
      <c r="O119" s="5" t="s">
        <v>68</v>
      </c>
      <c r="P119" s="5" t="s">
        <v>58</v>
      </c>
      <c r="Q119" s="5" t="s">
        <v>60</v>
      </c>
      <c r="R119" s="5" t="s">
        <v>48</v>
      </c>
      <c r="S119" s="5" t="s">
        <v>61</v>
      </c>
      <c r="T119" s="1">
        <v>6</v>
      </c>
      <c r="U119" s="1">
        <v>92</v>
      </c>
      <c r="V119" s="1">
        <v>41</v>
      </c>
      <c r="AA119">
        <f t="shared" si="21"/>
        <v>117</v>
      </c>
      <c r="AB119">
        <f t="shared" si="20"/>
        <v>0</v>
      </c>
    </row>
    <row r="120" spans="1:28" x14ac:dyDescent="0.3">
      <c r="A120" s="46">
        <v>105</v>
      </c>
      <c r="B120" s="4"/>
      <c r="C120" s="6" t="s">
        <v>16</v>
      </c>
      <c r="D120" s="5"/>
      <c r="E120" s="5"/>
      <c r="F120" s="5"/>
      <c r="G120" s="5"/>
      <c r="H120" s="5" t="s">
        <v>65</v>
      </c>
      <c r="I120" s="5" t="s">
        <v>67</v>
      </c>
      <c r="J120" s="5" t="s">
        <v>57</v>
      </c>
      <c r="K120" s="5" t="s">
        <v>207</v>
      </c>
      <c r="L120" s="5" t="s">
        <v>63</v>
      </c>
      <c r="M120" s="5" t="s">
        <v>47</v>
      </c>
      <c r="N120" s="5" t="s">
        <v>53</v>
      </c>
      <c r="O120" s="5" t="s">
        <v>59</v>
      </c>
      <c r="P120" s="5" t="s">
        <v>58</v>
      </c>
      <c r="Q120" s="5" t="s">
        <v>52</v>
      </c>
      <c r="R120" s="5" t="s">
        <v>75</v>
      </c>
      <c r="S120" s="5" t="s">
        <v>64</v>
      </c>
      <c r="T120" s="1">
        <v>6</v>
      </c>
      <c r="U120" s="1">
        <v>100</v>
      </c>
      <c r="V120" s="1">
        <v>40</v>
      </c>
      <c r="AA120">
        <f t="shared" si="21"/>
        <v>118</v>
      </c>
      <c r="AB120">
        <f t="shared" si="20"/>
        <v>0</v>
      </c>
    </row>
    <row r="121" spans="1:28" x14ac:dyDescent="0.3">
      <c r="A121" s="46">
        <v>106</v>
      </c>
      <c r="B121" s="4"/>
      <c r="C121" s="6" t="s">
        <v>101</v>
      </c>
      <c r="D121" s="5"/>
      <c r="E121" s="5"/>
      <c r="F121" s="5"/>
      <c r="G121" s="5"/>
      <c r="H121" s="5" t="s">
        <v>65</v>
      </c>
      <c r="I121" s="5" t="s">
        <v>73</v>
      </c>
      <c r="J121" s="5" t="s">
        <v>57</v>
      </c>
      <c r="K121" s="5" t="s">
        <v>207</v>
      </c>
      <c r="L121" s="5" t="s">
        <v>56</v>
      </c>
      <c r="M121" s="5" t="s">
        <v>74</v>
      </c>
      <c r="N121" s="5" t="s">
        <v>53</v>
      </c>
      <c r="O121" s="5" t="s">
        <v>68</v>
      </c>
      <c r="P121" s="5" t="s">
        <v>58</v>
      </c>
      <c r="Q121" s="5" t="s">
        <v>60</v>
      </c>
      <c r="R121" s="5" t="s">
        <v>75</v>
      </c>
      <c r="S121" s="5" t="s">
        <v>61</v>
      </c>
      <c r="T121" s="1">
        <v>6</v>
      </c>
      <c r="U121" s="1">
        <v>83</v>
      </c>
      <c r="V121" s="1">
        <v>38</v>
      </c>
    </row>
    <row r="122" spans="1:28" ht="28.8" x14ac:dyDescent="0.3">
      <c r="A122" s="46">
        <v>107</v>
      </c>
      <c r="B122" s="4"/>
      <c r="C122" s="6" t="s">
        <v>34</v>
      </c>
      <c r="D122" s="5"/>
      <c r="E122" s="5"/>
      <c r="F122" s="5"/>
      <c r="G122" s="5"/>
      <c r="H122" s="5" t="s">
        <v>69</v>
      </c>
      <c r="I122" s="5" t="s">
        <v>73</v>
      </c>
      <c r="J122" s="5" t="s">
        <v>57</v>
      </c>
      <c r="K122" s="5" t="s">
        <v>207</v>
      </c>
      <c r="L122" s="5" t="s">
        <v>56</v>
      </c>
      <c r="M122" s="5" t="s">
        <v>47</v>
      </c>
      <c r="N122" s="5" t="s">
        <v>53</v>
      </c>
      <c r="O122" s="5" t="s">
        <v>59</v>
      </c>
      <c r="P122" s="5" t="s">
        <v>209</v>
      </c>
      <c r="Q122" s="5" t="s">
        <v>52</v>
      </c>
      <c r="R122" s="5" t="s">
        <v>75</v>
      </c>
      <c r="S122" s="5" t="s">
        <v>64</v>
      </c>
      <c r="T122" s="1">
        <v>6</v>
      </c>
      <c r="U122" s="1">
        <v>87</v>
      </c>
      <c r="V122" s="1">
        <v>38</v>
      </c>
    </row>
    <row r="123" spans="1:28" ht="28.8" x14ac:dyDescent="0.3">
      <c r="A123" s="46">
        <v>108</v>
      </c>
      <c r="B123" s="4"/>
      <c r="C123" s="6" t="s">
        <v>164</v>
      </c>
      <c r="D123" s="5"/>
      <c r="E123" s="5"/>
      <c r="F123" s="5"/>
      <c r="G123" s="5"/>
      <c r="H123" s="5" t="s">
        <v>65</v>
      </c>
      <c r="I123" s="5" t="s">
        <v>73</v>
      </c>
      <c r="J123" s="5" t="s">
        <v>57</v>
      </c>
      <c r="K123" s="5" t="s">
        <v>207</v>
      </c>
      <c r="L123" s="5" t="s">
        <v>63</v>
      </c>
      <c r="M123" s="5" t="s">
        <v>74</v>
      </c>
      <c r="N123" s="5" t="s">
        <v>53</v>
      </c>
      <c r="O123" s="5" t="s">
        <v>68</v>
      </c>
      <c r="P123" s="5" t="s">
        <v>209</v>
      </c>
      <c r="Q123" s="5" t="s">
        <v>60</v>
      </c>
      <c r="R123" s="5" t="s">
        <v>48</v>
      </c>
      <c r="S123" s="5" t="s">
        <v>64</v>
      </c>
      <c r="T123" s="1">
        <v>6</v>
      </c>
      <c r="U123" s="1">
        <v>91</v>
      </c>
      <c r="V123" s="1">
        <v>38</v>
      </c>
    </row>
    <row r="124" spans="1:28" x14ac:dyDescent="0.3">
      <c r="A124" s="46">
        <v>109</v>
      </c>
      <c r="B124" s="4"/>
      <c r="C124" s="6" t="s">
        <v>189</v>
      </c>
      <c r="D124" s="5"/>
      <c r="E124" s="5"/>
      <c r="F124" s="5"/>
      <c r="G124" s="5"/>
      <c r="H124" s="5" t="s">
        <v>65</v>
      </c>
      <c r="I124" s="5" t="s">
        <v>73</v>
      </c>
      <c r="J124" s="5" t="s">
        <v>51</v>
      </c>
      <c r="K124" s="5" t="s">
        <v>207</v>
      </c>
      <c r="L124" s="5" t="s">
        <v>63</v>
      </c>
      <c r="M124" s="5" t="s">
        <v>74</v>
      </c>
      <c r="N124" s="5" t="s">
        <v>53</v>
      </c>
      <c r="O124" s="5" t="s">
        <v>68</v>
      </c>
      <c r="P124" s="5" t="s">
        <v>209</v>
      </c>
      <c r="Q124" s="5" t="s">
        <v>52</v>
      </c>
      <c r="R124" s="5" t="s">
        <v>48</v>
      </c>
      <c r="S124" s="5" t="s">
        <v>64</v>
      </c>
      <c r="T124" s="1">
        <v>6</v>
      </c>
      <c r="U124" s="1">
        <v>95</v>
      </c>
      <c r="V124" s="1">
        <v>37</v>
      </c>
    </row>
    <row r="125" spans="1:28" x14ac:dyDescent="0.3">
      <c r="A125" s="46">
        <v>110</v>
      </c>
      <c r="B125" s="4"/>
      <c r="C125" s="6" t="s">
        <v>195</v>
      </c>
      <c r="D125" s="5"/>
      <c r="E125" s="5"/>
      <c r="F125" s="5"/>
      <c r="G125" s="5"/>
      <c r="H125" s="5" t="s">
        <v>69</v>
      </c>
      <c r="I125" s="5" t="s">
        <v>67</v>
      </c>
      <c r="J125" s="5" t="s">
        <v>51</v>
      </c>
      <c r="K125" s="5" t="s">
        <v>207</v>
      </c>
      <c r="L125" s="5" t="s">
        <v>56</v>
      </c>
      <c r="M125" s="5" t="s">
        <v>74</v>
      </c>
      <c r="N125" s="5" t="s">
        <v>53</v>
      </c>
      <c r="O125" s="5" t="s">
        <v>68</v>
      </c>
      <c r="P125" s="5" t="s">
        <v>58</v>
      </c>
      <c r="Q125" s="5" t="s">
        <v>52</v>
      </c>
      <c r="R125" s="5" t="s">
        <v>75</v>
      </c>
      <c r="S125" s="5" t="s">
        <v>61</v>
      </c>
      <c r="T125" s="1">
        <v>6</v>
      </c>
      <c r="U125" s="1">
        <v>68</v>
      </c>
      <c r="V125" s="1">
        <v>37</v>
      </c>
    </row>
    <row r="126" spans="1:28" ht="28.8" x14ac:dyDescent="0.3">
      <c r="A126" s="46">
        <v>111</v>
      </c>
      <c r="B126" s="4"/>
      <c r="C126" s="6" t="s">
        <v>6</v>
      </c>
      <c r="D126" s="5"/>
      <c r="E126" s="5"/>
      <c r="F126" s="5"/>
      <c r="G126" s="5"/>
      <c r="H126" s="5" t="s">
        <v>65</v>
      </c>
      <c r="I126" s="5" t="s">
        <v>67</v>
      </c>
      <c r="J126" s="5" t="s">
        <v>57</v>
      </c>
      <c r="K126" s="5" t="s">
        <v>207</v>
      </c>
      <c r="L126" s="5" t="s">
        <v>63</v>
      </c>
      <c r="M126" s="5" t="s">
        <v>47</v>
      </c>
      <c r="N126" s="5" t="s">
        <v>53</v>
      </c>
      <c r="O126" s="5" t="s">
        <v>59</v>
      </c>
      <c r="P126" s="5" t="s">
        <v>58</v>
      </c>
      <c r="Q126" s="5" t="s">
        <v>52</v>
      </c>
      <c r="R126" s="5" t="s">
        <v>75</v>
      </c>
      <c r="S126" s="5" t="s">
        <v>64</v>
      </c>
      <c r="T126" s="1">
        <v>6</v>
      </c>
      <c r="U126" s="1">
        <v>88</v>
      </c>
      <c r="V126" s="1">
        <v>37</v>
      </c>
    </row>
    <row r="127" spans="1:28" x14ac:dyDescent="0.3">
      <c r="A127" s="46">
        <v>112</v>
      </c>
      <c r="B127" s="4"/>
      <c r="C127" s="6" t="s">
        <v>14</v>
      </c>
      <c r="D127" s="5"/>
      <c r="E127" s="5"/>
      <c r="F127" s="5"/>
      <c r="G127" s="5"/>
      <c r="H127" s="5" t="s">
        <v>65</v>
      </c>
      <c r="I127" s="5" t="s">
        <v>73</v>
      </c>
      <c r="J127" s="5" t="s">
        <v>57</v>
      </c>
      <c r="K127" s="5" t="s">
        <v>207</v>
      </c>
      <c r="L127" s="5" t="s">
        <v>56</v>
      </c>
      <c r="M127" s="5" t="s">
        <v>47</v>
      </c>
      <c r="N127" s="5" t="s">
        <v>62</v>
      </c>
      <c r="O127" s="5" t="s">
        <v>59</v>
      </c>
      <c r="P127" s="5" t="s">
        <v>209</v>
      </c>
      <c r="Q127" s="5" t="s">
        <v>60</v>
      </c>
      <c r="R127" s="5" t="s">
        <v>48</v>
      </c>
      <c r="S127" s="5" t="s">
        <v>64</v>
      </c>
      <c r="T127" s="1">
        <v>6</v>
      </c>
      <c r="U127" s="1">
        <v>96</v>
      </c>
      <c r="V127" s="1">
        <v>34</v>
      </c>
    </row>
    <row r="128" spans="1:28" ht="28.8" x14ac:dyDescent="0.3">
      <c r="A128" s="46">
        <v>113</v>
      </c>
      <c r="B128" s="4"/>
      <c r="C128" s="6" t="s">
        <v>124</v>
      </c>
      <c r="D128" s="5"/>
      <c r="E128" s="5"/>
      <c r="F128" s="5"/>
      <c r="G128" s="5"/>
      <c r="H128" s="5" t="s">
        <v>69</v>
      </c>
      <c r="I128" s="5" t="s">
        <v>67</v>
      </c>
      <c r="J128" s="5" t="s">
        <v>57</v>
      </c>
      <c r="K128" s="5" t="s">
        <v>55</v>
      </c>
      <c r="L128" s="5" t="s">
        <v>56</v>
      </c>
      <c r="M128" s="5" t="s">
        <v>74</v>
      </c>
      <c r="N128" s="5" t="s">
        <v>53</v>
      </c>
      <c r="O128" s="5" t="s">
        <v>68</v>
      </c>
      <c r="P128" s="5" t="s">
        <v>209</v>
      </c>
      <c r="Q128" s="5" t="s">
        <v>52</v>
      </c>
      <c r="R128" s="5" t="s">
        <v>48</v>
      </c>
      <c r="S128" s="5" t="s">
        <v>61</v>
      </c>
      <c r="T128" s="1">
        <v>6</v>
      </c>
      <c r="U128" s="1">
        <v>73</v>
      </c>
      <c r="V128" s="1">
        <v>31</v>
      </c>
    </row>
    <row r="129" spans="1:22" ht="28.8" x14ac:dyDescent="0.3">
      <c r="A129" s="46">
        <v>114</v>
      </c>
      <c r="B129" s="4"/>
      <c r="C129" s="6" t="s">
        <v>102</v>
      </c>
      <c r="D129" s="5"/>
      <c r="E129" s="5"/>
      <c r="F129" s="5"/>
      <c r="G129" s="5"/>
      <c r="H129" s="5" t="s">
        <v>69</v>
      </c>
      <c r="I129" s="5" t="s">
        <v>73</v>
      </c>
      <c r="J129" s="5" t="s">
        <v>51</v>
      </c>
      <c r="K129" s="5" t="s">
        <v>207</v>
      </c>
      <c r="L129" s="5" t="s">
        <v>56</v>
      </c>
      <c r="M129" s="5" t="s">
        <v>74</v>
      </c>
      <c r="N129" s="5" t="s">
        <v>53</v>
      </c>
      <c r="O129" s="5" t="s">
        <v>68</v>
      </c>
      <c r="P129" s="5" t="s">
        <v>58</v>
      </c>
      <c r="Q129" s="5" t="s">
        <v>52</v>
      </c>
      <c r="R129" s="5" t="s">
        <v>75</v>
      </c>
      <c r="S129" s="5" t="s">
        <v>64</v>
      </c>
      <c r="T129" s="1">
        <v>6</v>
      </c>
      <c r="U129" s="1">
        <v>86</v>
      </c>
      <c r="V129" s="1">
        <v>27</v>
      </c>
    </row>
    <row r="130" spans="1:22" ht="28.8" x14ac:dyDescent="0.3">
      <c r="A130" s="46">
        <v>115</v>
      </c>
      <c r="B130" s="4"/>
      <c r="C130" s="6" t="s">
        <v>170</v>
      </c>
      <c r="D130" s="5"/>
      <c r="E130" s="5"/>
      <c r="F130" s="5"/>
      <c r="G130" s="5"/>
      <c r="H130" s="5" t="s">
        <v>65</v>
      </c>
      <c r="I130" s="5" t="s">
        <v>67</v>
      </c>
      <c r="J130" s="5" t="s">
        <v>57</v>
      </c>
      <c r="K130" s="5" t="s">
        <v>55</v>
      </c>
      <c r="L130" s="5" t="s">
        <v>63</v>
      </c>
      <c r="M130" s="5" t="s">
        <v>47</v>
      </c>
      <c r="N130" s="5" t="s">
        <v>62</v>
      </c>
      <c r="O130" s="5" t="s">
        <v>59</v>
      </c>
      <c r="P130" s="5" t="s">
        <v>209</v>
      </c>
      <c r="Q130" s="5" t="s">
        <v>60</v>
      </c>
      <c r="R130" s="5" t="s">
        <v>48</v>
      </c>
      <c r="S130" s="5" t="s">
        <v>61</v>
      </c>
      <c r="T130" s="1">
        <v>6</v>
      </c>
      <c r="U130" s="1">
        <v>71</v>
      </c>
      <c r="V130" s="1">
        <v>23</v>
      </c>
    </row>
    <row r="131" spans="1:22" ht="28.8" x14ac:dyDescent="0.3">
      <c r="A131" s="46">
        <v>116</v>
      </c>
      <c r="B131" s="4"/>
      <c r="C131" s="6" t="s">
        <v>134</v>
      </c>
      <c r="D131" s="5"/>
      <c r="E131" s="5"/>
      <c r="F131" s="5"/>
      <c r="G131" s="5"/>
      <c r="H131" s="5" t="s">
        <v>69</v>
      </c>
      <c r="I131" s="5" t="s">
        <v>73</v>
      </c>
      <c r="J131" s="5" t="s">
        <v>51</v>
      </c>
      <c r="K131" s="5" t="s">
        <v>207</v>
      </c>
      <c r="L131" s="5" t="s">
        <v>56</v>
      </c>
      <c r="M131" s="5" t="s">
        <v>74</v>
      </c>
      <c r="N131" s="5" t="s">
        <v>53</v>
      </c>
      <c r="O131" s="5" t="s">
        <v>68</v>
      </c>
      <c r="P131" s="5" t="s">
        <v>58</v>
      </c>
      <c r="Q131" s="5" t="s">
        <v>52</v>
      </c>
      <c r="R131" s="5" t="s">
        <v>75</v>
      </c>
      <c r="S131" s="5" t="s">
        <v>64</v>
      </c>
      <c r="T131" s="1">
        <v>6</v>
      </c>
      <c r="U131" s="1">
        <v>85</v>
      </c>
      <c r="V131" s="1">
        <v>18</v>
      </c>
    </row>
    <row r="132" spans="1:22" x14ac:dyDescent="0.3">
      <c r="A132" s="46">
        <v>117</v>
      </c>
      <c r="B132" s="4"/>
      <c r="C132" s="6" t="s">
        <v>93</v>
      </c>
      <c r="D132" s="5"/>
      <c r="E132" s="5"/>
      <c r="F132" s="5"/>
      <c r="G132" s="5"/>
      <c r="H132" s="5" t="s">
        <v>69</v>
      </c>
      <c r="I132" s="5" t="s">
        <v>73</v>
      </c>
      <c r="J132" s="5" t="s">
        <v>57</v>
      </c>
      <c r="K132" s="5" t="s">
        <v>207</v>
      </c>
      <c r="L132" s="5" t="s">
        <v>56</v>
      </c>
      <c r="M132" s="5" t="s">
        <v>47</v>
      </c>
      <c r="N132" s="5" t="s">
        <v>53</v>
      </c>
      <c r="O132" s="5" t="s">
        <v>59</v>
      </c>
      <c r="P132" s="5" t="s">
        <v>58</v>
      </c>
      <c r="Q132" s="5" t="s">
        <v>52</v>
      </c>
      <c r="R132" s="5" t="s">
        <v>75</v>
      </c>
      <c r="S132" s="5" t="s">
        <v>64</v>
      </c>
      <c r="T132" s="1">
        <v>5</v>
      </c>
      <c r="U132" s="1">
        <v>92</v>
      </c>
      <c r="V132" s="1">
        <v>51</v>
      </c>
    </row>
    <row r="133" spans="1:22" ht="28.8" x14ac:dyDescent="0.3">
      <c r="A133" s="46">
        <v>118</v>
      </c>
      <c r="B133" s="4"/>
      <c r="C133" s="6" t="s">
        <v>184</v>
      </c>
      <c r="D133" s="5"/>
      <c r="E133" s="5"/>
      <c r="F133" s="5"/>
      <c r="G133" s="5"/>
      <c r="H133" s="5" t="s">
        <v>69</v>
      </c>
      <c r="I133" s="5" t="s">
        <v>73</v>
      </c>
      <c r="J133" s="5" t="s">
        <v>51</v>
      </c>
      <c r="K133" s="5" t="s">
        <v>207</v>
      </c>
      <c r="L133" s="5" t="s">
        <v>56</v>
      </c>
      <c r="M133" s="5" t="s">
        <v>74</v>
      </c>
      <c r="N133" s="5" t="s">
        <v>53</v>
      </c>
      <c r="O133" s="5" t="s">
        <v>59</v>
      </c>
      <c r="P133" s="5" t="s">
        <v>209</v>
      </c>
      <c r="Q133" s="5" t="s">
        <v>52</v>
      </c>
      <c r="R133" s="5" t="s">
        <v>48</v>
      </c>
      <c r="S133" s="5" t="s">
        <v>64</v>
      </c>
      <c r="T133" s="1">
        <v>5</v>
      </c>
      <c r="U133" s="1">
        <v>86</v>
      </c>
      <c r="V133" s="1">
        <v>51</v>
      </c>
    </row>
    <row r="134" spans="1:22" ht="28.8" x14ac:dyDescent="0.3">
      <c r="A134" s="46">
        <v>119</v>
      </c>
      <c r="B134" s="4"/>
      <c r="C134" s="6" t="s">
        <v>107</v>
      </c>
      <c r="D134" s="5"/>
      <c r="E134" s="5"/>
      <c r="F134" s="5"/>
      <c r="G134" s="5"/>
      <c r="H134" s="5" t="s">
        <v>65</v>
      </c>
      <c r="I134" s="5" t="s">
        <v>73</v>
      </c>
      <c r="J134" s="5" t="s">
        <v>57</v>
      </c>
      <c r="K134" s="5" t="s">
        <v>207</v>
      </c>
      <c r="L134" s="5" t="s">
        <v>56</v>
      </c>
      <c r="M134" s="5" t="s">
        <v>74</v>
      </c>
      <c r="N134" s="5" t="s">
        <v>53</v>
      </c>
      <c r="O134" s="5" t="s">
        <v>59</v>
      </c>
      <c r="P134" s="5" t="s">
        <v>209</v>
      </c>
      <c r="Q134" s="5" t="s">
        <v>52</v>
      </c>
      <c r="R134" s="5" t="s">
        <v>48</v>
      </c>
      <c r="S134" s="5" t="s">
        <v>64</v>
      </c>
      <c r="T134" s="1">
        <v>5</v>
      </c>
      <c r="U134" s="1">
        <v>91</v>
      </c>
      <c r="V134" s="1">
        <v>48</v>
      </c>
    </row>
    <row r="135" spans="1:22" x14ac:dyDescent="0.3">
      <c r="A135" s="46">
        <v>120</v>
      </c>
      <c r="B135" s="4"/>
      <c r="C135" s="6" t="s">
        <v>109</v>
      </c>
      <c r="D135" s="5"/>
      <c r="E135" s="5"/>
      <c r="F135" s="5"/>
      <c r="G135" s="5"/>
      <c r="H135" s="5" t="s">
        <v>65</v>
      </c>
      <c r="I135" s="5" t="s">
        <v>73</v>
      </c>
      <c r="J135" s="5" t="s">
        <v>57</v>
      </c>
      <c r="K135" s="5" t="s">
        <v>207</v>
      </c>
      <c r="L135" s="5" t="s">
        <v>56</v>
      </c>
      <c r="M135" s="5" t="s">
        <v>74</v>
      </c>
      <c r="N135" s="5" t="s">
        <v>62</v>
      </c>
      <c r="O135" s="5" t="s">
        <v>59</v>
      </c>
      <c r="P135" s="5" t="s">
        <v>209</v>
      </c>
      <c r="Q135" s="5" t="s">
        <v>52</v>
      </c>
      <c r="R135" s="5" t="s">
        <v>75</v>
      </c>
      <c r="S135" s="5" t="s">
        <v>64</v>
      </c>
      <c r="T135" s="1">
        <v>5</v>
      </c>
      <c r="U135" s="1">
        <v>93</v>
      </c>
      <c r="V135" s="1">
        <v>48</v>
      </c>
    </row>
    <row r="136" spans="1:22" ht="28.8" x14ac:dyDescent="0.3">
      <c r="A136" s="46">
        <v>121</v>
      </c>
      <c r="B136" s="4"/>
      <c r="C136" s="6" t="s">
        <v>17</v>
      </c>
      <c r="D136" s="5"/>
      <c r="E136" s="5"/>
      <c r="F136" s="5"/>
      <c r="G136" s="5"/>
      <c r="H136" s="5" t="s">
        <v>69</v>
      </c>
      <c r="I136" s="5" t="s">
        <v>73</v>
      </c>
      <c r="J136" s="5" t="s">
        <v>57</v>
      </c>
      <c r="K136" s="5" t="s">
        <v>207</v>
      </c>
      <c r="L136" s="5" t="s">
        <v>56</v>
      </c>
      <c r="M136" s="5" t="s">
        <v>47</v>
      </c>
      <c r="N136" s="5" t="s">
        <v>53</v>
      </c>
      <c r="O136" s="5" t="s">
        <v>59</v>
      </c>
      <c r="P136" s="5" t="s">
        <v>58</v>
      </c>
      <c r="Q136" s="5" t="s">
        <v>52</v>
      </c>
      <c r="R136" s="5" t="s">
        <v>75</v>
      </c>
      <c r="S136" s="5" t="s">
        <v>64</v>
      </c>
      <c r="T136" s="1">
        <v>5</v>
      </c>
      <c r="U136" s="1">
        <v>95</v>
      </c>
      <c r="V136" s="1">
        <v>48</v>
      </c>
    </row>
    <row r="137" spans="1:22" ht="28.8" x14ac:dyDescent="0.3">
      <c r="A137" s="46">
        <v>122</v>
      </c>
      <c r="B137" s="4"/>
      <c r="C137" s="6" t="s">
        <v>185</v>
      </c>
      <c r="D137" s="5"/>
      <c r="E137" s="5"/>
      <c r="F137" s="5"/>
      <c r="G137" s="5"/>
      <c r="H137" s="5" t="s">
        <v>65</v>
      </c>
      <c r="I137" s="5" t="s">
        <v>73</v>
      </c>
      <c r="J137" s="5" t="s">
        <v>57</v>
      </c>
      <c r="K137" s="5" t="s">
        <v>55</v>
      </c>
      <c r="L137" s="5" t="s">
        <v>63</v>
      </c>
      <c r="M137" s="5" t="s">
        <v>74</v>
      </c>
      <c r="N137" s="5" t="s">
        <v>53</v>
      </c>
      <c r="O137" s="5" t="s">
        <v>59</v>
      </c>
      <c r="P137" s="5" t="s">
        <v>209</v>
      </c>
      <c r="Q137" s="5" t="s">
        <v>52</v>
      </c>
      <c r="R137" s="5" t="s">
        <v>48</v>
      </c>
      <c r="S137" s="5" t="s">
        <v>64</v>
      </c>
      <c r="T137" s="1">
        <v>5</v>
      </c>
      <c r="U137" s="1">
        <v>93</v>
      </c>
      <c r="V137" s="1">
        <v>47</v>
      </c>
    </row>
    <row r="138" spans="1:22" x14ac:dyDescent="0.3">
      <c r="A138" s="46">
        <v>123</v>
      </c>
      <c r="B138" s="4"/>
      <c r="C138" s="6" t="s">
        <v>94</v>
      </c>
      <c r="D138" s="5"/>
      <c r="E138" s="5"/>
      <c r="F138" s="5"/>
      <c r="G138" s="5"/>
      <c r="H138" s="5" t="s">
        <v>65</v>
      </c>
      <c r="I138" s="5" t="s">
        <v>67</v>
      </c>
      <c r="J138" s="5" t="s">
        <v>57</v>
      </c>
      <c r="K138" s="5" t="s">
        <v>207</v>
      </c>
      <c r="L138" s="5" t="s">
        <v>56</v>
      </c>
      <c r="M138" s="5" t="s">
        <v>74</v>
      </c>
      <c r="N138" s="5" t="s">
        <v>53</v>
      </c>
      <c r="O138" s="5" t="s">
        <v>68</v>
      </c>
      <c r="P138" s="5" t="s">
        <v>58</v>
      </c>
      <c r="Q138" s="5" t="s">
        <v>52</v>
      </c>
      <c r="R138" s="5" t="s">
        <v>48</v>
      </c>
      <c r="S138" s="5" t="s">
        <v>61</v>
      </c>
      <c r="T138" s="1">
        <v>5</v>
      </c>
      <c r="U138" s="1">
        <v>102</v>
      </c>
      <c r="V138" s="1">
        <v>46</v>
      </c>
    </row>
    <row r="139" spans="1:22" ht="28.8" x14ac:dyDescent="0.3">
      <c r="A139" s="46">
        <v>124</v>
      </c>
      <c r="B139" s="4"/>
      <c r="C139" s="6" t="s">
        <v>113</v>
      </c>
      <c r="D139" s="5"/>
      <c r="E139" s="5"/>
      <c r="F139" s="5"/>
      <c r="G139" s="5"/>
      <c r="H139" s="5" t="s">
        <v>65</v>
      </c>
      <c r="I139" s="5" t="s">
        <v>73</v>
      </c>
      <c r="J139" s="5" t="s">
        <v>57</v>
      </c>
      <c r="K139" s="5" t="s">
        <v>207</v>
      </c>
      <c r="L139" s="5" t="s">
        <v>63</v>
      </c>
      <c r="M139" s="5" t="s">
        <v>47</v>
      </c>
      <c r="N139" s="5" t="s">
        <v>53</v>
      </c>
      <c r="O139" s="5" t="s">
        <v>59</v>
      </c>
      <c r="P139" s="5" t="s">
        <v>209</v>
      </c>
      <c r="Q139" s="5" t="s">
        <v>60</v>
      </c>
      <c r="R139" s="5" t="s">
        <v>48</v>
      </c>
      <c r="S139" s="5" t="s">
        <v>61</v>
      </c>
      <c r="T139" s="1">
        <v>5</v>
      </c>
      <c r="U139" s="1">
        <v>95</v>
      </c>
      <c r="V139" s="1">
        <v>46</v>
      </c>
    </row>
    <row r="140" spans="1:22" ht="28.8" x14ac:dyDescent="0.3">
      <c r="A140" s="46">
        <v>125</v>
      </c>
      <c r="B140" s="4"/>
      <c r="C140" s="6" t="s">
        <v>176</v>
      </c>
      <c r="D140" s="5"/>
      <c r="E140" s="5"/>
      <c r="F140" s="5"/>
      <c r="G140" s="5"/>
      <c r="H140" s="5" t="s">
        <v>65</v>
      </c>
      <c r="I140" s="5" t="s">
        <v>67</v>
      </c>
      <c r="J140" s="5" t="s">
        <v>51</v>
      </c>
      <c r="K140" s="5" t="s">
        <v>207</v>
      </c>
      <c r="L140" s="5" t="s">
        <v>63</v>
      </c>
      <c r="M140" s="5" t="s">
        <v>47</v>
      </c>
      <c r="N140" s="5" t="s">
        <v>53</v>
      </c>
      <c r="O140" s="5" t="s">
        <v>59</v>
      </c>
      <c r="P140" s="5" t="s">
        <v>58</v>
      </c>
      <c r="Q140" s="5" t="s">
        <v>52</v>
      </c>
      <c r="R140" s="5" t="s">
        <v>48</v>
      </c>
      <c r="S140" s="5" t="s">
        <v>61</v>
      </c>
      <c r="T140" s="1">
        <v>5</v>
      </c>
      <c r="U140" s="1">
        <v>94</v>
      </c>
      <c r="V140" s="1">
        <v>45</v>
      </c>
    </row>
    <row r="141" spans="1:22" ht="28.8" x14ac:dyDescent="0.3">
      <c r="A141" s="46">
        <v>126</v>
      </c>
      <c r="B141" s="4"/>
      <c r="C141" s="6" t="s">
        <v>143</v>
      </c>
      <c r="D141" s="5"/>
      <c r="E141" s="5"/>
      <c r="F141" s="5"/>
      <c r="G141" s="5"/>
      <c r="H141" s="5" t="s">
        <v>65</v>
      </c>
      <c r="I141" s="5" t="s">
        <v>67</v>
      </c>
      <c r="J141" s="5" t="s">
        <v>57</v>
      </c>
      <c r="K141" s="5" t="s">
        <v>207</v>
      </c>
      <c r="L141" s="5" t="s">
        <v>63</v>
      </c>
      <c r="M141" s="5" t="s">
        <v>47</v>
      </c>
      <c r="N141" s="5" t="s">
        <v>53</v>
      </c>
      <c r="O141" s="5" t="s">
        <v>59</v>
      </c>
      <c r="P141" s="5" t="s">
        <v>209</v>
      </c>
      <c r="Q141" s="5" t="s">
        <v>52</v>
      </c>
      <c r="R141" s="5" t="s">
        <v>48</v>
      </c>
      <c r="S141" s="5" t="s">
        <v>61</v>
      </c>
      <c r="T141" s="1">
        <v>5</v>
      </c>
      <c r="U141" s="1">
        <v>90</v>
      </c>
      <c r="V141" s="1">
        <v>44</v>
      </c>
    </row>
    <row r="142" spans="1:22" ht="28.8" x14ac:dyDescent="0.3">
      <c r="A142" s="46">
        <v>127</v>
      </c>
      <c r="B142" s="4"/>
      <c r="C142" s="6" t="s">
        <v>140</v>
      </c>
      <c r="D142" s="5"/>
      <c r="E142" s="5"/>
      <c r="F142" s="5"/>
      <c r="G142" s="5"/>
      <c r="H142" s="5" t="s">
        <v>69</v>
      </c>
      <c r="I142" s="5" t="s">
        <v>67</v>
      </c>
      <c r="J142" s="5" t="s">
        <v>51</v>
      </c>
      <c r="K142" s="5" t="s">
        <v>55</v>
      </c>
      <c r="L142" s="5" t="s">
        <v>63</v>
      </c>
      <c r="M142" s="5" t="s">
        <v>47</v>
      </c>
      <c r="N142" s="5" t="s">
        <v>62</v>
      </c>
      <c r="O142" s="5" t="s">
        <v>59</v>
      </c>
      <c r="P142" s="5" t="s">
        <v>209</v>
      </c>
      <c r="Q142" s="5" t="s">
        <v>52</v>
      </c>
      <c r="R142" s="5" t="s">
        <v>48</v>
      </c>
      <c r="S142" s="5" t="s">
        <v>61</v>
      </c>
      <c r="T142" s="1">
        <v>5</v>
      </c>
      <c r="U142" s="1">
        <v>91</v>
      </c>
      <c r="V142" s="1">
        <v>44</v>
      </c>
    </row>
    <row r="143" spans="1:22" x14ac:dyDescent="0.3">
      <c r="A143" s="46">
        <v>128</v>
      </c>
      <c r="B143" s="4"/>
      <c r="C143" s="6" t="s">
        <v>19</v>
      </c>
      <c r="D143" s="5"/>
      <c r="E143" s="5"/>
      <c r="F143" s="5"/>
      <c r="G143" s="5"/>
      <c r="H143" s="5" t="s">
        <v>65</v>
      </c>
      <c r="I143" s="5" t="s">
        <v>73</v>
      </c>
      <c r="J143" s="5" t="s">
        <v>57</v>
      </c>
      <c r="K143" s="5" t="s">
        <v>207</v>
      </c>
      <c r="L143" s="5" t="s">
        <v>63</v>
      </c>
      <c r="M143" s="5" t="s">
        <v>47</v>
      </c>
      <c r="N143" s="5" t="s">
        <v>53</v>
      </c>
      <c r="O143" s="5" t="s">
        <v>59</v>
      </c>
      <c r="P143" s="5" t="s">
        <v>58</v>
      </c>
      <c r="Q143" s="5" t="s">
        <v>52</v>
      </c>
      <c r="R143" s="5" t="s">
        <v>75</v>
      </c>
      <c r="S143" s="5" t="s">
        <v>64</v>
      </c>
      <c r="T143" s="1">
        <v>5</v>
      </c>
      <c r="U143" s="1">
        <v>99</v>
      </c>
      <c r="V143" s="1">
        <v>42</v>
      </c>
    </row>
    <row r="144" spans="1:22" x14ac:dyDescent="0.3">
      <c r="A144" s="46">
        <v>129</v>
      </c>
      <c r="B144" s="4"/>
      <c r="C144" s="6" t="s">
        <v>44</v>
      </c>
      <c r="D144" s="5"/>
      <c r="E144" s="5"/>
      <c r="F144" s="5"/>
      <c r="G144" s="5"/>
      <c r="H144" s="5" t="s">
        <v>65</v>
      </c>
      <c r="I144" s="5" t="s">
        <v>67</v>
      </c>
      <c r="J144" s="5" t="s">
        <v>57</v>
      </c>
      <c r="K144" s="5" t="s">
        <v>207</v>
      </c>
      <c r="L144" s="5" t="s">
        <v>63</v>
      </c>
      <c r="M144" s="5" t="s">
        <v>47</v>
      </c>
      <c r="N144" s="5" t="s">
        <v>62</v>
      </c>
      <c r="O144" s="5" t="s">
        <v>59</v>
      </c>
      <c r="P144" s="5" t="s">
        <v>209</v>
      </c>
      <c r="Q144" s="5" t="s">
        <v>52</v>
      </c>
      <c r="R144" s="5" t="s">
        <v>75</v>
      </c>
      <c r="S144" s="5" t="s">
        <v>61</v>
      </c>
      <c r="T144" s="1">
        <v>5</v>
      </c>
      <c r="U144" s="1">
        <v>99</v>
      </c>
      <c r="V144" s="1">
        <v>42</v>
      </c>
    </row>
    <row r="145" spans="1:22" ht="28.8" x14ac:dyDescent="0.3">
      <c r="A145" s="46">
        <v>130</v>
      </c>
      <c r="B145" s="4"/>
      <c r="C145" s="6" t="s">
        <v>112</v>
      </c>
      <c r="D145" s="5"/>
      <c r="E145" s="5"/>
      <c r="F145" s="5"/>
      <c r="G145" s="5"/>
      <c r="H145" s="5" t="s">
        <v>69</v>
      </c>
      <c r="I145" s="5" t="s">
        <v>67</v>
      </c>
      <c r="J145" s="5" t="s">
        <v>57</v>
      </c>
      <c r="K145" s="5" t="s">
        <v>207</v>
      </c>
      <c r="L145" s="5" t="s">
        <v>63</v>
      </c>
      <c r="M145" s="5" t="s">
        <v>47</v>
      </c>
      <c r="N145" s="5" t="s">
        <v>53</v>
      </c>
      <c r="O145" s="5" t="s">
        <v>59</v>
      </c>
      <c r="P145" s="5" t="s">
        <v>58</v>
      </c>
      <c r="Q145" s="5" t="s">
        <v>60</v>
      </c>
      <c r="R145" s="5" t="s">
        <v>48</v>
      </c>
      <c r="S145" s="5" t="s">
        <v>64</v>
      </c>
      <c r="T145" s="1">
        <v>5</v>
      </c>
      <c r="U145" s="1">
        <v>104</v>
      </c>
      <c r="V145" s="1">
        <v>42</v>
      </c>
    </row>
    <row r="146" spans="1:22" x14ac:dyDescent="0.3">
      <c r="A146" s="46">
        <v>131</v>
      </c>
      <c r="B146" s="4"/>
      <c r="C146" s="6" t="s">
        <v>151</v>
      </c>
      <c r="D146" s="5"/>
      <c r="E146" s="5"/>
      <c r="F146" s="5"/>
      <c r="G146" s="5"/>
      <c r="H146" s="5" t="s">
        <v>69</v>
      </c>
      <c r="I146" s="5" t="s">
        <v>73</v>
      </c>
      <c r="J146" s="5" t="s">
        <v>51</v>
      </c>
      <c r="K146" s="5" t="s">
        <v>55</v>
      </c>
      <c r="L146" s="5" t="s">
        <v>63</v>
      </c>
      <c r="M146" s="5" t="s">
        <v>74</v>
      </c>
      <c r="N146" s="5" t="s">
        <v>53</v>
      </c>
      <c r="O146" s="5" t="s">
        <v>59</v>
      </c>
      <c r="P146" s="5" t="s">
        <v>209</v>
      </c>
      <c r="Q146" s="5" t="s">
        <v>52</v>
      </c>
      <c r="R146" s="5" t="s">
        <v>48</v>
      </c>
      <c r="S146" s="5" t="s">
        <v>64</v>
      </c>
      <c r="T146" s="1">
        <v>5</v>
      </c>
      <c r="U146" s="1">
        <v>89</v>
      </c>
      <c r="V146" s="1">
        <v>42</v>
      </c>
    </row>
    <row r="147" spans="1:22" ht="28.8" x14ac:dyDescent="0.3">
      <c r="A147" s="46">
        <v>132</v>
      </c>
      <c r="B147" s="4"/>
      <c r="C147" s="6" t="s">
        <v>104</v>
      </c>
      <c r="D147" s="5"/>
      <c r="E147" s="5"/>
      <c r="F147" s="5"/>
      <c r="G147" s="5"/>
      <c r="H147" s="5" t="s">
        <v>69</v>
      </c>
      <c r="I147" s="5" t="s">
        <v>73</v>
      </c>
      <c r="J147" s="5" t="s">
        <v>51</v>
      </c>
      <c r="K147" s="5" t="s">
        <v>207</v>
      </c>
      <c r="L147" s="5" t="s">
        <v>63</v>
      </c>
      <c r="M147" s="5" t="s">
        <v>74</v>
      </c>
      <c r="N147" s="5" t="s">
        <v>62</v>
      </c>
      <c r="O147" s="5" t="s">
        <v>68</v>
      </c>
      <c r="P147" s="5" t="s">
        <v>209</v>
      </c>
      <c r="Q147" s="5" t="s">
        <v>52</v>
      </c>
      <c r="R147" s="5" t="s">
        <v>75</v>
      </c>
      <c r="S147" s="5" t="s">
        <v>64</v>
      </c>
      <c r="T147" s="1">
        <v>5</v>
      </c>
      <c r="U147" s="1">
        <v>90</v>
      </c>
      <c r="V147" s="1">
        <v>42</v>
      </c>
    </row>
    <row r="148" spans="1:22" x14ac:dyDescent="0.3">
      <c r="A148" s="46">
        <v>133</v>
      </c>
      <c r="B148" s="4"/>
      <c r="C148" s="6" t="s">
        <v>95</v>
      </c>
      <c r="D148" s="5"/>
      <c r="E148" s="5"/>
      <c r="F148" s="5"/>
      <c r="G148" s="5"/>
      <c r="H148" s="5" t="s">
        <v>69</v>
      </c>
      <c r="I148" s="5" t="s">
        <v>67</v>
      </c>
      <c r="J148" s="5" t="s">
        <v>57</v>
      </c>
      <c r="K148" s="5" t="s">
        <v>207</v>
      </c>
      <c r="L148" s="5" t="s">
        <v>63</v>
      </c>
      <c r="M148" s="5" t="s">
        <v>74</v>
      </c>
      <c r="N148" s="5" t="s">
        <v>53</v>
      </c>
      <c r="O148" s="5" t="s">
        <v>59</v>
      </c>
      <c r="P148" s="5" t="s">
        <v>209</v>
      </c>
      <c r="Q148" s="5" t="s">
        <v>52</v>
      </c>
      <c r="R148" s="5" t="s">
        <v>75</v>
      </c>
      <c r="S148" s="5" t="s">
        <v>64</v>
      </c>
      <c r="T148" s="1">
        <v>5</v>
      </c>
      <c r="U148" s="1">
        <v>95</v>
      </c>
      <c r="V148" s="1">
        <v>41</v>
      </c>
    </row>
    <row r="149" spans="1:22" x14ac:dyDescent="0.3">
      <c r="A149" s="46">
        <v>134</v>
      </c>
      <c r="B149" s="4"/>
      <c r="C149" s="6" t="s">
        <v>18</v>
      </c>
      <c r="D149" s="5"/>
      <c r="E149" s="5"/>
      <c r="F149" s="5"/>
      <c r="G149" s="5"/>
      <c r="H149" s="5" t="s">
        <v>69</v>
      </c>
      <c r="I149" s="5" t="s">
        <v>67</v>
      </c>
      <c r="J149" s="5" t="s">
        <v>57</v>
      </c>
      <c r="K149" s="5" t="s">
        <v>207</v>
      </c>
      <c r="L149" s="5" t="s">
        <v>56</v>
      </c>
      <c r="M149" s="5" t="s">
        <v>47</v>
      </c>
      <c r="N149" s="5" t="s">
        <v>53</v>
      </c>
      <c r="O149" s="5" t="s">
        <v>59</v>
      </c>
      <c r="P149" s="5" t="s">
        <v>58</v>
      </c>
      <c r="Q149" s="5" t="s">
        <v>52</v>
      </c>
      <c r="R149" s="5" t="s">
        <v>75</v>
      </c>
      <c r="S149" s="5" t="s">
        <v>61</v>
      </c>
      <c r="T149" s="1">
        <v>5</v>
      </c>
      <c r="U149" s="1">
        <v>79</v>
      </c>
      <c r="V149" s="1">
        <v>40</v>
      </c>
    </row>
    <row r="150" spans="1:22" ht="28.8" x14ac:dyDescent="0.3">
      <c r="A150" s="46">
        <v>135</v>
      </c>
      <c r="B150" s="4"/>
      <c r="C150" s="6" t="s">
        <v>116</v>
      </c>
      <c r="D150" s="5"/>
      <c r="E150" s="5"/>
      <c r="F150" s="5"/>
      <c r="G150" s="5"/>
      <c r="H150" s="5" t="s">
        <v>65</v>
      </c>
      <c r="I150" s="5" t="s">
        <v>67</v>
      </c>
      <c r="J150" s="5" t="s">
        <v>51</v>
      </c>
      <c r="K150" s="5" t="s">
        <v>207</v>
      </c>
      <c r="L150" s="5" t="s">
        <v>63</v>
      </c>
      <c r="M150" s="5" t="s">
        <v>47</v>
      </c>
      <c r="N150" s="5" t="s">
        <v>62</v>
      </c>
      <c r="O150" s="5" t="s">
        <v>59</v>
      </c>
      <c r="P150" s="5" t="s">
        <v>209</v>
      </c>
      <c r="Q150" s="5" t="s">
        <v>52</v>
      </c>
      <c r="R150" s="5" t="s">
        <v>48</v>
      </c>
      <c r="S150" s="5" t="s">
        <v>61</v>
      </c>
      <c r="T150" s="1">
        <v>5</v>
      </c>
      <c r="U150" s="1">
        <v>95</v>
      </c>
      <c r="V150" s="1">
        <v>40</v>
      </c>
    </row>
    <row r="151" spans="1:22" ht="28.8" x14ac:dyDescent="0.3">
      <c r="A151" s="46">
        <v>136</v>
      </c>
      <c r="B151" s="4"/>
      <c r="C151" s="6" t="s">
        <v>133</v>
      </c>
      <c r="D151" s="5"/>
      <c r="E151" s="5"/>
      <c r="F151" s="5"/>
      <c r="G151" s="5"/>
      <c r="H151" s="5" t="s">
        <v>69</v>
      </c>
      <c r="I151" s="5" t="s">
        <v>67</v>
      </c>
      <c r="J151" s="5" t="s">
        <v>57</v>
      </c>
      <c r="K151" s="5" t="s">
        <v>55</v>
      </c>
      <c r="L151" s="5" t="s">
        <v>63</v>
      </c>
      <c r="M151" s="5" t="s">
        <v>74</v>
      </c>
      <c r="N151" s="5" t="s">
        <v>62</v>
      </c>
      <c r="O151" s="5" t="s">
        <v>59</v>
      </c>
      <c r="P151" s="5" t="s">
        <v>209</v>
      </c>
      <c r="Q151" s="5" t="s">
        <v>52</v>
      </c>
      <c r="R151" s="5" t="s">
        <v>75</v>
      </c>
      <c r="S151" s="5" t="s">
        <v>64</v>
      </c>
      <c r="T151" s="1">
        <v>5</v>
      </c>
      <c r="U151" s="1">
        <v>85</v>
      </c>
      <c r="V151" s="1">
        <v>38</v>
      </c>
    </row>
    <row r="152" spans="1:22" ht="28.8" x14ac:dyDescent="0.3">
      <c r="A152" s="46">
        <v>137</v>
      </c>
      <c r="B152" s="4"/>
      <c r="C152" s="6" t="s">
        <v>22</v>
      </c>
      <c r="D152" s="5"/>
      <c r="E152" s="5"/>
      <c r="F152" s="5"/>
      <c r="G152" s="5"/>
      <c r="H152" s="5" t="s">
        <v>69</v>
      </c>
      <c r="I152" s="5" t="s">
        <v>67</v>
      </c>
      <c r="J152" s="5" t="s">
        <v>57</v>
      </c>
      <c r="K152" s="5" t="s">
        <v>55</v>
      </c>
      <c r="L152" s="5" t="s">
        <v>63</v>
      </c>
      <c r="M152" s="5" t="s">
        <v>47</v>
      </c>
      <c r="N152" s="5" t="s">
        <v>53</v>
      </c>
      <c r="O152" s="5" t="s">
        <v>59</v>
      </c>
      <c r="P152" s="5" t="s">
        <v>209</v>
      </c>
      <c r="Q152" s="5" t="s">
        <v>52</v>
      </c>
      <c r="R152" s="5" t="s">
        <v>48</v>
      </c>
      <c r="S152" s="5" t="s">
        <v>61</v>
      </c>
      <c r="T152" s="1">
        <v>5</v>
      </c>
      <c r="U152" s="1">
        <v>97</v>
      </c>
      <c r="V152" s="1">
        <v>37</v>
      </c>
    </row>
    <row r="153" spans="1:22" x14ac:dyDescent="0.3">
      <c r="A153" s="46">
        <v>138</v>
      </c>
      <c r="B153" s="4"/>
      <c r="C153" s="6" t="s">
        <v>11</v>
      </c>
      <c r="D153" s="5"/>
      <c r="E153" s="5"/>
      <c r="F153" s="5"/>
      <c r="G153" s="5"/>
      <c r="H153" s="5" t="s">
        <v>65</v>
      </c>
      <c r="I153" s="5" t="s">
        <v>73</v>
      </c>
      <c r="J153" s="5" t="s">
        <v>57</v>
      </c>
      <c r="K153" s="5" t="s">
        <v>55</v>
      </c>
      <c r="L153" s="5" t="s">
        <v>63</v>
      </c>
      <c r="M153" s="5" t="s">
        <v>47</v>
      </c>
      <c r="N153" s="5" t="s">
        <v>53</v>
      </c>
      <c r="O153" s="5" t="s">
        <v>59</v>
      </c>
      <c r="P153" s="5" t="s">
        <v>58</v>
      </c>
      <c r="Q153" s="5" t="s">
        <v>60</v>
      </c>
      <c r="R153" s="5" t="s">
        <v>48</v>
      </c>
      <c r="S153" s="5" t="s">
        <v>61</v>
      </c>
      <c r="T153" s="1">
        <v>5</v>
      </c>
      <c r="U153" s="1">
        <v>88</v>
      </c>
      <c r="V153" s="1">
        <v>35</v>
      </c>
    </row>
    <row r="154" spans="1:22" ht="28.8" x14ac:dyDescent="0.3">
      <c r="A154" s="46">
        <v>139</v>
      </c>
      <c r="B154" s="4"/>
      <c r="C154" s="6" t="s">
        <v>8</v>
      </c>
      <c r="D154" s="5"/>
      <c r="E154" s="5"/>
      <c r="F154" s="5"/>
      <c r="G154" s="5"/>
      <c r="H154" s="5" t="s">
        <v>69</v>
      </c>
      <c r="I154" s="5" t="s">
        <v>67</v>
      </c>
      <c r="J154" s="5" t="s">
        <v>57</v>
      </c>
      <c r="K154" s="5" t="s">
        <v>207</v>
      </c>
      <c r="L154" s="5" t="s">
        <v>63</v>
      </c>
      <c r="M154" s="5" t="s">
        <v>47</v>
      </c>
      <c r="N154" s="5" t="s">
        <v>53</v>
      </c>
      <c r="O154" s="5" t="s">
        <v>59</v>
      </c>
      <c r="P154" s="5" t="s">
        <v>58</v>
      </c>
      <c r="Q154" s="5" t="s">
        <v>52</v>
      </c>
      <c r="R154" s="5" t="s">
        <v>75</v>
      </c>
      <c r="S154" s="5" t="s">
        <v>64</v>
      </c>
      <c r="T154" s="1">
        <v>5</v>
      </c>
      <c r="U154" s="1">
        <v>95</v>
      </c>
      <c r="V154" s="1">
        <v>34</v>
      </c>
    </row>
    <row r="155" spans="1:22" ht="28.8" x14ac:dyDescent="0.3">
      <c r="A155" s="46">
        <v>140</v>
      </c>
      <c r="B155" s="4"/>
      <c r="C155" s="6" t="s">
        <v>137</v>
      </c>
      <c r="D155" s="5"/>
      <c r="E155" s="5"/>
      <c r="F155" s="5"/>
      <c r="G155" s="5"/>
      <c r="H155" s="5" t="s">
        <v>69</v>
      </c>
      <c r="I155" s="5" t="s">
        <v>67</v>
      </c>
      <c r="J155" s="5" t="s">
        <v>57</v>
      </c>
      <c r="K155" s="5" t="s">
        <v>207</v>
      </c>
      <c r="L155" s="5" t="s">
        <v>63</v>
      </c>
      <c r="M155" s="5" t="s">
        <v>47</v>
      </c>
      <c r="N155" s="5" t="s">
        <v>53</v>
      </c>
      <c r="O155" s="5" t="s">
        <v>59</v>
      </c>
      <c r="P155" s="5" t="s">
        <v>58</v>
      </c>
      <c r="Q155" s="5" t="s">
        <v>60</v>
      </c>
      <c r="R155" s="5" t="s">
        <v>48</v>
      </c>
      <c r="S155" s="5" t="s">
        <v>61</v>
      </c>
      <c r="T155" s="1">
        <v>4</v>
      </c>
      <c r="U155" s="1">
        <v>87</v>
      </c>
      <c r="V155" s="1">
        <v>52</v>
      </c>
    </row>
    <row r="156" spans="1:22" x14ac:dyDescent="0.3">
      <c r="A156" s="46">
        <v>141</v>
      </c>
      <c r="B156" s="4"/>
      <c r="C156" s="6" t="s">
        <v>40</v>
      </c>
      <c r="D156" s="5"/>
      <c r="E156" s="5"/>
      <c r="F156" s="5"/>
      <c r="G156" s="5"/>
      <c r="H156" s="5" t="s">
        <v>65</v>
      </c>
      <c r="I156" s="5" t="s">
        <v>73</v>
      </c>
      <c r="J156" s="5" t="s">
        <v>57</v>
      </c>
      <c r="K156" s="5" t="s">
        <v>207</v>
      </c>
      <c r="L156" s="5" t="s">
        <v>56</v>
      </c>
      <c r="M156" s="5" t="s">
        <v>74</v>
      </c>
      <c r="N156" s="5" t="s">
        <v>53</v>
      </c>
      <c r="O156" s="5" t="s">
        <v>59</v>
      </c>
      <c r="P156" s="5" t="s">
        <v>58</v>
      </c>
      <c r="Q156" s="5" t="s">
        <v>52</v>
      </c>
      <c r="R156" s="5" t="s">
        <v>48</v>
      </c>
      <c r="S156" s="5" t="s">
        <v>64</v>
      </c>
      <c r="T156" s="1">
        <v>4</v>
      </c>
      <c r="U156" s="1">
        <v>92</v>
      </c>
      <c r="V156" s="1">
        <v>47</v>
      </c>
    </row>
    <row r="157" spans="1:22" x14ac:dyDescent="0.3">
      <c r="A157" s="46">
        <v>142</v>
      </c>
      <c r="B157" s="4"/>
      <c r="C157" s="6" t="s">
        <v>181</v>
      </c>
      <c r="D157" s="5"/>
      <c r="E157" s="5"/>
      <c r="F157" s="5"/>
      <c r="G157" s="5"/>
      <c r="H157" s="5" t="s">
        <v>69</v>
      </c>
      <c r="I157" s="5" t="s">
        <v>67</v>
      </c>
      <c r="J157" s="5" t="s">
        <v>57</v>
      </c>
      <c r="K157" s="5" t="s">
        <v>207</v>
      </c>
      <c r="L157" s="5" t="s">
        <v>63</v>
      </c>
      <c r="M157" s="5" t="s">
        <v>47</v>
      </c>
      <c r="N157" s="5" t="s">
        <v>53</v>
      </c>
      <c r="O157" s="5" t="s">
        <v>59</v>
      </c>
      <c r="P157" s="5" t="s">
        <v>58</v>
      </c>
      <c r="Q157" s="5" t="s">
        <v>52</v>
      </c>
      <c r="R157" s="5" t="s">
        <v>75</v>
      </c>
      <c r="S157" s="5" t="s">
        <v>61</v>
      </c>
      <c r="T157" s="1">
        <v>4</v>
      </c>
      <c r="U157" s="1">
        <v>90</v>
      </c>
      <c r="V157" s="1">
        <v>45</v>
      </c>
    </row>
    <row r="158" spans="1:22" x14ac:dyDescent="0.3">
      <c r="A158" s="46">
        <v>143</v>
      </c>
      <c r="B158" s="4"/>
      <c r="C158" s="6" t="s">
        <v>91</v>
      </c>
      <c r="D158" s="5"/>
      <c r="E158" s="5"/>
      <c r="F158" s="5"/>
      <c r="G158" s="5"/>
      <c r="H158" s="5" t="s">
        <v>69</v>
      </c>
      <c r="I158" s="5" t="s">
        <v>73</v>
      </c>
      <c r="J158" s="5" t="s">
        <v>51</v>
      </c>
      <c r="K158" s="5" t="s">
        <v>207</v>
      </c>
      <c r="L158" s="5" t="s">
        <v>56</v>
      </c>
      <c r="M158" s="5" t="s">
        <v>74</v>
      </c>
      <c r="N158" s="5" t="s">
        <v>53</v>
      </c>
      <c r="O158" s="5" t="s">
        <v>59</v>
      </c>
      <c r="P158" s="5" t="s">
        <v>58</v>
      </c>
      <c r="Q158" s="5" t="s">
        <v>52</v>
      </c>
      <c r="R158" s="5" t="s">
        <v>48</v>
      </c>
      <c r="S158" s="5" t="s">
        <v>64</v>
      </c>
      <c r="T158" s="1">
        <v>4</v>
      </c>
      <c r="U158" s="1">
        <v>76</v>
      </c>
      <c r="V158" s="1">
        <v>44</v>
      </c>
    </row>
    <row r="159" spans="1:22" x14ac:dyDescent="0.3">
      <c r="A159" s="46">
        <v>144</v>
      </c>
      <c r="B159" s="4"/>
      <c r="C159" s="6" t="s">
        <v>183</v>
      </c>
      <c r="D159" s="5"/>
      <c r="E159" s="5"/>
      <c r="F159" s="5"/>
      <c r="G159" s="5"/>
      <c r="H159" s="5" t="s">
        <v>69</v>
      </c>
      <c r="I159" s="5" t="s">
        <v>73</v>
      </c>
      <c r="J159" s="5" t="s">
        <v>51</v>
      </c>
      <c r="K159" s="5" t="s">
        <v>55</v>
      </c>
      <c r="L159" s="5" t="s">
        <v>63</v>
      </c>
      <c r="M159" s="5" t="s">
        <v>74</v>
      </c>
      <c r="N159" s="5" t="s">
        <v>62</v>
      </c>
      <c r="O159" s="5" t="s">
        <v>59</v>
      </c>
      <c r="P159" s="5" t="s">
        <v>58</v>
      </c>
      <c r="Q159" s="5" t="s">
        <v>52</v>
      </c>
      <c r="R159" s="5" t="s">
        <v>75</v>
      </c>
      <c r="S159" s="5" t="s">
        <v>64</v>
      </c>
      <c r="T159" s="1">
        <v>4</v>
      </c>
      <c r="U159" s="1">
        <v>88</v>
      </c>
      <c r="V159" s="1">
        <v>42</v>
      </c>
    </row>
    <row r="160" spans="1:22" x14ac:dyDescent="0.3">
      <c r="A160" s="46">
        <v>145</v>
      </c>
      <c r="B160" s="4"/>
      <c r="C160" s="6" t="s">
        <v>23</v>
      </c>
      <c r="D160" s="5"/>
      <c r="E160" s="5"/>
      <c r="F160" s="5"/>
      <c r="G160" s="5"/>
      <c r="H160" s="5" t="s">
        <v>69</v>
      </c>
      <c r="I160" s="5" t="s">
        <v>73</v>
      </c>
      <c r="J160" s="5" t="s">
        <v>57</v>
      </c>
      <c r="K160" s="5" t="s">
        <v>207</v>
      </c>
      <c r="L160" s="5" t="s">
        <v>63</v>
      </c>
      <c r="M160" s="5" t="s">
        <v>74</v>
      </c>
      <c r="N160" s="5" t="s">
        <v>53</v>
      </c>
      <c r="O160" s="5" t="s">
        <v>59</v>
      </c>
      <c r="P160" s="5" t="s">
        <v>209</v>
      </c>
      <c r="Q160" s="5" t="s">
        <v>60</v>
      </c>
      <c r="R160" s="5" t="s">
        <v>48</v>
      </c>
      <c r="S160" s="5" t="s">
        <v>64</v>
      </c>
      <c r="T160" s="1">
        <v>4</v>
      </c>
      <c r="U160" s="1">
        <v>91</v>
      </c>
      <c r="V160" s="1">
        <v>41</v>
      </c>
    </row>
    <row r="161" spans="1:22" ht="28.8" x14ac:dyDescent="0.3">
      <c r="A161" s="46">
        <v>146</v>
      </c>
      <c r="B161" s="4"/>
      <c r="C161" s="6" t="s">
        <v>158</v>
      </c>
      <c r="D161" s="5"/>
      <c r="E161" s="5"/>
      <c r="F161" s="5"/>
      <c r="G161" s="5"/>
      <c r="H161" s="5" t="s">
        <v>65</v>
      </c>
      <c r="I161" s="5" t="s">
        <v>73</v>
      </c>
      <c r="J161" s="5" t="s">
        <v>57</v>
      </c>
      <c r="K161" s="5" t="s">
        <v>207</v>
      </c>
      <c r="L161" s="5" t="s">
        <v>63</v>
      </c>
      <c r="M161" s="5" t="s">
        <v>74</v>
      </c>
      <c r="N161" s="5" t="s">
        <v>62</v>
      </c>
      <c r="O161" s="5" t="s">
        <v>59</v>
      </c>
      <c r="P161" s="5" t="s">
        <v>209</v>
      </c>
      <c r="Q161" s="5" t="s">
        <v>60</v>
      </c>
      <c r="R161" s="5" t="s">
        <v>75</v>
      </c>
      <c r="S161" s="5" t="s">
        <v>61</v>
      </c>
      <c r="T161" s="1">
        <v>4</v>
      </c>
      <c r="U161" s="1">
        <v>83</v>
      </c>
      <c r="V161" s="1">
        <v>41</v>
      </c>
    </row>
    <row r="162" spans="1:22" ht="28.8" x14ac:dyDescent="0.3">
      <c r="A162" s="46">
        <v>147</v>
      </c>
      <c r="B162" s="4"/>
      <c r="C162" s="6" t="s">
        <v>117</v>
      </c>
      <c r="D162" s="5"/>
      <c r="E162" s="5"/>
      <c r="F162" s="5"/>
      <c r="G162" s="5"/>
      <c r="H162" s="5" t="s">
        <v>69</v>
      </c>
      <c r="I162" s="5" t="s">
        <v>67</v>
      </c>
      <c r="J162" s="5" t="s">
        <v>57</v>
      </c>
      <c r="K162" s="5" t="s">
        <v>207</v>
      </c>
      <c r="L162" s="5" t="s">
        <v>63</v>
      </c>
      <c r="M162" s="5" t="s">
        <v>74</v>
      </c>
      <c r="N162" s="5" t="s">
        <v>53</v>
      </c>
      <c r="O162" s="5" t="s">
        <v>68</v>
      </c>
      <c r="P162" s="5" t="s">
        <v>58</v>
      </c>
      <c r="Q162" s="5" t="s">
        <v>52</v>
      </c>
      <c r="R162" s="5" t="s">
        <v>48</v>
      </c>
      <c r="S162" s="5" t="s">
        <v>64</v>
      </c>
      <c r="T162" s="1">
        <v>4</v>
      </c>
      <c r="U162" s="1">
        <v>100</v>
      </c>
      <c r="V162" s="1">
        <v>41</v>
      </c>
    </row>
    <row r="163" spans="1:22" ht="28.8" x14ac:dyDescent="0.3">
      <c r="A163" s="46">
        <v>148</v>
      </c>
      <c r="B163" s="4"/>
      <c r="C163" s="6" t="s">
        <v>160</v>
      </c>
      <c r="D163" s="5"/>
      <c r="E163" s="5"/>
      <c r="F163" s="5"/>
      <c r="G163" s="5"/>
      <c r="H163" s="5" t="s">
        <v>69</v>
      </c>
      <c r="I163" s="5" t="s">
        <v>73</v>
      </c>
      <c r="J163" s="5" t="s">
        <v>57</v>
      </c>
      <c r="K163" s="5" t="s">
        <v>207</v>
      </c>
      <c r="L163" s="5" t="s">
        <v>63</v>
      </c>
      <c r="M163" s="5" t="s">
        <v>74</v>
      </c>
      <c r="N163" s="5" t="s">
        <v>62</v>
      </c>
      <c r="O163" s="5" t="s">
        <v>68</v>
      </c>
      <c r="P163" s="5" t="s">
        <v>209</v>
      </c>
      <c r="Q163" s="5" t="s">
        <v>60</v>
      </c>
      <c r="R163" s="5" t="s">
        <v>75</v>
      </c>
      <c r="S163" s="5" t="s">
        <v>61</v>
      </c>
      <c r="T163" s="1">
        <v>4</v>
      </c>
      <c r="U163" s="1">
        <v>56</v>
      </c>
      <c r="V163" s="1">
        <v>40</v>
      </c>
    </row>
    <row r="164" spans="1:22" ht="28.8" x14ac:dyDescent="0.3">
      <c r="A164" s="46">
        <v>149</v>
      </c>
      <c r="B164" s="4"/>
      <c r="C164" s="6" t="s">
        <v>90</v>
      </c>
      <c r="D164" s="5"/>
      <c r="E164" s="5"/>
      <c r="F164" s="5"/>
      <c r="G164" s="5"/>
      <c r="H164" s="5" t="s">
        <v>69</v>
      </c>
      <c r="I164" s="5" t="s">
        <v>73</v>
      </c>
      <c r="J164" s="5" t="s">
        <v>57</v>
      </c>
      <c r="K164" s="5" t="s">
        <v>55</v>
      </c>
      <c r="L164" s="5" t="s">
        <v>63</v>
      </c>
      <c r="M164" s="5" t="s">
        <v>74</v>
      </c>
      <c r="N164" s="5" t="s">
        <v>62</v>
      </c>
      <c r="O164" s="5" t="s">
        <v>59</v>
      </c>
      <c r="P164" s="5" t="s">
        <v>209</v>
      </c>
      <c r="Q164" s="5" t="s">
        <v>52</v>
      </c>
      <c r="R164" s="5" t="s">
        <v>75</v>
      </c>
      <c r="S164" s="5" t="s">
        <v>64</v>
      </c>
      <c r="T164" s="1">
        <v>4</v>
      </c>
      <c r="U164" s="1">
        <v>85</v>
      </c>
      <c r="V164" s="1">
        <v>40</v>
      </c>
    </row>
    <row r="165" spans="1:22" x14ac:dyDescent="0.3">
      <c r="A165" s="46">
        <v>150</v>
      </c>
      <c r="B165" s="4"/>
      <c r="C165" s="6" t="s">
        <v>88</v>
      </c>
      <c r="D165" s="5"/>
      <c r="E165" s="5"/>
      <c r="F165" s="5"/>
      <c r="G165" s="5"/>
      <c r="H165" s="5" t="s">
        <v>65</v>
      </c>
      <c r="I165" s="5" t="s">
        <v>73</v>
      </c>
      <c r="J165" s="5" t="s">
        <v>57</v>
      </c>
      <c r="K165" s="5" t="s">
        <v>207</v>
      </c>
      <c r="L165" s="5" t="s">
        <v>63</v>
      </c>
      <c r="M165" s="5" t="s">
        <v>74</v>
      </c>
      <c r="N165" s="5" t="s">
        <v>53</v>
      </c>
      <c r="O165" s="5" t="s">
        <v>59</v>
      </c>
      <c r="P165" s="5" t="s">
        <v>209</v>
      </c>
      <c r="Q165" s="5" t="s">
        <v>52</v>
      </c>
      <c r="R165" s="5" t="s">
        <v>48</v>
      </c>
      <c r="S165" s="5" t="s">
        <v>64</v>
      </c>
      <c r="T165" s="1">
        <v>4</v>
      </c>
      <c r="U165" s="1">
        <v>96</v>
      </c>
      <c r="V165" s="1">
        <v>38</v>
      </c>
    </row>
    <row r="166" spans="1:22" ht="28.8" x14ac:dyDescent="0.3">
      <c r="A166" s="46">
        <v>151</v>
      </c>
      <c r="B166" s="4"/>
      <c r="C166" s="6" t="s">
        <v>154</v>
      </c>
      <c r="D166" s="5"/>
      <c r="E166" s="5"/>
      <c r="F166" s="5"/>
      <c r="G166" s="5"/>
      <c r="H166" s="5" t="s">
        <v>69</v>
      </c>
      <c r="I166" s="5" t="s">
        <v>73</v>
      </c>
      <c r="J166" s="5" t="s">
        <v>51</v>
      </c>
      <c r="K166" s="5" t="s">
        <v>207</v>
      </c>
      <c r="L166" s="5" t="s">
        <v>63</v>
      </c>
      <c r="M166" s="5" t="s">
        <v>47</v>
      </c>
      <c r="N166" s="5" t="s">
        <v>62</v>
      </c>
      <c r="O166" s="5" t="s">
        <v>68</v>
      </c>
      <c r="P166" s="5" t="s">
        <v>58</v>
      </c>
      <c r="Q166" s="5" t="s">
        <v>52</v>
      </c>
      <c r="R166" s="5" t="s">
        <v>48</v>
      </c>
      <c r="S166" s="5" t="s">
        <v>64</v>
      </c>
      <c r="T166" s="1">
        <v>4</v>
      </c>
      <c r="U166" s="1">
        <v>96</v>
      </c>
      <c r="V166" s="1">
        <v>37</v>
      </c>
    </row>
    <row r="167" spans="1:22" x14ac:dyDescent="0.3">
      <c r="A167" s="46">
        <v>152</v>
      </c>
      <c r="B167" s="4"/>
      <c r="C167" s="6" t="s">
        <v>149</v>
      </c>
      <c r="D167" s="5"/>
      <c r="E167" s="5"/>
      <c r="F167" s="5"/>
      <c r="G167" s="5"/>
      <c r="H167" s="5" t="s">
        <v>69</v>
      </c>
      <c r="I167" s="5" t="s">
        <v>73</v>
      </c>
      <c r="J167" s="5" t="s">
        <v>57</v>
      </c>
      <c r="K167" s="5" t="s">
        <v>55</v>
      </c>
      <c r="L167" s="5" t="s">
        <v>56</v>
      </c>
      <c r="M167" s="5" t="s">
        <v>74</v>
      </c>
      <c r="N167" s="5" t="s">
        <v>62</v>
      </c>
      <c r="O167" s="5" t="s">
        <v>59</v>
      </c>
      <c r="P167" s="5" t="s">
        <v>209</v>
      </c>
      <c r="Q167" s="5" t="s">
        <v>60</v>
      </c>
      <c r="R167" s="5" t="s">
        <v>48</v>
      </c>
      <c r="S167" s="5" t="s">
        <v>61</v>
      </c>
      <c r="T167" s="1">
        <v>4</v>
      </c>
      <c r="U167" s="1">
        <v>85</v>
      </c>
      <c r="V167" s="1">
        <v>34</v>
      </c>
    </row>
    <row r="168" spans="1:22" ht="28.8" x14ac:dyDescent="0.3">
      <c r="A168" s="46">
        <v>153</v>
      </c>
      <c r="B168" s="4"/>
      <c r="C168" s="6" t="s">
        <v>198</v>
      </c>
      <c r="D168" s="5"/>
      <c r="E168" s="5"/>
      <c r="F168" s="5"/>
      <c r="G168" s="5"/>
      <c r="H168" s="5" t="s">
        <v>69</v>
      </c>
      <c r="I168" s="5" t="s">
        <v>73</v>
      </c>
      <c r="J168" s="5" t="s">
        <v>57</v>
      </c>
      <c r="K168" s="5" t="s">
        <v>207</v>
      </c>
      <c r="L168" s="5" t="s">
        <v>63</v>
      </c>
      <c r="M168" s="5" t="s">
        <v>47</v>
      </c>
      <c r="N168" s="5" t="s">
        <v>53</v>
      </c>
      <c r="O168" s="5" t="s">
        <v>59</v>
      </c>
      <c r="P168" s="5" t="s">
        <v>58</v>
      </c>
      <c r="Q168" s="5" t="s">
        <v>60</v>
      </c>
      <c r="R168" s="5" t="s">
        <v>75</v>
      </c>
      <c r="S168" s="5" t="s">
        <v>61</v>
      </c>
      <c r="T168" s="1">
        <v>4</v>
      </c>
      <c r="U168" s="1">
        <v>82</v>
      </c>
      <c r="V168" s="1">
        <v>34</v>
      </c>
    </row>
    <row r="169" spans="1:22" x14ac:dyDescent="0.3">
      <c r="A169" s="46">
        <v>154</v>
      </c>
      <c r="B169" s="4"/>
      <c r="C169" s="6" t="s">
        <v>21</v>
      </c>
      <c r="D169" s="5"/>
      <c r="E169" s="5"/>
      <c r="F169" s="5"/>
      <c r="G169" s="5"/>
      <c r="H169" s="5" t="s">
        <v>69</v>
      </c>
      <c r="I169" s="5" t="s">
        <v>73</v>
      </c>
      <c r="J169" s="5" t="s">
        <v>51</v>
      </c>
      <c r="K169" s="5" t="s">
        <v>207</v>
      </c>
      <c r="L169" s="5" t="s">
        <v>63</v>
      </c>
      <c r="M169" s="5" t="s">
        <v>74</v>
      </c>
      <c r="N169" s="5" t="s">
        <v>53</v>
      </c>
      <c r="O169" s="5" t="s">
        <v>59</v>
      </c>
      <c r="P169" s="5" t="s">
        <v>58</v>
      </c>
      <c r="Q169" s="5" t="s">
        <v>52</v>
      </c>
      <c r="R169" s="5" t="s">
        <v>48</v>
      </c>
      <c r="S169" s="5" t="s">
        <v>64</v>
      </c>
      <c r="T169" s="1">
        <v>3</v>
      </c>
      <c r="U169" s="1">
        <v>88</v>
      </c>
      <c r="V169" s="1">
        <v>44</v>
      </c>
    </row>
    <row r="170" spans="1:22" x14ac:dyDescent="0.3">
      <c r="A170" s="46">
        <v>155</v>
      </c>
      <c r="B170" s="4"/>
      <c r="C170" s="6" t="s">
        <v>39</v>
      </c>
      <c r="D170" s="5"/>
      <c r="E170" s="5"/>
      <c r="F170" s="5"/>
      <c r="G170" s="5"/>
      <c r="H170" s="5" t="s">
        <v>69</v>
      </c>
      <c r="I170" s="5" t="s">
        <v>67</v>
      </c>
      <c r="J170" s="5" t="s">
        <v>51</v>
      </c>
      <c r="K170" s="5" t="s">
        <v>207</v>
      </c>
      <c r="L170" s="5" t="s">
        <v>63</v>
      </c>
      <c r="M170" s="5" t="s">
        <v>74</v>
      </c>
      <c r="N170" s="5" t="s">
        <v>62</v>
      </c>
      <c r="O170" s="5" t="s">
        <v>68</v>
      </c>
      <c r="P170" s="5" t="s">
        <v>58</v>
      </c>
      <c r="Q170" s="5" t="s">
        <v>52</v>
      </c>
      <c r="R170" s="5" t="s">
        <v>48</v>
      </c>
      <c r="S170" s="5" t="s">
        <v>61</v>
      </c>
      <c r="T170" s="1">
        <v>3</v>
      </c>
      <c r="U170" s="1">
        <v>88</v>
      </c>
      <c r="V170" s="1">
        <v>43</v>
      </c>
    </row>
    <row r="171" spans="1:22" ht="28.8" x14ac:dyDescent="0.3">
      <c r="A171" s="46">
        <v>156</v>
      </c>
      <c r="B171" s="4"/>
      <c r="C171" s="6" t="s">
        <v>10</v>
      </c>
      <c r="D171" s="5"/>
      <c r="E171" s="5"/>
      <c r="F171" s="5"/>
      <c r="G171" s="5"/>
      <c r="H171" s="5" t="s">
        <v>69</v>
      </c>
      <c r="I171" s="5" t="s">
        <v>73</v>
      </c>
      <c r="J171" s="5" t="s">
        <v>57</v>
      </c>
      <c r="K171" s="5" t="s">
        <v>207</v>
      </c>
      <c r="L171" s="5" t="s">
        <v>56</v>
      </c>
      <c r="M171" s="5" t="s">
        <v>74</v>
      </c>
      <c r="N171" s="5" t="s">
        <v>62</v>
      </c>
      <c r="O171" s="5" t="s">
        <v>59</v>
      </c>
      <c r="P171" s="5" t="s">
        <v>209</v>
      </c>
      <c r="Q171" s="5" t="s">
        <v>52</v>
      </c>
      <c r="R171" s="5" t="s">
        <v>75</v>
      </c>
      <c r="S171" s="5" t="s">
        <v>61</v>
      </c>
      <c r="T171" s="1">
        <v>3</v>
      </c>
      <c r="U171" s="1">
        <v>89</v>
      </c>
      <c r="V171" s="1">
        <v>43</v>
      </c>
    </row>
    <row r="172" spans="1:22" ht="28.8" x14ac:dyDescent="0.3">
      <c r="A172" s="46">
        <v>157</v>
      </c>
      <c r="B172" s="4"/>
      <c r="C172" s="6" t="s">
        <v>153</v>
      </c>
      <c r="D172" s="5"/>
      <c r="E172" s="5"/>
      <c r="F172" s="5"/>
      <c r="G172" s="5"/>
      <c r="H172" s="5" t="s">
        <v>69</v>
      </c>
      <c r="I172" s="5" t="s">
        <v>73</v>
      </c>
      <c r="J172" s="5" t="s">
        <v>51</v>
      </c>
      <c r="K172" s="5" t="s">
        <v>207</v>
      </c>
      <c r="L172" s="5" t="s">
        <v>63</v>
      </c>
      <c r="M172" s="5" t="s">
        <v>74</v>
      </c>
      <c r="N172" s="5" t="s">
        <v>53</v>
      </c>
      <c r="O172" s="5" t="s">
        <v>59</v>
      </c>
      <c r="P172" s="5" t="s">
        <v>58</v>
      </c>
      <c r="Q172" s="5" t="s">
        <v>52</v>
      </c>
      <c r="R172" s="5" t="s">
        <v>48</v>
      </c>
      <c r="S172" s="5" t="s">
        <v>64</v>
      </c>
      <c r="T172" s="1">
        <v>3</v>
      </c>
      <c r="U172" s="1">
        <v>88</v>
      </c>
      <c r="V172" s="1">
        <v>41</v>
      </c>
    </row>
    <row r="173" spans="1:22" x14ac:dyDescent="0.3">
      <c r="A173" s="46">
        <v>158</v>
      </c>
      <c r="B173" s="4"/>
      <c r="C173" s="6" t="s">
        <v>136</v>
      </c>
      <c r="D173" s="5"/>
      <c r="E173" s="5"/>
      <c r="F173" s="5"/>
      <c r="G173" s="5"/>
      <c r="H173" s="5" t="s">
        <v>69</v>
      </c>
      <c r="I173" s="5" t="s">
        <v>73</v>
      </c>
      <c r="J173" s="5" t="s">
        <v>57</v>
      </c>
      <c r="K173" s="5" t="s">
        <v>55</v>
      </c>
      <c r="L173" s="5" t="s">
        <v>63</v>
      </c>
      <c r="M173" s="5" t="s">
        <v>47</v>
      </c>
      <c r="N173" s="5" t="s">
        <v>62</v>
      </c>
      <c r="O173" s="5" t="s">
        <v>59</v>
      </c>
      <c r="P173" s="5" t="s">
        <v>209</v>
      </c>
      <c r="Q173" s="5" t="s">
        <v>52</v>
      </c>
      <c r="R173" s="5" t="s">
        <v>48</v>
      </c>
      <c r="S173" s="5" t="s">
        <v>61</v>
      </c>
      <c r="T173" s="1">
        <v>3</v>
      </c>
      <c r="U173" s="1">
        <v>91</v>
      </c>
      <c r="V173" s="1">
        <v>34</v>
      </c>
    </row>
    <row r="174" spans="1:22" ht="28.8" x14ac:dyDescent="0.3">
      <c r="A174" s="46">
        <v>159</v>
      </c>
      <c r="B174" s="4"/>
      <c r="C174" s="6" t="s">
        <v>115</v>
      </c>
      <c r="D174" s="5"/>
      <c r="E174" s="5"/>
      <c r="F174" s="5"/>
      <c r="G174" s="5"/>
      <c r="H174" s="5" t="s">
        <v>69</v>
      </c>
      <c r="I174" s="5" t="s">
        <v>73</v>
      </c>
      <c r="J174" s="5" t="s">
        <v>57</v>
      </c>
      <c r="K174" s="5" t="s">
        <v>55</v>
      </c>
      <c r="L174" s="5" t="s">
        <v>63</v>
      </c>
      <c r="M174" s="5" t="s">
        <v>74</v>
      </c>
      <c r="N174" s="5" t="s">
        <v>53</v>
      </c>
      <c r="O174" s="5" t="s">
        <v>59</v>
      </c>
      <c r="P174" s="5" t="s">
        <v>58</v>
      </c>
      <c r="Q174" s="5" t="s">
        <v>52</v>
      </c>
      <c r="R174" s="5" t="s">
        <v>48</v>
      </c>
      <c r="S174" s="5" t="s">
        <v>61</v>
      </c>
      <c r="T174" s="1">
        <v>2</v>
      </c>
      <c r="U174" s="1">
        <v>80</v>
      </c>
      <c r="V174" s="1">
        <v>41</v>
      </c>
    </row>
    <row r="175" spans="1:22" ht="43.2" x14ac:dyDescent="0.3">
      <c r="A175" s="46">
        <v>160</v>
      </c>
      <c r="B175" s="4"/>
      <c r="C175" s="6" t="s">
        <v>132</v>
      </c>
      <c r="D175" s="5"/>
      <c r="E175" s="5"/>
      <c r="F175" s="5"/>
      <c r="G175" s="5"/>
      <c r="H175" s="5" t="s">
        <v>69</v>
      </c>
      <c r="I175" s="5" t="s">
        <v>73</v>
      </c>
      <c r="J175" s="5" t="s">
        <v>57</v>
      </c>
      <c r="K175" s="5" t="s">
        <v>207</v>
      </c>
      <c r="L175" s="5" t="s">
        <v>63</v>
      </c>
      <c r="M175" s="5" t="s">
        <v>74</v>
      </c>
      <c r="N175" s="5" t="s">
        <v>62</v>
      </c>
      <c r="O175" s="5" t="s">
        <v>59</v>
      </c>
      <c r="P175" s="5" t="s">
        <v>209</v>
      </c>
      <c r="Q175" s="5" t="s">
        <v>52</v>
      </c>
      <c r="R175" s="5" t="s">
        <v>75</v>
      </c>
      <c r="S175" s="5" t="s">
        <v>61</v>
      </c>
      <c r="T175" s="1">
        <v>2</v>
      </c>
      <c r="U175" s="1">
        <v>86</v>
      </c>
      <c r="V175" s="1">
        <v>37</v>
      </c>
    </row>
    <row r="176" spans="1:22" x14ac:dyDescent="0.3">
      <c r="A176" s="46">
        <v>161</v>
      </c>
      <c r="B176" s="4"/>
      <c r="C176" s="6" t="s">
        <v>131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1">
        <v>0</v>
      </c>
      <c r="U176" s="1">
        <v>59</v>
      </c>
      <c r="V176" s="1"/>
    </row>
    <row r="177" spans="1:22" ht="28.8" x14ac:dyDescent="0.3">
      <c r="A177" s="46">
        <v>162</v>
      </c>
      <c r="B177" s="4"/>
      <c r="C177" s="6" t="s">
        <v>182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1">
        <v>0</v>
      </c>
      <c r="U177" s="1">
        <v>68</v>
      </c>
      <c r="V177" s="1"/>
    </row>
    <row r="178" spans="1:22" x14ac:dyDescent="0.3">
      <c r="A178" s="46">
        <v>163</v>
      </c>
      <c r="B178" s="4"/>
      <c r="C178" s="6" t="s">
        <v>199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">
        <v>0</v>
      </c>
      <c r="U178" s="1">
        <v>78</v>
      </c>
      <c r="V178" s="1"/>
    </row>
  </sheetData>
  <mergeCells count="4">
    <mergeCell ref="A9:A15"/>
    <mergeCell ref="B9:B15"/>
    <mergeCell ref="T9:T15"/>
    <mergeCell ref="U9:U15"/>
  </mergeCells>
  <conditionalFormatting sqref="S2:S3 S7 E2:Q3 E7:Q7">
    <cfRule type="cellIs" dxfId="25" priority="8" operator="equal">
      <formula>"Y"</formula>
    </cfRule>
    <cfRule type="cellIs" dxfId="24" priority="9" operator="equal">
      <formula>"N"</formula>
    </cfRule>
  </conditionalFormatting>
  <conditionalFormatting sqref="U7">
    <cfRule type="cellIs" dxfId="23" priority="6" operator="equal">
      <formula>"Y"</formula>
    </cfRule>
    <cfRule type="cellIs" dxfId="22" priority="7" operator="equal">
      <formula>"N"</formula>
    </cfRule>
  </conditionalFormatting>
  <conditionalFormatting sqref="R4">
    <cfRule type="colorScale" priority="5">
      <colorScale>
        <cfvo type="min"/>
        <cfvo type="max"/>
        <color rgb="FFFF7128"/>
        <color rgb="FFFFEF9C"/>
      </colorScale>
    </cfRule>
  </conditionalFormatting>
  <conditionalFormatting sqref="E4:Q4 S4">
    <cfRule type="colorScale" priority="10">
      <colorScale>
        <cfvo type="min"/>
        <cfvo type="max"/>
        <color rgb="FFFF7128"/>
        <color rgb="FFFFEF9C"/>
      </colorScale>
    </cfRule>
  </conditionalFormatting>
  <conditionalFormatting sqref="R7">
    <cfRule type="cellIs" dxfId="21" priority="3" operator="equal">
      <formula>"Y"</formula>
    </cfRule>
    <cfRule type="cellIs" dxfId="20" priority="4" operator="equal">
      <formula>"N"</formula>
    </cfRule>
  </conditionalFormatting>
  <conditionalFormatting sqref="R2:R3">
    <cfRule type="cellIs" dxfId="19" priority="1" operator="equal">
      <formula>"Y"</formula>
    </cfRule>
    <cfRule type="cellIs" dxfId="18" priority="2" operator="equal">
      <formula>"N"</formula>
    </cfRule>
  </conditionalFormatting>
  <hyperlinks>
    <hyperlink ref="C16" r:id="rId1" display="https://www.poolhost.com/profootball/playerstats/1730676"/>
    <hyperlink ref="C17" r:id="rId2" display="https://www.poolhost.com/profootball/playerstats/1654623"/>
    <hyperlink ref="C18" r:id="rId3" display="https://www.poolhost.com/profootball/playerstats/1668682"/>
    <hyperlink ref="C19" r:id="rId4" display="https://www.poolhost.com/profootball/playerstats/1670226"/>
    <hyperlink ref="C20" r:id="rId5" display="https://www.poolhost.com/profootball/playerstats/1711169"/>
    <hyperlink ref="C21" r:id="rId6" display="https://www.poolhost.com/profootball/playerstats/1702170"/>
    <hyperlink ref="C22" r:id="rId7" display="https://www.poolhost.com/profootball/playerstats/1699295"/>
    <hyperlink ref="C23" r:id="rId8" display="https://www.poolhost.com/profootball/playerstats/1732788"/>
    <hyperlink ref="C24" r:id="rId9" display="https://www.poolhost.com/profootball/playerstats/1700157"/>
    <hyperlink ref="C25" r:id="rId10" display="https://www.poolhost.com/profootball/playerstats/1654634"/>
    <hyperlink ref="C26" r:id="rId11" display="https://www.poolhost.com/profootball/playerstats/1654603"/>
    <hyperlink ref="C27" r:id="rId12" display="https://www.poolhost.com/profootball/playerstats/1654791"/>
    <hyperlink ref="C28" r:id="rId13" display="https://www.poolhost.com/profootball/playerstats/1678377"/>
    <hyperlink ref="C29" r:id="rId14" display="https://www.poolhost.com/profootball/playerstats/1668461"/>
    <hyperlink ref="C30" r:id="rId15" display="https://www.poolhost.com/profootball/playerstats/1681958"/>
    <hyperlink ref="C31" r:id="rId16" display="https://www.poolhost.com/profootball/playerstats/1695716"/>
    <hyperlink ref="C32" r:id="rId17" display="https://www.poolhost.com/profootball/playerstats/1655447"/>
    <hyperlink ref="C33" r:id="rId18" display="https://www.poolhost.com/profootball/playerstats/1724223"/>
    <hyperlink ref="C34" r:id="rId19" display="https://www.poolhost.com/profootball/playerstats/1669305"/>
    <hyperlink ref="C35" r:id="rId20" display="https://www.poolhost.com/profootball/playerstats/1722233"/>
    <hyperlink ref="C36" r:id="rId21" display="https://www.poolhost.com/profootball/playerstats/1730270"/>
    <hyperlink ref="C37" r:id="rId22" display="https://www.poolhost.com/profootball/playerstats/1670025"/>
    <hyperlink ref="C38" r:id="rId23" display="https://www.poolhost.com/profootball/playerstats/1732953"/>
    <hyperlink ref="C39" r:id="rId24" display="https://www.poolhost.com/profootball/playerstats/1658459"/>
    <hyperlink ref="C40" r:id="rId25" display="https://www.poolhost.com/profootball/playerstats/1678632"/>
    <hyperlink ref="C41" r:id="rId26" display="https://www.poolhost.com/profootball/playerstats/1668628"/>
    <hyperlink ref="C42" r:id="rId27" display="https://www.poolhost.com/profootball/playerstats/1731780"/>
    <hyperlink ref="C43" r:id="rId28" display="https://www.poolhost.com/profootball/playerstats/1665910"/>
    <hyperlink ref="C44" r:id="rId29" display="https://www.poolhost.com/profootball/playerstats/1687892"/>
    <hyperlink ref="C45" r:id="rId30" display="https://www.poolhost.com/profootball/playerstats/1722206"/>
    <hyperlink ref="C46" r:id="rId31" display="https://www.poolhost.com/profootball/playerstats/1656464"/>
    <hyperlink ref="C47" r:id="rId32" display="https://www.poolhost.com/profootball/playerstats/1707988"/>
    <hyperlink ref="C48" r:id="rId33" display="https://www.poolhost.com/profootball/playerstats/1699660"/>
    <hyperlink ref="C49" r:id="rId34" display="https://www.poolhost.com/profootball/playerstats/1730347"/>
    <hyperlink ref="C50" r:id="rId35" display="https://www.poolhost.com/profootball/playerstats/1674022"/>
    <hyperlink ref="C51" r:id="rId36" display="https://www.poolhost.com/profootball/playerstats/1732254"/>
    <hyperlink ref="C52" r:id="rId37" display="https://www.poolhost.com/profootball/playerstats/1731690"/>
    <hyperlink ref="C53" r:id="rId38" display="https://www.poolhost.com/profootball/playerstats/1727817"/>
    <hyperlink ref="C54" r:id="rId39" display="https://www.poolhost.com/profootball/playerstats/1669323"/>
    <hyperlink ref="C55" r:id="rId40" display="https://www.poolhost.com/profootball/playerstats/1668687"/>
    <hyperlink ref="C56" r:id="rId41" display="https://www.poolhost.com/profootball/playerstats/1657583"/>
    <hyperlink ref="C57" r:id="rId42" display="https://www.poolhost.com/profootball/playerstats/1701053"/>
    <hyperlink ref="C58" r:id="rId43" display="https://www.poolhost.com/profootball/playerstats/1694354"/>
    <hyperlink ref="C59" r:id="rId44" display="https://www.poolhost.com/profootball/playerstats/1682523"/>
    <hyperlink ref="C60" r:id="rId45" display="https://www.poolhost.com/profootball/playerstats/1655488"/>
    <hyperlink ref="C61" r:id="rId46" display="https://www.poolhost.com/profootball/playerstats/1678667"/>
    <hyperlink ref="C62" r:id="rId47" display="https://www.poolhost.com/profootball/playerstats/1708312"/>
    <hyperlink ref="C63" r:id="rId48" display="https://www.poolhost.com/profootball/playerstats/1679667"/>
    <hyperlink ref="C64" r:id="rId49" display="https://www.poolhost.com/profootball/playerstats/1712780"/>
    <hyperlink ref="C65" r:id="rId50" display="https://www.poolhost.com/profootball/playerstats/1705049"/>
    <hyperlink ref="C66" r:id="rId51" display="https://www.poolhost.com/profootball/playerstats/1705249"/>
    <hyperlink ref="C67" r:id="rId52" display="https://www.poolhost.com/profootball/playerstats/1709552"/>
    <hyperlink ref="C68" r:id="rId53" display="https://www.poolhost.com/profootball/playerstats/1729491"/>
    <hyperlink ref="C69" r:id="rId54" display="https://www.poolhost.com/profootball/playerstats/1673234"/>
    <hyperlink ref="C70" r:id="rId55" display="https://www.poolhost.com/profootball/playerstats/1702449"/>
    <hyperlink ref="C71" r:id="rId56" display="https://www.poolhost.com/profootball/playerstats/1703435"/>
    <hyperlink ref="C72" r:id="rId57" display="https://www.poolhost.com/profootball/playerstats/1722286"/>
    <hyperlink ref="C73" r:id="rId58" display="https://www.poolhost.com/profootball/playerstats/1700155"/>
    <hyperlink ref="C74" r:id="rId59" display="https://www.poolhost.com/profootball/playerstats/1677370"/>
    <hyperlink ref="C75" r:id="rId60" display="https://www.poolhost.com/profootball/playerstats/1721307"/>
    <hyperlink ref="C76" r:id="rId61" display="https://www.poolhost.com/profootball/playerstats/1726326"/>
    <hyperlink ref="C77" r:id="rId62" display="https://www.poolhost.com/profootball/playerstats/1657801"/>
    <hyperlink ref="C78" r:id="rId63" display="https://www.poolhost.com/profootball/playerstats/1673248"/>
    <hyperlink ref="C79" r:id="rId64" display="https://www.poolhost.com/profootball/playerstats/1676125"/>
    <hyperlink ref="C80" r:id="rId65" display="https://www.poolhost.com/profootball/playerstats/1654500"/>
    <hyperlink ref="C81" r:id="rId66" display="https://www.poolhost.com/profootball/playerstats/1728782"/>
    <hyperlink ref="C82" r:id="rId67" display="https://www.poolhost.com/profootball/playerstats/1649126"/>
    <hyperlink ref="C83" r:id="rId68" display="https://www.poolhost.com/profootball/playerstats/1697912"/>
    <hyperlink ref="C84" r:id="rId69" display="https://www.poolhost.com/profootball/playerstats/1666034"/>
    <hyperlink ref="C85" r:id="rId70" display="https://www.poolhost.com/profootball/playerstats/1666027"/>
    <hyperlink ref="C86" r:id="rId71" display="https://www.poolhost.com/profootball/playerstats/1705029"/>
    <hyperlink ref="C87" r:id="rId72" display="https://www.poolhost.com/profootball/playerstats/1709781"/>
    <hyperlink ref="C88" r:id="rId73" display="https://www.poolhost.com/profootball/playerstats/1649341"/>
    <hyperlink ref="C89" r:id="rId74" display="https://www.poolhost.com/profootball/playerstats/1684290"/>
    <hyperlink ref="C90" r:id="rId75" display="https://www.poolhost.com/profootball/playerstats/1671748"/>
    <hyperlink ref="C91" r:id="rId76" display="https://www.poolhost.com/profootball/playerstats/1666449"/>
    <hyperlink ref="C92" r:id="rId77" display="https://www.poolhost.com/profootball/playerstats/1729314"/>
    <hyperlink ref="C93" r:id="rId78" display="https://www.poolhost.com/profootball/playerstats/1679300"/>
    <hyperlink ref="C94" r:id="rId79" display="https://www.poolhost.com/profootball/playerstats/1734363"/>
    <hyperlink ref="C95" r:id="rId80" display="https://www.poolhost.com/profootball/playerstats/1708805"/>
    <hyperlink ref="C96" r:id="rId81" display="https://www.poolhost.com/profootball/playerstats/1662606"/>
    <hyperlink ref="C97" r:id="rId82" display="https://www.poolhost.com/profootball/playerstats/1691673"/>
    <hyperlink ref="C98" r:id="rId83" display="https://www.poolhost.com/profootball/playerstats/1684491"/>
    <hyperlink ref="C99" r:id="rId84" display="https://www.poolhost.com/profootball/playerstats/1699810"/>
    <hyperlink ref="C100" r:id="rId85" display="https://www.poolhost.com/profootball/playerstats/1670484"/>
    <hyperlink ref="C101" r:id="rId86" display="https://www.poolhost.com/profootball/playerstats/1657214"/>
    <hyperlink ref="C102" r:id="rId87" display="https://www.poolhost.com/profootball/playerstats/1669212"/>
    <hyperlink ref="C103" r:id="rId88" display="https://www.poolhost.com/profootball/playerstats/1673222"/>
    <hyperlink ref="C104" r:id="rId89" display="https://www.poolhost.com/profootball/playerstats/1659558"/>
    <hyperlink ref="C105" r:id="rId90" display="https://www.poolhost.com/profootball/playerstats/1659875"/>
    <hyperlink ref="C106" r:id="rId91" display="https://www.poolhost.com/profootball/playerstats/1703401"/>
    <hyperlink ref="C107" r:id="rId92" display="https://www.poolhost.com/profootball/playerstats/1680041"/>
    <hyperlink ref="C108" r:id="rId93" display="https://www.poolhost.com/profootball/playerstats/1683531"/>
    <hyperlink ref="C109" r:id="rId94" display="https://www.poolhost.com/profootball/playerstats/1681946"/>
    <hyperlink ref="C110" r:id="rId95" display="https://www.poolhost.com/profootball/playerstats/1696717"/>
    <hyperlink ref="C111" r:id="rId96" display="https://www.poolhost.com/profootball/playerstats/1732996"/>
    <hyperlink ref="C112" r:id="rId97" display="https://www.poolhost.com/profootball/playerstats/1666473"/>
    <hyperlink ref="C113" r:id="rId98" display="https://www.poolhost.com/profootball/playerstats/1672167"/>
    <hyperlink ref="C114" r:id="rId99" display="https://www.poolhost.com/profootball/playerstats/1661981"/>
    <hyperlink ref="C115" r:id="rId100" display="https://www.poolhost.com/profootball/playerstats/1685066"/>
    <hyperlink ref="C116" r:id="rId101" display="https://www.poolhost.com/profootball/playerstats/1715552"/>
    <hyperlink ref="C117" r:id="rId102" display="https://www.poolhost.com/profootball/playerstats/1686727"/>
    <hyperlink ref="C118" r:id="rId103" display="https://www.poolhost.com/profootball/playerstats/1654448"/>
    <hyperlink ref="C119" r:id="rId104" display="https://www.poolhost.com/profootball/playerstats/1728787"/>
    <hyperlink ref="C120" r:id="rId105" display="https://www.poolhost.com/profootball/playerstats/1723980"/>
    <hyperlink ref="C121" r:id="rId106" display="https://www.poolhost.com/profootball/playerstats/1663101"/>
    <hyperlink ref="C122" r:id="rId107" display="https://www.poolhost.com/profootball/playerstats/1729262"/>
    <hyperlink ref="C123" r:id="rId108" display="https://www.poolhost.com/profootball/playerstats/1701354"/>
    <hyperlink ref="C124" r:id="rId109" display="https://www.poolhost.com/profootball/playerstats/1667937"/>
    <hyperlink ref="C125" r:id="rId110" display="https://www.poolhost.com/profootball/playerstats/1663641"/>
    <hyperlink ref="C126" r:id="rId111" display="https://www.poolhost.com/profootball/playerstats/1665979"/>
    <hyperlink ref="C127" r:id="rId112" display="https://www.poolhost.com/profootball/playerstats/1695492"/>
    <hyperlink ref="C128" r:id="rId113" display="https://www.poolhost.com/profootball/playerstats/1681897"/>
    <hyperlink ref="C129" r:id="rId114" display="https://www.poolhost.com/profootball/playerstats/1741250"/>
    <hyperlink ref="C130" r:id="rId115" display="https://www.poolhost.com/profootball/playerstats/1704026"/>
    <hyperlink ref="C131" r:id="rId116" display="https://www.poolhost.com/profootball/playerstats/1677049"/>
    <hyperlink ref="C132" r:id="rId117" display="https://www.poolhost.com/profootball/playerstats/1684266"/>
    <hyperlink ref="C133" r:id="rId118" display="https://www.poolhost.com/profootball/playerstats/1705272"/>
    <hyperlink ref="C134" r:id="rId119" display="https://www.poolhost.com/profootball/playerstats/1674086"/>
    <hyperlink ref="C135" r:id="rId120" display="https://www.poolhost.com/profootball/playerstats/1676654"/>
    <hyperlink ref="C136" r:id="rId121" display="https://www.poolhost.com/profootball/playerstats/1657103"/>
    <hyperlink ref="C137" r:id="rId122" display="https://www.poolhost.com/profootball/playerstats/1660811"/>
    <hyperlink ref="C138" r:id="rId123" display="https://www.poolhost.com/profootball/playerstats/1732411"/>
    <hyperlink ref="C139" r:id="rId124" display="https://www.poolhost.com/profootball/playerstats/1708448"/>
    <hyperlink ref="C140" r:id="rId125" display="https://www.poolhost.com/profootball/playerstats/1682884"/>
    <hyperlink ref="C141" r:id="rId126" display="https://www.poolhost.com/profootball/playerstats/1704294"/>
    <hyperlink ref="C142" r:id="rId127" display="https://www.poolhost.com/profootball/playerstats/1654485"/>
    <hyperlink ref="C143" r:id="rId128" display="https://www.poolhost.com/profootball/playerstats/1667866"/>
    <hyperlink ref="C144" r:id="rId129" display="https://www.poolhost.com/profootball/playerstats/1686915"/>
    <hyperlink ref="C145" r:id="rId130" display="https://www.poolhost.com/profootball/playerstats/1735486"/>
    <hyperlink ref="C146" r:id="rId131" display="https://www.poolhost.com/profootball/playerstats/1654484"/>
    <hyperlink ref="C147" r:id="rId132" display="https://www.poolhost.com/profootball/playerstats/1725535"/>
    <hyperlink ref="C148" r:id="rId133" display="https://www.poolhost.com/profootball/playerstats/1733218"/>
    <hyperlink ref="C149" r:id="rId134" display="https://www.poolhost.com/profootball/playerstats/1667376"/>
    <hyperlink ref="C150" r:id="rId135" display="https://www.poolhost.com/profootball/playerstats/1665810"/>
    <hyperlink ref="C151" r:id="rId136" display="https://www.poolhost.com/profootball/playerstats/1731755"/>
    <hyperlink ref="C152" r:id="rId137" display="https://www.poolhost.com/profootball/playerstats/1671837"/>
    <hyperlink ref="C153" r:id="rId138" display="https://www.poolhost.com/profootball/playerstats/1694017"/>
    <hyperlink ref="C154" r:id="rId139" display="https://www.poolhost.com/profootball/playerstats/1662306"/>
    <hyperlink ref="C155" r:id="rId140" display="https://www.poolhost.com/profootball/playerstats/1732290"/>
    <hyperlink ref="C156" r:id="rId141" display="https://www.poolhost.com/profootball/playerstats/1657024"/>
    <hyperlink ref="C157" r:id="rId142" display="https://www.poolhost.com/profootball/playerstats/1659846"/>
    <hyperlink ref="C158" r:id="rId143" display="https://www.poolhost.com/profootball/playerstats/1708505"/>
    <hyperlink ref="C159" r:id="rId144" display="https://www.poolhost.com/profootball/playerstats/1727170"/>
    <hyperlink ref="C160" r:id="rId145" display="https://www.poolhost.com/profootball/playerstats/1705346"/>
    <hyperlink ref="C161" r:id="rId146" display="https://www.poolhost.com/profootball/playerstats/1729617"/>
    <hyperlink ref="C162" r:id="rId147" display="https://www.poolhost.com/profootball/playerstats/1673761"/>
    <hyperlink ref="C163" r:id="rId148" display="https://www.poolhost.com/profootball/playerstats/1657241"/>
    <hyperlink ref="C164" r:id="rId149" display="https://www.poolhost.com/profootball/playerstats/1732851"/>
    <hyperlink ref="C165" r:id="rId150" display="https://www.poolhost.com/profootball/playerstats/1665614"/>
    <hyperlink ref="C166" r:id="rId151" display="https://www.poolhost.com/profootball/playerstats/1665631"/>
    <hyperlink ref="C167" r:id="rId152" display="https://www.poolhost.com/profootball/playerstats/1679156"/>
    <hyperlink ref="C168" r:id="rId153" display="https://www.poolhost.com/profootball/playerstats/1721401"/>
    <hyperlink ref="C169" r:id="rId154" display="https://www.poolhost.com/profootball/playerstats/1679009"/>
    <hyperlink ref="C170" r:id="rId155" display="https://www.poolhost.com/profootball/playerstats/1661711"/>
    <hyperlink ref="C171" r:id="rId156" display="https://www.poolhost.com/profootball/playerstats/1726632"/>
    <hyperlink ref="C172" r:id="rId157" display="https://www.poolhost.com/profootball/playerstats/1685256"/>
    <hyperlink ref="C173" r:id="rId158" display="https://www.poolhost.com/profootball/playerstats/1683389"/>
    <hyperlink ref="C174" r:id="rId159" display="https://www.poolhost.com/profootball/playerstats/1666092"/>
    <hyperlink ref="C175" r:id="rId160" display="https://www.poolhost.com/profootball/playerstats/1672298"/>
    <hyperlink ref="C176" r:id="rId161" display="https://www.poolhost.com/profootball/playerstats/1734172"/>
    <hyperlink ref="C177" r:id="rId162" display="https://www.poolhost.com/profootball/playerstats/1733415"/>
    <hyperlink ref="C178" r:id="rId163" display="https://www.poolhost.com/profootball/playerstats/1654649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8"/>
  <sheetViews>
    <sheetView zoomScaleNormal="100" workbookViewId="0">
      <selection activeCell="U1" sqref="U1:U14"/>
    </sheetView>
  </sheetViews>
  <sheetFormatPr defaultRowHeight="14.4" x14ac:dyDescent="0.3"/>
  <sheetData>
    <row r="1" spans="1:25" ht="15" thickBot="1" x14ac:dyDescent="0.35">
      <c r="A1" s="2" t="s">
        <v>0</v>
      </c>
      <c r="D1">
        <v>2</v>
      </c>
      <c r="E1">
        <f>D1+1</f>
        <v>3</v>
      </c>
      <c r="F1">
        <f t="shared" ref="F1:R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 t="s">
        <v>226</v>
      </c>
      <c r="T1" s="16">
        <v>0</v>
      </c>
      <c r="U1" s="11">
        <f>COUNTIF(Q$16:Q$200,T1)</f>
        <v>9</v>
      </c>
      <c r="V1" s="20">
        <f t="shared" ref="V1:V14" si="1">U1/SUM(U$1:U$13)</f>
        <v>5.5214723926380369E-2</v>
      </c>
      <c r="W1" s="33"/>
      <c r="X1" t="s">
        <v>227</v>
      </c>
    </row>
    <row r="2" spans="1:25" ht="15" thickBot="1" x14ac:dyDescent="0.35">
      <c r="A2" s="2" t="s">
        <v>1</v>
      </c>
      <c r="C2" t="s">
        <v>204</v>
      </c>
      <c r="E2" s="24" t="str">
        <f t="shared" ref="E2:P3" si="2">IF(VLOOKUP($C2,$C$16:$Z$192,E$1,FALSE)=E$8,"Y","N")</f>
        <v>N</v>
      </c>
      <c r="F2" s="25" t="str">
        <f t="shared" si="2"/>
        <v>Y</v>
      </c>
      <c r="G2" s="25" t="str">
        <f t="shared" si="2"/>
        <v>N</v>
      </c>
      <c r="H2" s="25" t="str">
        <f t="shared" si="2"/>
        <v>Y</v>
      </c>
      <c r="I2" s="25" t="str">
        <f t="shared" si="2"/>
        <v>Y</v>
      </c>
      <c r="J2" s="25" t="str">
        <f t="shared" si="2"/>
        <v>Y</v>
      </c>
      <c r="K2" s="25" t="str">
        <f t="shared" si="2"/>
        <v>N</v>
      </c>
      <c r="L2" s="25" t="str">
        <f t="shared" si="2"/>
        <v>N</v>
      </c>
      <c r="M2" s="25" t="str">
        <f t="shared" si="2"/>
        <v>N</v>
      </c>
      <c r="N2" s="25" t="str">
        <f t="shared" si="2"/>
        <v>N</v>
      </c>
      <c r="O2" s="25" t="str">
        <f t="shared" si="2"/>
        <v>N</v>
      </c>
      <c r="P2" s="25" t="str">
        <f t="shared" si="2"/>
        <v>N</v>
      </c>
      <c r="Q2" s="19">
        <f>VLOOKUP($C2,$C$16:$Z$192,Q$1,FALSE)</f>
        <v>4</v>
      </c>
      <c r="R2" s="19">
        <f>VLOOKUP($C2,$C$16:$Z$192,R$1,FALSE)</f>
        <v>104</v>
      </c>
      <c r="S2" s="44" t="str">
        <f>IF(COUNTIF($E2:P2,"Y")=Q2,"","check")</f>
        <v/>
      </c>
      <c r="T2" s="23">
        <f>T1+1</f>
        <v>1</v>
      </c>
      <c r="U2" s="12">
        <f t="shared" ref="U2:U14" si="3">COUNTIF(Q$16:Q$200,T2)</f>
        <v>1</v>
      </c>
      <c r="V2" s="21">
        <f t="shared" si="1"/>
        <v>6.1349693251533744E-3</v>
      </c>
      <c r="W2" s="33"/>
      <c r="X2">
        <v>0</v>
      </c>
      <c r="Y2">
        <f>COUNTIF(S$16:S$179,X2)</f>
        <v>0</v>
      </c>
    </row>
    <row r="3" spans="1:25" ht="15" thickBot="1" x14ac:dyDescent="0.35">
      <c r="A3" s="2" t="s">
        <v>2</v>
      </c>
      <c r="C3" t="s">
        <v>162</v>
      </c>
      <c r="E3" s="13" t="str">
        <f t="shared" si="2"/>
        <v>N</v>
      </c>
      <c r="F3" s="14" t="str">
        <f t="shared" si="2"/>
        <v>Y</v>
      </c>
      <c r="G3" s="14" t="str">
        <f t="shared" si="2"/>
        <v>Y</v>
      </c>
      <c r="H3" s="14" t="str">
        <f t="shared" si="2"/>
        <v>N</v>
      </c>
      <c r="I3" s="14" t="str">
        <f t="shared" si="2"/>
        <v>Y</v>
      </c>
      <c r="J3" s="14" t="str">
        <f t="shared" si="2"/>
        <v>Y</v>
      </c>
      <c r="K3" s="14" t="str">
        <f t="shared" si="2"/>
        <v>N</v>
      </c>
      <c r="L3" s="14" t="str">
        <f t="shared" si="2"/>
        <v>N</v>
      </c>
      <c r="M3" s="14" t="str">
        <f t="shared" si="2"/>
        <v>Y</v>
      </c>
      <c r="N3" s="14" t="str">
        <f t="shared" si="2"/>
        <v>Y</v>
      </c>
      <c r="O3" s="14" t="str">
        <f t="shared" si="2"/>
        <v>N</v>
      </c>
      <c r="P3" s="14" t="str">
        <f t="shared" si="2"/>
        <v>N</v>
      </c>
      <c r="Q3" s="18">
        <f>VLOOKUP($C3,$C$16:$Z$192,Q$1,FALSE)</f>
        <v>6</v>
      </c>
      <c r="R3" s="18">
        <f>VLOOKUP($C3,$C$16:$Z$192,R$1,FALSE)</f>
        <v>102</v>
      </c>
      <c r="S3" s="44" t="str">
        <f>IF(COUNTIF($E3:P3,"Y")=Q3,"","check")</f>
        <v/>
      </c>
      <c r="T3" s="23">
        <f t="shared" ref="T3:T14" si="4">T2+1</f>
        <v>2</v>
      </c>
      <c r="U3" s="12">
        <f t="shared" si="3"/>
        <v>3</v>
      </c>
      <c r="V3" s="21">
        <f t="shared" si="1"/>
        <v>1.8404907975460124E-2</v>
      </c>
      <c r="W3" s="33"/>
      <c r="X3">
        <v>1</v>
      </c>
      <c r="Y3">
        <f t="shared" ref="Y3:Y66" si="5">COUNTIF(S$16:S$179,X3)</f>
        <v>0</v>
      </c>
    </row>
    <row r="4" spans="1:25" x14ac:dyDescent="0.3">
      <c r="A4" s="2" t="s">
        <v>3</v>
      </c>
      <c r="C4" t="s">
        <v>205</v>
      </c>
      <c r="E4" s="9">
        <f>E5/SUM(E5:E6)</f>
        <v>0.70129870129870131</v>
      </c>
      <c r="F4" s="9">
        <f t="shared" ref="F4:P4" si="6">F5/SUM(F5:F6)</f>
        <v>0.68831168831168832</v>
      </c>
      <c r="G4" s="9">
        <f t="shared" si="6"/>
        <v>0.37012987012987014</v>
      </c>
      <c r="H4" s="9">
        <f t="shared" si="6"/>
        <v>0.58441558441558439</v>
      </c>
      <c r="I4" s="9">
        <f t="shared" si="6"/>
        <v>0.60389610389610393</v>
      </c>
      <c r="J4" s="9">
        <f t="shared" si="6"/>
        <v>0.64935064935064934</v>
      </c>
      <c r="K4" s="9">
        <f t="shared" si="6"/>
        <v>0.72077922077922074</v>
      </c>
      <c r="L4" s="9">
        <f t="shared" si="6"/>
        <v>0.60389610389610393</v>
      </c>
      <c r="M4" s="9">
        <f t="shared" si="6"/>
        <v>0.29220779220779219</v>
      </c>
      <c r="N4" s="9">
        <f t="shared" si="6"/>
        <v>0.51298701298701299</v>
      </c>
      <c r="O4" s="9">
        <f t="shared" si="6"/>
        <v>0.54545454545454541</v>
      </c>
      <c r="P4" s="9">
        <f t="shared" si="6"/>
        <v>0.37012987012987014</v>
      </c>
      <c r="Q4" s="10" t="s">
        <v>217</v>
      </c>
      <c r="R4" s="10" t="s">
        <v>218</v>
      </c>
      <c r="T4" s="23">
        <f t="shared" si="4"/>
        <v>3</v>
      </c>
      <c r="U4" s="12">
        <f t="shared" si="3"/>
        <v>13</v>
      </c>
      <c r="V4" s="21">
        <f t="shared" si="1"/>
        <v>7.9754601226993863E-2</v>
      </c>
      <c r="W4" s="33"/>
      <c r="X4">
        <v>2</v>
      </c>
      <c r="Y4">
        <f t="shared" si="5"/>
        <v>0</v>
      </c>
    </row>
    <row r="5" spans="1:25" x14ac:dyDescent="0.3">
      <c r="A5" s="2" t="s">
        <v>0</v>
      </c>
      <c r="C5" t="s">
        <v>202</v>
      </c>
      <c r="D5">
        <f t="shared" ref="D5:P5" si="7">COUNTIF(D$16:D$197,D10)</f>
        <v>0</v>
      </c>
      <c r="E5">
        <f t="shared" si="7"/>
        <v>108</v>
      </c>
      <c r="F5">
        <f t="shared" si="7"/>
        <v>106</v>
      </c>
      <c r="G5">
        <f t="shared" si="7"/>
        <v>57</v>
      </c>
      <c r="H5">
        <f t="shared" si="7"/>
        <v>90</v>
      </c>
      <c r="I5">
        <f t="shared" si="7"/>
        <v>93</v>
      </c>
      <c r="J5">
        <f t="shared" si="7"/>
        <v>100</v>
      </c>
      <c r="K5">
        <f t="shared" si="7"/>
        <v>111</v>
      </c>
      <c r="L5">
        <f t="shared" si="7"/>
        <v>93</v>
      </c>
      <c r="M5">
        <f t="shared" si="7"/>
        <v>45</v>
      </c>
      <c r="N5">
        <f t="shared" si="7"/>
        <v>79</v>
      </c>
      <c r="O5">
        <f t="shared" si="7"/>
        <v>84</v>
      </c>
      <c r="P5">
        <f t="shared" si="7"/>
        <v>57</v>
      </c>
      <c r="T5" s="23">
        <f t="shared" si="4"/>
        <v>4</v>
      </c>
      <c r="U5" s="12">
        <f t="shared" si="3"/>
        <v>17</v>
      </c>
      <c r="V5" s="21">
        <f t="shared" si="1"/>
        <v>0.10429447852760736</v>
      </c>
      <c r="W5" s="33"/>
      <c r="X5">
        <v>3</v>
      </c>
      <c r="Y5">
        <f t="shared" si="5"/>
        <v>2</v>
      </c>
    </row>
    <row r="6" spans="1:25" ht="15" thickBot="1" x14ac:dyDescent="0.35">
      <c r="A6" s="2" t="s">
        <v>4</v>
      </c>
      <c r="C6" t="s">
        <v>203</v>
      </c>
      <c r="D6">
        <f t="shared" ref="D6:P6" si="8">COUNTIF(D$16:D$197,D12)</f>
        <v>0</v>
      </c>
      <c r="E6">
        <f t="shared" si="8"/>
        <v>46</v>
      </c>
      <c r="F6">
        <f t="shared" si="8"/>
        <v>48</v>
      </c>
      <c r="G6">
        <f t="shared" si="8"/>
        <v>97</v>
      </c>
      <c r="H6">
        <f t="shared" si="8"/>
        <v>64</v>
      </c>
      <c r="I6">
        <f t="shared" si="8"/>
        <v>61</v>
      </c>
      <c r="J6">
        <f t="shared" si="8"/>
        <v>54</v>
      </c>
      <c r="K6">
        <f t="shared" si="8"/>
        <v>43</v>
      </c>
      <c r="L6">
        <f t="shared" si="8"/>
        <v>61</v>
      </c>
      <c r="M6">
        <f t="shared" si="8"/>
        <v>109</v>
      </c>
      <c r="N6">
        <f t="shared" si="8"/>
        <v>75</v>
      </c>
      <c r="O6">
        <f t="shared" si="8"/>
        <v>70</v>
      </c>
      <c r="P6">
        <f t="shared" si="8"/>
        <v>97</v>
      </c>
      <c r="T6" s="23">
        <f t="shared" si="4"/>
        <v>5</v>
      </c>
      <c r="U6" s="12">
        <f t="shared" si="3"/>
        <v>37</v>
      </c>
      <c r="V6" s="21">
        <f t="shared" si="1"/>
        <v>0.22699386503067484</v>
      </c>
      <c r="W6" s="33"/>
      <c r="X6">
        <f>X5+1</f>
        <v>4</v>
      </c>
      <c r="Y6">
        <f t="shared" si="5"/>
        <v>0</v>
      </c>
    </row>
    <row r="7" spans="1:25" ht="15" thickBot="1" x14ac:dyDescent="0.35">
      <c r="A7" s="2"/>
      <c r="C7" t="s">
        <v>213</v>
      </c>
      <c r="E7" s="28" t="str">
        <f>IF(AND(E10=E8,E4&gt;0.5),"Y",IF(AND(E10=E8,E4&lt;0.5),"N",IF(E4&gt;0.5,"Y","N")))</f>
        <v>Y</v>
      </c>
      <c r="F7" s="11" t="str">
        <f>IF(AND(F10=F8,F4&gt;0.5),"Y",IF(AND(F10=F8,F4&lt;0.5),"N",IF(F4&gt;0.5,"Y","N")))</f>
        <v>Y</v>
      </c>
      <c r="G7" s="11" t="str">
        <f t="shared" ref="G7:P7" si="9">IF(AND(G10=G8,G4&gt;0.5),"Y",IF(AND(G10=G8,G4&lt;0.5),"N",IF(G4&lt;0.5,"Y","N")))</f>
        <v>N</v>
      </c>
      <c r="H7" s="11" t="str">
        <f t="shared" si="9"/>
        <v>N</v>
      </c>
      <c r="I7" s="11" t="str">
        <f t="shared" si="9"/>
        <v>Y</v>
      </c>
      <c r="J7" s="11" t="str">
        <f t="shared" si="9"/>
        <v>Y</v>
      </c>
      <c r="K7" s="11" t="str">
        <f t="shared" si="9"/>
        <v>N</v>
      </c>
      <c r="L7" s="11" t="str">
        <f t="shared" si="9"/>
        <v>N</v>
      </c>
      <c r="M7" s="11" t="str">
        <f t="shared" si="9"/>
        <v>N</v>
      </c>
      <c r="N7" s="11" t="str">
        <f t="shared" si="9"/>
        <v>Y</v>
      </c>
      <c r="O7" s="11" t="str">
        <f t="shared" si="9"/>
        <v>N</v>
      </c>
      <c r="P7" s="29" t="str">
        <f t="shared" si="9"/>
        <v>Y</v>
      </c>
      <c r="Q7" s="37" t="s">
        <v>220</v>
      </c>
      <c r="R7" s="38">
        <f>COUNTIF(C7:P7,"Y")</f>
        <v>6</v>
      </c>
      <c r="T7" s="34">
        <f t="shared" si="4"/>
        <v>6</v>
      </c>
      <c r="U7" s="35">
        <f t="shared" si="3"/>
        <v>38</v>
      </c>
      <c r="V7" s="36">
        <f t="shared" si="1"/>
        <v>0.23312883435582821</v>
      </c>
      <c r="W7" s="33"/>
      <c r="X7">
        <f t="shared" ref="X7:X70" si="10">X6+1</f>
        <v>5</v>
      </c>
      <c r="Y7">
        <f t="shared" si="5"/>
        <v>1</v>
      </c>
    </row>
    <row r="8" spans="1:25" ht="15" thickBot="1" x14ac:dyDescent="0.35">
      <c r="A8" s="2"/>
      <c r="C8" t="s">
        <v>212</v>
      </c>
      <c r="E8" s="30" t="s">
        <v>74</v>
      </c>
      <c r="F8" s="31" t="s">
        <v>207</v>
      </c>
      <c r="G8" s="31" t="s">
        <v>72</v>
      </c>
      <c r="H8" s="31" t="s">
        <v>68</v>
      </c>
      <c r="I8" s="31" t="s">
        <v>67</v>
      </c>
      <c r="J8" s="31" t="s">
        <v>59</v>
      </c>
      <c r="K8" s="31" t="s">
        <v>51</v>
      </c>
      <c r="L8" s="31" t="s">
        <v>47</v>
      </c>
      <c r="M8" s="31" t="s">
        <v>209</v>
      </c>
      <c r="N8" s="31" t="s">
        <v>48</v>
      </c>
      <c r="O8" s="31" t="s">
        <v>65</v>
      </c>
      <c r="P8" s="32" t="s">
        <v>73</v>
      </c>
      <c r="T8" s="23">
        <f t="shared" si="4"/>
        <v>7</v>
      </c>
      <c r="U8" s="12">
        <f t="shared" si="3"/>
        <v>28</v>
      </c>
      <c r="V8" s="21">
        <f t="shared" si="1"/>
        <v>0.17177914110429449</v>
      </c>
      <c r="W8" s="33"/>
      <c r="X8">
        <f t="shared" si="10"/>
        <v>6</v>
      </c>
      <c r="Y8">
        <f t="shared" si="5"/>
        <v>0</v>
      </c>
    </row>
    <row r="9" spans="1:25" x14ac:dyDescent="0.3">
      <c r="A9" s="47" t="s">
        <v>46</v>
      </c>
      <c r="B9" s="47"/>
      <c r="C9" s="2" t="s">
        <v>0</v>
      </c>
      <c r="D9" s="7">
        <v>34</v>
      </c>
      <c r="E9" s="7">
        <v>32</v>
      </c>
      <c r="F9" s="7">
        <v>42</v>
      </c>
      <c r="G9" s="7">
        <v>11</v>
      </c>
      <c r="H9" s="7">
        <v>22</v>
      </c>
      <c r="I9" s="7">
        <v>27</v>
      </c>
      <c r="J9" s="7">
        <v>28</v>
      </c>
      <c r="K9" s="7">
        <v>6</v>
      </c>
      <c r="L9" s="7">
        <v>18</v>
      </c>
      <c r="M9" s="7">
        <v>44</v>
      </c>
      <c r="N9" s="7">
        <v>38</v>
      </c>
      <c r="O9" s="7">
        <v>19</v>
      </c>
      <c r="P9" s="7">
        <v>20</v>
      </c>
      <c r="Q9" s="47" t="s">
        <v>76</v>
      </c>
      <c r="R9" s="47" t="s">
        <v>77</v>
      </c>
      <c r="S9" s="8" t="s">
        <v>231</v>
      </c>
      <c r="T9" s="23">
        <f t="shared" si="4"/>
        <v>8</v>
      </c>
      <c r="U9" s="12">
        <f t="shared" si="3"/>
        <v>15</v>
      </c>
      <c r="V9" s="21">
        <f t="shared" si="1"/>
        <v>9.202453987730061E-2</v>
      </c>
      <c r="W9" s="33"/>
      <c r="X9">
        <f t="shared" si="10"/>
        <v>7</v>
      </c>
      <c r="Y9">
        <f t="shared" si="5"/>
        <v>0</v>
      </c>
    </row>
    <row r="10" spans="1:25" x14ac:dyDescent="0.3">
      <c r="A10" s="47"/>
      <c r="B10" s="47"/>
      <c r="C10" s="2" t="s">
        <v>1</v>
      </c>
      <c r="D10" s="7" t="s">
        <v>71</v>
      </c>
      <c r="E10" s="7" t="s">
        <v>208</v>
      </c>
      <c r="F10" s="7" t="s">
        <v>207</v>
      </c>
      <c r="G10" s="7" t="s">
        <v>72</v>
      </c>
      <c r="H10" s="7" t="s">
        <v>60</v>
      </c>
      <c r="I10" s="7" t="s">
        <v>67</v>
      </c>
      <c r="J10" s="7" t="s">
        <v>59</v>
      </c>
      <c r="K10" s="7" t="s">
        <v>62</v>
      </c>
      <c r="L10" s="7" t="s">
        <v>55</v>
      </c>
      <c r="M10" s="7" t="s">
        <v>209</v>
      </c>
      <c r="N10" s="7" t="s">
        <v>48</v>
      </c>
      <c r="O10" s="7" t="s">
        <v>210</v>
      </c>
      <c r="P10" s="7" t="s">
        <v>70</v>
      </c>
      <c r="Q10" s="47"/>
      <c r="R10" s="47"/>
      <c r="S10" s="8" t="s">
        <v>77</v>
      </c>
      <c r="T10" s="23">
        <f t="shared" si="4"/>
        <v>9</v>
      </c>
      <c r="U10" s="12">
        <f t="shared" si="3"/>
        <v>2</v>
      </c>
      <c r="V10" s="21">
        <f t="shared" si="1"/>
        <v>1.2269938650306749E-2</v>
      </c>
      <c r="W10" s="33"/>
      <c r="X10">
        <f t="shared" si="10"/>
        <v>8</v>
      </c>
      <c r="Y10">
        <f t="shared" si="5"/>
        <v>0</v>
      </c>
    </row>
    <row r="11" spans="1:25" x14ac:dyDescent="0.3">
      <c r="A11" s="47"/>
      <c r="B11" s="47"/>
      <c r="C11" s="2" t="s">
        <v>2</v>
      </c>
      <c r="D11" s="7">
        <v>-3.5</v>
      </c>
      <c r="E11" s="7">
        <v>-6.5</v>
      </c>
      <c r="F11" s="7">
        <v>-5</v>
      </c>
      <c r="G11" s="7">
        <v>5</v>
      </c>
      <c r="H11" s="7">
        <v>-12.5</v>
      </c>
      <c r="I11" s="7">
        <v>-6.5</v>
      </c>
      <c r="J11" s="7">
        <v>-7</v>
      </c>
      <c r="K11" s="7">
        <v>-3.5</v>
      </c>
      <c r="L11" s="7">
        <v>-2.5</v>
      </c>
      <c r="M11" s="7">
        <v>4.5</v>
      </c>
      <c r="N11" s="7">
        <v>-4</v>
      </c>
      <c r="O11" s="7">
        <v>-4</v>
      </c>
      <c r="P11" s="7">
        <v>5.5</v>
      </c>
      <c r="Q11" s="47"/>
      <c r="R11" s="47"/>
      <c r="S11" s="8">
        <v>-47</v>
      </c>
      <c r="T11" s="23">
        <f t="shared" si="4"/>
        <v>10</v>
      </c>
      <c r="U11" s="12">
        <f t="shared" si="3"/>
        <v>0</v>
      </c>
      <c r="V11" s="21">
        <f t="shared" si="1"/>
        <v>0</v>
      </c>
      <c r="W11" s="33"/>
      <c r="X11">
        <f t="shared" si="10"/>
        <v>9</v>
      </c>
      <c r="Y11">
        <f t="shared" si="5"/>
        <v>0</v>
      </c>
    </row>
    <row r="12" spans="1:25" x14ac:dyDescent="0.3">
      <c r="A12" s="47"/>
      <c r="B12" s="47"/>
      <c r="C12" s="2" t="s">
        <v>3</v>
      </c>
      <c r="D12" s="7" t="s">
        <v>54</v>
      </c>
      <c r="E12" s="7" t="s">
        <v>74</v>
      </c>
      <c r="F12" s="7" t="s">
        <v>69</v>
      </c>
      <c r="G12" s="7" t="s">
        <v>58</v>
      </c>
      <c r="H12" s="7" t="s">
        <v>68</v>
      </c>
      <c r="I12" s="7" t="s">
        <v>61</v>
      </c>
      <c r="J12" s="7" t="s">
        <v>66</v>
      </c>
      <c r="K12" s="7" t="s">
        <v>51</v>
      </c>
      <c r="L12" s="7" t="s">
        <v>47</v>
      </c>
      <c r="M12" s="7" t="s">
        <v>75</v>
      </c>
      <c r="N12" s="7" t="s">
        <v>50</v>
      </c>
      <c r="O12" s="7" t="s">
        <v>65</v>
      </c>
      <c r="P12" s="7" t="s">
        <v>73</v>
      </c>
      <c r="Q12" s="47"/>
      <c r="R12" s="47"/>
      <c r="S12" s="8"/>
      <c r="T12" s="23">
        <f t="shared" si="4"/>
        <v>11</v>
      </c>
      <c r="U12" s="12">
        <f t="shared" si="3"/>
        <v>0</v>
      </c>
      <c r="V12" s="21">
        <f t="shared" si="1"/>
        <v>0</v>
      </c>
      <c r="W12" s="33"/>
      <c r="X12">
        <f t="shared" si="10"/>
        <v>10</v>
      </c>
      <c r="Y12">
        <f t="shared" si="5"/>
        <v>0</v>
      </c>
    </row>
    <row r="13" spans="1:25" x14ac:dyDescent="0.3">
      <c r="A13" s="47"/>
      <c r="B13" s="47"/>
      <c r="C13" s="2" t="s">
        <v>0</v>
      </c>
      <c r="D13" s="7">
        <v>31</v>
      </c>
      <c r="E13" s="7">
        <v>26</v>
      </c>
      <c r="F13" s="7">
        <v>21</v>
      </c>
      <c r="G13" s="7">
        <v>14</v>
      </c>
      <c r="H13" s="7">
        <v>16</v>
      </c>
      <c r="I13" s="7">
        <v>14</v>
      </c>
      <c r="J13" s="7">
        <v>13</v>
      </c>
      <c r="K13" s="7">
        <v>10</v>
      </c>
      <c r="L13" s="7">
        <v>30</v>
      </c>
      <c r="M13" s="7">
        <v>42</v>
      </c>
      <c r="N13" s="7">
        <v>13</v>
      </c>
      <c r="O13" s="7">
        <v>17</v>
      </c>
      <c r="P13" s="7">
        <v>27</v>
      </c>
      <c r="Q13" s="47"/>
      <c r="R13" s="47"/>
      <c r="S13" s="8"/>
      <c r="T13" s="23">
        <f t="shared" si="4"/>
        <v>12</v>
      </c>
      <c r="U13" s="12">
        <f t="shared" si="3"/>
        <v>0</v>
      </c>
      <c r="V13" s="21">
        <f t="shared" si="1"/>
        <v>0</v>
      </c>
      <c r="W13" s="33"/>
      <c r="X13">
        <f t="shared" si="10"/>
        <v>11</v>
      </c>
      <c r="Y13">
        <f t="shared" si="5"/>
        <v>0</v>
      </c>
    </row>
    <row r="14" spans="1:25" ht="15" thickBot="1" x14ac:dyDescent="0.35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47"/>
      <c r="R14" s="47"/>
      <c r="S14" s="8"/>
      <c r="T14" s="17">
        <f t="shared" si="4"/>
        <v>13</v>
      </c>
      <c r="U14" s="14">
        <f t="shared" si="3"/>
        <v>0</v>
      </c>
      <c r="V14" s="22">
        <f t="shared" si="1"/>
        <v>0</v>
      </c>
      <c r="W14" s="33"/>
      <c r="X14">
        <f t="shared" si="10"/>
        <v>12</v>
      </c>
      <c r="Y14">
        <f t="shared" si="5"/>
        <v>0</v>
      </c>
    </row>
    <row r="15" spans="1:25" ht="28.8" x14ac:dyDescent="0.3">
      <c r="A15" s="47"/>
      <c r="B15" s="47"/>
      <c r="C15" s="2" t="s">
        <v>5</v>
      </c>
      <c r="D15" s="7"/>
      <c r="E15" s="7" t="s">
        <v>206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47"/>
      <c r="R15" s="47"/>
      <c r="S15" s="8"/>
      <c r="X15">
        <f t="shared" si="10"/>
        <v>13</v>
      </c>
      <c r="Y15">
        <f t="shared" si="5"/>
        <v>0</v>
      </c>
    </row>
    <row r="16" spans="1:25" x14ac:dyDescent="0.3">
      <c r="A16" s="46">
        <v>1</v>
      </c>
      <c r="B16" s="4"/>
      <c r="C16" s="6" t="s">
        <v>129</v>
      </c>
      <c r="D16" s="5"/>
      <c r="E16" s="5" t="s">
        <v>74</v>
      </c>
      <c r="F16" s="5" t="s">
        <v>207</v>
      </c>
      <c r="G16" s="5" t="s">
        <v>58</v>
      </c>
      <c r="H16" s="5" t="s">
        <v>68</v>
      </c>
      <c r="I16" s="5" t="s">
        <v>67</v>
      </c>
      <c r="J16" s="5" t="s">
        <v>59</v>
      </c>
      <c r="K16" s="5" t="s">
        <v>62</v>
      </c>
      <c r="L16" s="5" t="s">
        <v>47</v>
      </c>
      <c r="M16" s="5" t="s">
        <v>209</v>
      </c>
      <c r="N16" s="5" t="s">
        <v>50</v>
      </c>
      <c r="O16" s="5" t="s">
        <v>65</v>
      </c>
      <c r="P16" s="5" t="s">
        <v>73</v>
      </c>
      <c r="Q16" s="1">
        <v>9</v>
      </c>
      <c r="R16" s="1">
        <v>110</v>
      </c>
      <c r="S16" s="1">
        <v>49</v>
      </c>
      <c r="X16">
        <f t="shared" si="10"/>
        <v>14</v>
      </c>
      <c r="Y16">
        <f t="shared" si="5"/>
        <v>0</v>
      </c>
    </row>
    <row r="17" spans="1:25" ht="28.8" x14ac:dyDescent="0.3">
      <c r="A17" s="46">
        <v>2</v>
      </c>
      <c r="B17" s="4"/>
      <c r="C17" s="6" t="s">
        <v>192</v>
      </c>
      <c r="D17" s="5"/>
      <c r="E17" s="5" t="s">
        <v>74</v>
      </c>
      <c r="F17" s="5" t="s">
        <v>207</v>
      </c>
      <c r="G17" s="5" t="s">
        <v>72</v>
      </c>
      <c r="H17" s="5" t="s">
        <v>68</v>
      </c>
      <c r="I17" s="5" t="s">
        <v>67</v>
      </c>
      <c r="J17" s="5" t="s">
        <v>66</v>
      </c>
      <c r="K17" s="5" t="s">
        <v>51</v>
      </c>
      <c r="L17" s="5" t="s">
        <v>47</v>
      </c>
      <c r="M17" s="5" t="s">
        <v>75</v>
      </c>
      <c r="N17" s="5" t="s">
        <v>48</v>
      </c>
      <c r="O17" s="5" t="s">
        <v>65</v>
      </c>
      <c r="P17" s="5" t="s">
        <v>70</v>
      </c>
      <c r="Q17" s="1">
        <v>9</v>
      </c>
      <c r="R17" s="1">
        <v>110</v>
      </c>
      <c r="S17" s="1">
        <v>51</v>
      </c>
      <c r="X17">
        <f t="shared" si="10"/>
        <v>15</v>
      </c>
      <c r="Y17">
        <f t="shared" si="5"/>
        <v>0</v>
      </c>
    </row>
    <row r="18" spans="1:25" x14ac:dyDescent="0.3">
      <c r="A18" s="46">
        <v>3</v>
      </c>
      <c r="B18" s="4"/>
      <c r="C18" s="6" t="s">
        <v>26</v>
      </c>
      <c r="D18" s="5"/>
      <c r="E18" s="5" t="s">
        <v>208</v>
      </c>
      <c r="F18" s="5" t="s">
        <v>207</v>
      </c>
      <c r="G18" s="5" t="s">
        <v>72</v>
      </c>
      <c r="H18" s="5" t="s">
        <v>68</v>
      </c>
      <c r="I18" s="5" t="s">
        <v>67</v>
      </c>
      <c r="J18" s="5" t="s">
        <v>66</v>
      </c>
      <c r="K18" s="5" t="s">
        <v>62</v>
      </c>
      <c r="L18" s="5" t="s">
        <v>55</v>
      </c>
      <c r="M18" s="5" t="s">
        <v>209</v>
      </c>
      <c r="N18" s="5" t="s">
        <v>48</v>
      </c>
      <c r="O18" s="5" t="s">
        <v>65</v>
      </c>
      <c r="P18" s="5" t="s">
        <v>73</v>
      </c>
      <c r="Q18" s="1">
        <v>8</v>
      </c>
      <c r="R18" s="1">
        <v>97</v>
      </c>
      <c r="S18" s="1">
        <v>46</v>
      </c>
      <c r="X18">
        <f t="shared" si="10"/>
        <v>16</v>
      </c>
      <c r="Y18">
        <f t="shared" si="5"/>
        <v>0</v>
      </c>
    </row>
    <row r="19" spans="1:25" x14ac:dyDescent="0.3">
      <c r="A19" s="46">
        <v>4</v>
      </c>
      <c r="B19" s="4"/>
      <c r="C19" s="6" t="s">
        <v>141</v>
      </c>
      <c r="D19" s="5"/>
      <c r="E19" s="5" t="s">
        <v>74</v>
      </c>
      <c r="F19" s="5" t="s">
        <v>69</v>
      </c>
      <c r="G19" s="5" t="s">
        <v>72</v>
      </c>
      <c r="H19" s="5" t="s">
        <v>68</v>
      </c>
      <c r="I19" s="5" t="s">
        <v>61</v>
      </c>
      <c r="J19" s="5" t="s">
        <v>66</v>
      </c>
      <c r="K19" s="5" t="s">
        <v>51</v>
      </c>
      <c r="L19" s="5" t="s">
        <v>47</v>
      </c>
      <c r="M19" s="5" t="s">
        <v>209</v>
      </c>
      <c r="N19" s="5" t="s">
        <v>50</v>
      </c>
      <c r="O19" s="5" t="s">
        <v>65</v>
      </c>
      <c r="P19" s="5" t="s">
        <v>73</v>
      </c>
      <c r="Q19" s="1">
        <v>8</v>
      </c>
      <c r="R19" s="1">
        <v>100</v>
      </c>
      <c r="S19" s="1">
        <v>48</v>
      </c>
      <c r="X19">
        <f t="shared" si="10"/>
        <v>17</v>
      </c>
      <c r="Y19">
        <f t="shared" si="5"/>
        <v>0</v>
      </c>
    </row>
    <row r="20" spans="1:25" ht="28.8" x14ac:dyDescent="0.3">
      <c r="A20" s="46">
        <v>5</v>
      </c>
      <c r="B20" s="4"/>
      <c r="C20" s="6" t="s">
        <v>163</v>
      </c>
      <c r="D20" s="5"/>
      <c r="E20" s="5" t="s">
        <v>208</v>
      </c>
      <c r="F20" s="5" t="s">
        <v>207</v>
      </c>
      <c r="G20" s="5" t="s">
        <v>58</v>
      </c>
      <c r="H20" s="5" t="s">
        <v>68</v>
      </c>
      <c r="I20" s="5" t="s">
        <v>67</v>
      </c>
      <c r="J20" s="5" t="s">
        <v>59</v>
      </c>
      <c r="K20" s="5" t="s">
        <v>51</v>
      </c>
      <c r="L20" s="5" t="s">
        <v>55</v>
      </c>
      <c r="M20" s="5" t="s">
        <v>209</v>
      </c>
      <c r="N20" s="5" t="s">
        <v>50</v>
      </c>
      <c r="O20" s="5" t="s">
        <v>65</v>
      </c>
      <c r="P20" s="5" t="s">
        <v>73</v>
      </c>
      <c r="Q20" s="1">
        <v>8</v>
      </c>
      <c r="R20" s="1">
        <v>107</v>
      </c>
      <c r="S20" s="1">
        <v>48</v>
      </c>
      <c r="X20">
        <f t="shared" si="10"/>
        <v>18</v>
      </c>
      <c r="Y20">
        <f t="shared" si="5"/>
        <v>0</v>
      </c>
    </row>
    <row r="21" spans="1:25" ht="28.8" x14ac:dyDescent="0.3">
      <c r="A21" s="46">
        <v>6</v>
      </c>
      <c r="B21" s="4"/>
      <c r="C21" s="6" t="s">
        <v>147</v>
      </c>
      <c r="D21" s="5"/>
      <c r="E21" s="5" t="s">
        <v>74</v>
      </c>
      <c r="F21" s="5" t="s">
        <v>207</v>
      </c>
      <c r="G21" s="5" t="s">
        <v>58</v>
      </c>
      <c r="H21" s="5" t="s">
        <v>68</v>
      </c>
      <c r="I21" s="5" t="s">
        <v>67</v>
      </c>
      <c r="J21" s="5" t="s">
        <v>59</v>
      </c>
      <c r="K21" s="5" t="s">
        <v>62</v>
      </c>
      <c r="L21" s="5" t="s">
        <v>47</v>
      </c>
      <c r="M21" s="5" t="s">
        <v>75</v>
      </c>
      <c r="N21" s="5" t="s">
        <v>48</v>
      </c>
      <c r="O21" s="5" t="s">
        <v>210</v>
      </c>
      <c r="P21" s="5" t="s">
        <v>73</v>
      </c>
      <c r="Q21" s="1">
        <v>8</v>
      </c>
      <c r="R21" s="1">
        <v>105</v>
      </c>
      <c r="S21" s="1">
        <v>48</v>
      </c>
      <c r="X21">
        <f t="shared" si="10"/>
        <v>19</v>
      </c>
      <c r="Y21">
        <f t="shared" si="5"/>
        <v>0</v>
      </c>
    </row>
    <row r="22" spans="1:25" ht="28.8" x14ac:dyDescent="0.3">
      <c r="A22" s="46">
        <v>7</v>
      </c>
      <c r="B22" s="4"/>
      <c r="C22" s="6" t="s">
        <v>22</v>
      </c>
      <c r="D22" s="5"/>
      <c r="E22" s="5" t="s">
        <v>74</v>
      </c>
      <c r="F22" s="5" t="s">
        <v>69</v>
      </c>
      <c r="G22" s="5" t="s">
        <v>72</v>
      </c>
      <c r="H22" s="5" t="s">
        <v>68</v>
      </c>
      <c r="I22" s="5" t="s">
        <v>61</v>
      </c>
      <c r="J22" s="5" t="s">
        <v>59</v>
      </c>
      <c r="K22" s="5" t="s">
        <v>51</v>
      </c>
      <c r="L22" s="5" t="s">
        <v>55</v>
      </c>
      <c r="M22" s="5" t="s">
        <v>209</v>
      </c>
      <c r="N22" s="5" t="s">
        <v>50</v>
      </c>
      <c r="O22" s="5" t="s">
        <v>65</v>
      </c>
      <c r="P22" s="5" t="s">
        <v>73</v>
      </c>
      <c r="Q22" s="1">
        <v>8</v>
      </c>
      <c r="R22" s="1">
        <v>105</v>
      </c>
      <c r="S22" s="1">
        <v>49</v>
      </c>
      <c r="X22">
        <f t="shared" si="10"/>
        <v>20</v>
      </c>
      <c r="Y22">
        <f t="shared" si="5"/>
        <v>0</v>
      </c>
    </row>
    <row r="23" spans="1:25" ht="28.8" x14ac:dyDescent="0.3">
      <c r="A23" s="46">
        <v>8</v>
      </c>
      <c r="B23" s="4"/>
      <c r="C23" s="6" t="s">
        <v>143</v>
      </c>
      <c r="D23" s="5"/>
      <c r="E23" s="5" t="s">
        <v>74</v>
      </c>
      <c r="F23" s="5" t="s">
        <v>69</v>
      </c>
      <c r="G23" s="5" t="s">
        <v>58</v>
      </c>
      <c r="H23" s="5" t="s">
        <v>68</v>
      </c>
      <c r="I23" s="5" t="s">
        <v>67</v>
      </c>
      <c r="J23" s="5" t="s">
        <v>59</v>
      </c>
      <c r="K23" s="5" t="s">
        <v>62</v>
      </c>
      <c r="L23" s="5" t="s">
        <v>47</v>
      </c>
      <c r="M23" s="5" t="s">
        <v>75</v>
      </c>
      <c r="N23" s="5" t="s">
        <v>48</v>
      </c>
      <c r="O23" s="5" t="s">
        <v>65</v>
      </c>
      <c r="P23" s="5" t="s">
        <v>73</v>
      </c>
      <c r="Q23" s="1">
        <v>8</v>
      </c>
      <c r="R23" s="1">
        <v>98</v>
      </c>
      <c r="S23" s="1">
        <v>49</v>
      </c>
      <c r="X23">
        <f t="shared" si="10"/>
        <v>21</v>
      </c>
      <c r="Y23">
        <f t="shared" si="5"/>
        <v>0</v>
      </c>
    </row>
    <row r="24" spans="1:25" x14ac:dyDescent="0.3">
      <c r="A24" s="46">
        <v>9</v>
      </c>
      <c r="B24" s="4"/>
      <c r="C24" s="6" t="s">
        <v>169</v>
      </c>
      <c r="D24" s="5"/>
      <c r="E24" s="5" t="s">
        <v>74</v>
      </c>
      <c r="F24" s="5" t="s">
        <v>207</v>
      </c>
      <c r="G24" s="5" t="s">
        <v>58</v>
      </c>
      <c r="H24" s="5" t="s">
        <v>60</v>
      </c>
      <c r="I24" s="5" t="s">
        <v>67</v>
      </c>
      <c r="J24" s="5" t="s">
        <v>66</v>
      </c>
      <c r="K24" s="5" t="s">
        <v>51</v>
      </c>
      <c r="L24" s="5" t="s">
        <v>47</v>
      </c>
      <c r="M24" s="5" t="s">
        <v>209</v>
      </c>
      <c r="N24" s="5" t="s">
        <v>50</v>
      </c>
      <c r="O24" s="5" t="s">
        <v>65</v>
      </c>
      <c r="P24" s="5" t="s">
        <v>73</v>
      </c>
      <c r="Q24" s="1">
        <v>8</v>
      </c>
      <c r="R24" s="1">
        <v>97</v>
      </c>
      <c r="S24" s="1">
        <v>49</v>
      </c>
      <c r="X24">
        <f t="shared" si="10"/>
        <v>22</v>
      </c>
      <c r="Y24">
        <f t="shared" si="5"/>
        <v>0</v>
      </c>
    </row>
    <row r="25" spans="1:25" x14ac:dyDescent="0.3">
      <c r="A25" s="46">
        <v>10</v>
      </c>
      <c r="B25" s="4"/>
      <c r="C25" s="6" t="s">
        <v>94</v>
      </c>
      <c r="D25" s="5"/>
      <c r="E25" s="5" t="s">
        <v>74</v>
      </c>
      <c r="F25" s="5" t="s">
        <v>207</v>
      </c>
      <c r="G25" s="5" t="s">
        <v>58</v>
      </c>
      <c r="H25" s="5" t="s">
        <v>68</v>
      </c>
      <c r="I25" s="5" t="s">
        <v>61</v>
      </c>
      <c r="J25" s="5" t="s">
        <v>59</v>
      </c>
      <c r="K25" s="5" t="s">
        <v>62</v>
      </c>
      <c r="L25" s="5" t="s">
        <v>47</v>
      </c>
      <c r="M25" s="5" t="s">
        <v>75</v>
      </c>
      <c r="N25" s="5" t="s">
        <v>48</v>
      </c>
      <c r="O25" s="5" t="s">
        <v>65</v>
      </c>
      <c r="P25" s="5" t="s">
        <v>73</v>
      </c>
      <c r="Q25" s="1">
        <v>8</v>
      </c>
      <c r="R25" s="1">
        <v>110</v>
      </c>
      <c r="S25" s="1">
        <v>50</v>
      </c>
      <c r="X25">
        <f t="shared" si="10"/>
        <v>23</v>
      </c>
      <c r="Y25">
        <f t="shared" si="5"/>
        <v>0</v>
      </c>
    </row>
    <row r="26" spans="1:25" ht="28.8" x14ac:dyDescent="0.3">
      <c r="A26" s="46">
        <v>11</v>
      </c>
      <c r="B26" s="4"/>
      <c r="C26" s="6" t="s">
        <v>103</v>
      </c>
      <c r="D26" s="5"/>
      <c r="E26" s="5" t="s">
        <v>208</v>
      </c>
      <c r="F26" s="5" t="s">
        <v>207</v>
      </c>
      <c r="G26" s="5" t="s">
        <v>72</v>
      </c>
      <c r="H26" s="5" t="s">
        <v>68</v>
      </c>
      <c r="I26" s="5" t="s">
        <v>67</v>
      </c>
      <c r="J26" s="5" t="s">
        <v>59</v>
      </c>
      <c r="K26" s="5" t="s">
        <v>62</v>
      </c>
      <c r="L26" s="5" t="s">
        <v>47</v>
      </c>
      <c r="M26" s="5" t="s">
        <v>75</v>
      </c>
      <c r="N26" s="5" t="s">
        <v>48</v>
      </c>
      <c r="O26" s="5" t="s">
        <v>210</v>
      </c>
      <c r="P26" s="5" t="s">
        <v>73</v>
      </c>
      <c r="Q26" s="1">
        <v>8</v>
      </c>
      <c r="R26" s="1">
        <v>102</v>
      </c>
      <c r="S26" s="1">
        <v>50</v>
      </c>
      <c r="X26">
        <f t="shared" si="10"/>
        <v>24</v>
      </c>
      <c r="Y26">
        <f t="shared" si="5"/>
        <v>1</v>
      </c>
    </row>
    <row r="27" spans="1:25" x14ac:dyDescent="0.3">
      <c r="A27" s="46">
        <v>12</v>
      </c>
      <c r="B27" s="4"/>
      <c r="C27" s="6" t="s">
        <v>37</v>
      </c>
      <c r="D27" s="5"/>
      <c r="E27" s="5" t="s">
        <v>208</v>
      </c>
      <c r="F27" s="5" t="s">
        <v>207</v>
      </c>
      <c r="G27" s="5" t="s">
        <v>72</v>
      </c>
      <c r="H27" s="5" t="s">
        <v>60</v>
      </c>
      <c r="I27" s="5" t="s">
        <v>67</v>
      </c>
      <c r="J27" s="5" t="s">
        <v>59</v>
      </c>
      <c r="K27" s="5" t="s">
        <v>51</v>
      </c>
      <c r="L27" s="5" t="s">
        <v>47</v>
      </c>
      <c r="M27" s="5" t="s">
        <v>75</v>
      </c>
      <c r="N27" s="5" t="s">
        <v>48</v>
      </c>
      <c r="O27" s="5" t="s">
        <v>210</v>
      </c>
      <c r="P27" s="5" t="s">
        <v>73</v>
      </c>
      <c r="Q27" s="1">
        <v>8</v>
      </c>
      <c r="R27" s="1">
        <v>103</v>
      </c>
      <c r="S27" s="1">
        <v>43</v>
      </c>
      <c r="X27">
        <f t="shared" si="10"/>
        <v>25</v>
      </c>
      <c r="Y27">
        <f t="shared" si="5"/>
        <v>0</v>
      </c>
    </row>
    <row r="28" spans="1:25" ht="28.8" x14ac:dyDescent="0.3">
      <c r="A28" s="46">
        <v>13</v>
      </c>
      <c r="B28" s="4"/>
      <c r="C28" s="6" t="s">
        <v>153</v>
      </c>
      <c r="D28" s="5"/>
      <c r="E28" s="5" t="s">
        <v>74</v>
      </c>
      <c r="F28" s="5" t="s">
        <v>207</v>
      </c>
      <c r="G28" s="5" t="s">
        <v>58</v>
      </c>
      <c r="H28" s="5" t="s">
        <v>60</v>
      </c>
      <c r="I28" s="5" t="s">
        <v>67</v>
      </c>
      <c r="J28" s="5" t="s">
        <v>59</v>
      </c>
      <c r="K28" s="5" t="s">
        <v>51</v>
      </c>
      <c r="L28" s="5" t="s">
        <v>55</v>
      </c>
      <c r="M28" s="5" t="s">
        <v>209</v>
      </c>
      <c r="N28" s="5" t="s">
        <v>48</v>
      </c>
      <c r="O28" s="5" t="s">
        <v>210</v>
      </c>
      <c r="P28" s="5" t="s">
        <v>73</v>
      </c>
      <c r="Q28" s="1">
        <v>8</v>
      </c>
      <c r="R28" s="1">
        <v>96</v>
      </c>
      <c r="S28" s="1">
        <v>41</v>
      </c>
      <c r="X28">
        <f t="shared" si="10"/>
        <v>26</v>
      </c>
      <c r="Y28">
        <f t="shared" si="5"/>
        <v>0</v>
      </c>
    </row>
    <row r="29" spans="1:25" x14ac:dyDescent="0.3">
      <c r="A29" s="46">
        <v>14</v>
      </c>
      <c r="B29" s="4"/>
      <c r="C29" s="6" t="s">
        <v>195</v>
      </c>
      <c r="D29" s="5"/>
      <c r="E29" s="5" t="s">
        <v>208</v>
      </c>
      <c r="F29" s="5" t="s">
        <v>207</v>
      </c>
      <c r="G29" s="5" t="s">
        <v>58</v>
      </c>
      <c r="H29" s="5" t="s">
        <v>60</v>
      </c>
      <c r="I29" s="5" t="s">
        <v>67</v>
      </c>
      <c r="J29" s="5" t="s">
        <v>59</v>
      </c>
      <c r="K29" s="5" t="s">
        <v>51</v>
      </c>
      <c r="L29" s="5" t="s">
        <v>47</v>
      </c>
      <c r="M29" s="5" t="s">
        <v>209</v>
      </c>
      <c r="N29" s="5" t="s">
        <v>48</v>
      </c>
      <c r="O29" s="5" t="s">
        <v>210</v>
      </c>
      <c r="P29" s="5" t="s">
        <v>73</v>
      </c>
      <c r="Q29" s="1">
        <v>8</v>
      </c>
      <c r="R29" s="1">
        <v>76</v>
      </c>
      <c r="S29" s="1">
        <v>41</v>
      </c>
      <c r="X29">
        <f t="shared" si="10"/>
        <v>27</v>
      </c>
      <c r="Y29">
        <f t="shared" si="5"/>
        <v>0</v>
      </c>
    </row>
    <row r="30" spans="1:25" x14ac:dyDescent="0.3">
      <c r="A30" s="46">
        <v>15</v>
      </c>
      <c r="B30" s="4"/>
      <c r="C30" s="6" t="s">
        <v>43</v>
      </c>
      <c r="D30" s="5"/>
      <c r="E30" s="5" t="s">
        <v>208</v>
      </c>
      <c r="F30" s="5" t="s">
        <v>207</v>
      </c>
      <c r="G30" s="5" t="s">
        <v>72</v>
      </c>
      <c r="H30" s="5" t="s">
        <v>60</v>
      </c>
      <c r="I30" s="5" t="s">
        <v>61</v>
      </c>
      <c r="J30" s="5" t="s">
        <v>59</v>
      </c>
      <c r="K30" s="5" t="s">
        <v>51</v>
      </c>
      <c r="L30" s="5" t="s">
        <v>47</v>
      </c>
      <c r="M30" s="5" t="s">
        <v>209</v>
      </c>
      <c r="N30" s="5" t="s">
        <v>50</v>
      </c>
      <c r="O30" s="5" t="s">
        <v>65</v>
      </c>
      <c r="P30" s="5" t="s">
        <v>73</v>
      </c>
      <c r="Q30" s="1">
        <v>8</v>
      </c>
      <c r="R30" s="1">
        <v>100</v>
      </c>
      <c r="S30" s="1">
        <v>54</v>
      </c>
      <c r="X30">
        <f t="shared" si="10"/>
        <v>28</v>
      </c>
      <c r="Y30">
        <f t="shared" si="5"/>
        <v>0</v>
      </c>
    </row>
    <row r="31" spans="1:25" x14ac:dyDescent="0.3">
      <c r="A31" s="46">
        <v>16</v>
      </c>
      <c r="B31" s="4"/>
      <c r="C31" s="6" t="s">
        <v>12</v>
      </c>
      <c r="D31" s="5"/>
      <c r="E31" s="5" t="s">
        <v>74</v>
      </c>
      <c r="F31" s="5" t="s">
        <v>207</v>
      </c>
      <c r="G31" s="5" t="s">
        <v>58</v>
      </c>
      <c r="H31" s="5" t="s">
        <v>68</v>
      </c>
      <c r="I31" s="5" t="s">
        <v>61</v>
      </c>
      <c r="J31" s="5" t="s">
        <v>59</v>
      </c>
      <c r="K31" s="5" t="s">
        <v>51</v>
      </c>
      <c r="L31" s="5" t="s">
        <v>55</v>
      </c>
      <c r="M31" s="5" t="s">
        <v>209</v>
      </c>
      <c r="N31" s="5" t="s">
        <v>48</v>
      </c>
      <c r="O31" s="5" t="s">
        <v>210</v>
      </c>
      <c r="P31" s="5" t="s">
        <v>73</v>
      </c>
      <c r="Q31" s="1">
        <v>8</v>
      </c>
      <c r="R31" s="1">
        <v>99</v>
      </c>
      <c r="S31" s="1">
        <v>35</v>
      </c>
      <c r="X31">
        <f t="shared" si="10"/>
        <v>29</v>
      </c>
      <c r="Y31">
        <f t="shared" si="5"/>
        <v>0</v>
      </c>
    </row>
    <row r="32" spans="1:25" x14ac:dyDescent="0.3">
      <c r="A32" s="46">
        <v>17</v>
      </c>
      <c r="B32" s="4"/>
      <c r="C32" s="6" t="s">
        <v>11</v>
      </c>
      <c r="D32" s="5"/>
      <c r="E32" s="5" t="s">
        <v>74</v>
      </c>
      <c r="F32" s="5" t="s">
        <v>207</v>
      </c>
      <c r="G32" s="5" t="s">
        <v>58</v>
      </c>
      <c r="H32" s="5" t="s">
        <v>60</v>
      </c>
      <c r="I32" s="5" t="s">
        <v>67</v>
      </c>
      <c r="J32" s="5" t="s">
        <v>59</v>
      </c>
      <c r="K32" s="5" t="s">
        <v>62</v>
      </c>
      <c r="L32" s="5" t="s">
        <v>47</v>
      </c>
      <c r="M32" s="5" t="s">
        <v>75</v>
      </c>
      <c r="N32" s="5" t="s">
        <v>48</v>
      </c>
      <c r="O32" s="5" t="s">
        <v>65</v>
      </c>
      <c r="P32" s="5" t="s">
        <v>73</v>
      </c>
      <c r="Q32" s="1">
        <v>8</v>
      </c>
      <c r="R32" s="1">
        <v>96</v>
      </c>
      <c r="S32" s="1">
        <v>35</v>
      </c>
      <c r="X32">
        <f t="shared" si="10"/>
        <v>30</v>
      </c>
      <c r="Y32">
        <f t="shared" si="5"/>
        <v>1</v>
      </c>
    </row>
    <row r="33" spans="1:25" ht="28.8" x14ac:dyDescent="0.3">
      <c r="A33" s="46">
        <v>18</v>
      </c>
      <c r="B33" s="4"/>
      <c r="C33" s="6" t="s">
        <v>99</v>
      </c>
      <c r="D33" s="5"/>
      <c r="E33" s="5" t="s">
        <v>208</v>
      </c>
      <c r="F33" s="5" t="s">
        <v>207</v>
      </c>
      <c r="G33" s="5" t="s">
        <v>72</v>
      </c>
      <c r="H33" s="5" t="s">
        <v>60</v>
      </c>
      <c r="I33" s="5" t="s">
        <v>67</v>
      </c>
      <c r="J33" s="5" t="s">
        <v>59</v>
      </c>
      <c r="K33" s="5" t="s">
        <v>51</v>
      </c>
      <c r="L33" s="5" t="s">
        <v>55</v>
      </c>
      <c r="M33" s="5" t="s">
        <v>75</v>
      </c>
      <c r="N33" s="5" t="s">
        <v>50</v>
      </c>
      <c r="O33" s="5" t="s">
        <v>65</v>
      </c>
      <c r="P33" s="5" t="s">
        <v>73</v>
      </c>
      <c r="Q33" s="1">
        <v>7</v>
      </c>
      <c r="R33" s="1">
        <v>114</v>
      </c>
      <c r="S33" s="1">
        <v>47</v>
      </c>
      <c r="X33">
        <f t="shared" si="10"/>
        <v>31</v>
      </c>
      <c r="Y33">
        <f t="shared" si="5"/>
        <v>2</v>
      </c>
    </row>
    <row r="34" spans="1:25" x14ac:dyDescent="0.3">
      <c r="A34" s="46">
        <v>19</v>
      </c>
      <c r="B34" s="4"/>
      <c r="C34" s="6" t="s">
        <v>187</v>
      </c>
      <c r="D34" s="5"/>
      <c r="E34" s="5" t="s">
        <v>208</v>
      </c>
      <c r="F34" s="5" t="s">
        <v>207</v>
      </c>
      <c r="G34" s="5" t="s">
        <v>58</v>
      </c>
      <c r="H34" s="5" t="s">
        <v>68</v>
      </c>
      <c r="I34" s="5" t="s">
        <v>67</v>
      </c>
      <c r="J34" s="5" t="s">
        <v>59</v>
      </c>
      <c r="K34" s="5" t="s">
        <v>62</v>
      </c>
      <c r="L34" s="5" t="s">
        <v>55</v>
      </c>
      <c r="M34" s="5" t="s">
        <v>75</v>
      </c>
      <c r="N34" s="5" t="s">
        <v>48</v>
      </c>
      <c r="O34" s="5" t="s">
        <v>65</v>
      </c>
      <c r="P34" s="5" t="s">
        <v>73</v>
      </c>
      <c r="Q34" s="1">
        <v>7</v>
      </c>
      <c r="R34" s="1">
        <v>99</v>
      </c>
      <c r="S34" s="1">
        <v>47</v>
      </c>
      <c r="X34">
        <f t="shared" si="10"/>
        <v>32</v>
      </c>
      <c r="Y34">
        <f t="shared" si="5"/>
        <v>0</v>
      </c>
    </row>
    <row r="35" spans="1:25" ht="28.8" x14ac:dyDescent="0.3">
      <c r="A35" s="46">
        <v>20</v>
      </c>
      <c r="B35" s="4"/>
      <c r="C35" s="6" t="s">
        <v>165</v>
      </c>
      <c r="D35" s="5"/>
      <c r="E35" s="5" t="s">
        <v>74</v>
      </c>
      <c r="F35" s="5" t="s">
        <v>69</v>
      </c>
      <c r="G35" s="5" t="s">
        <v>72</v>
      </c>
      <c r="H35" s="5" t="s">
        <v>68</v>
      </c>
      <c r="I35" s="5" t="s">
        <v>61</v>
      </c>
      <c r="J35" s="5" t="s">
        <v>66</v>
      </c>
      <c r="K35" s="5" t="s">
        <v>51</v>
      </c>
      <c r="L35" s="5" t="s">
        <v>47</v>
      </c>
      <c r="M35" s="5" t="s">
        <v>209</v>
      </c>
      <c r="N35" s="5" t="s">
        <v>50</v>
      </c>
      <c r="O35" s="5" t="s">
        <v>65</v>
      </c>
      <c r="P35" s="5" t="s">
        <v>70</v>
      </c>
      <c r="Q35" s="1">
        <v>7</v>
      </c>
      <c r="R35" s="1">
        <v>90</v>
      </c>
      <c r="S35" s="1">
        <v>47</v>
      </c>
      <c r="X35">
        <f t="shared" si="10"/>
        <v>33</v>
      </c>
      <c r="Y35">
        <f t="shared" si="5"/>
        <v>1</v>
      </c>
    </row>
    <row r="36" spans="1:25" x14ac:dyDescent="0.3">
      <c r="A36" s="46">
        <v>21</v>
      </c>
      <c r="B36" s="4"/>
      <c r="C36" s="6" t="s">
        <v>156</v>
      </c>
      <c r="D36" s="5"/>
      <c r="E36" s="5" t="s">
        <v>208</v>
      </c>
      <c r="F36" s="5" t="s">
        <v>69</v>
      </c>
      <c r="G36" s="5" t="s">
        <v>58</v>
      </c>
      <c r="H36" s="5" t="s">
        <v>68</v>
      </c>
      <c r="I36" s="5" t="s">
        <v>67</v>
      </c>
      <c r="J36" s="5" t="s">
        <v>66</v>
      </c>
      <c r="K36" s="5" t="s">
        <v>51</v>
      </c>
      <c r="L36" s="5" t="s">
        <v>47</v>
      </c>
      <c r="M36" s="5" t="s">
        <v>75</v>
      </c>
      <c r="N36" s="5" t="s">
        <v>48</v>
      </c>
      <c r="O36" s="5" t="s">
        <v>65</v>
      </c>
      <c r="P36" s="5" t="s">
        <v>73</v>
      </c>
      <c r="Q36" s="1">
        <v>7</v>
      </c>
      <c r="R36" s="1">
        <v>108</v>
      </c>
      <c r="S36" s="1">
        <v>48</v>
      </c>
      <c r="X36">
        <f t="shared" si="10"/>
        <v>34</v>
      </c>
      <c r="Y36">
        <f t="shared" si="5"/>
        <v>3</v>
      </c>
    </row>
    <row r="37" spans="1:25" x14ac:dyDescent="0.3">
      <c r="A37" s="46">
        <v>22</v>
      </c>
      <c r="B37" s="4"/>
      <c r="C37" s="6" t="s">
        <v>88</v>
      </c>
      <c r="D37" s="5"/>
      <c r="E37" s="5" t="s">
        <v>74</v>
      </c>
      <c r="F37" s="5" t="s">
        <v>207</v>
      </c>
      <c r="G37" s="5" t="s">
        <v>58</v>
      </c>
      <c r="H37" s="5" t="s">
        <v>60</v>
      </c>
      <c r="I37" s="5" t="s">
        <v>61</v>
      </c>
      <c r="J37" s="5" t="s">
        <v>59</v>
      </c>
      <c r="K37" s="5" t="s">
        <v>51</v>
      </c>
      <c r="L37" s="5" t="s">
        <v>47</v>
      </c>
      <c r="M37" s="5" t="s">
        <v>75</v>
      </c>
      <c r="N37" s="5" t="s">
        <v>48</v>
      </c>
      <c r="O37" s="5" t="s">
        <v>210</v>
      </c>
      <c r="P37" s="5" t="s">
        <v>73</v>
      </c>
      <c r="Q37" s="1">
        <v>7</v>
      </c>
      <c r="R37" s="1">
        <v>103</v>
      </c>
      <c r="S37" s="1">
        <v>46</v>
      </c>
      <c r="X37">
        <f t="shared" si="10"/>
        <v>35</v>
      </c>
      <c r="Y37">
        <f t="shared" si="5"/>
        <v>5</v>
      </c>
    </row>
    <row r="38" spans="1:25" ht="28.8" x14ac:dyDescent="0.3">
      <c r="A38" s="46">
        <v>23</v>
      </c>
      <c r="B38" s="4"/>
      <c r="C38" s="6" t="s">
        <v>177</v>
      </c>
      <c r="D38" s="5"/>
      <c r="E38" s="5" t="s">
        <v>208</v>
      </c>
      <c r="F38" s="5" t="s">
        <v>207</v>
      </c>
      <c r="G38" s="5" t="s">
        <v>58</v>
      </c>
      <c r="H38" s="5" t="s">
        <v>60</v>
      </c>
      <c r="I38" s="5" t="s">
        <v>67</v>
      </c>
      <c r="J38" s="5" t="s">
        <v>59</v>
      </c>
      <c r="K38" s="5" t="s">
        <v>62</v>
      </c>
      <c r="L38" s="5" t="s">
        <v>47</v>
      </c>
      <c r="M38" s="5" t="s">
        <v>75</v>
      </c>
      <c r="N38" s="5" t="s">
        <v>48</v>
      </c>
      <c r="O38" s="5" t="s">
        <v>65</v>
      </c>
      <c r="P38" s="5" t="s">
        <v>73</v>
      </c>
      <c r="Q38" s="1">
        <v>7</v>
      </c>
      <c r="R38" s="1">
        <v>105</v>
      </c>
      <c r="S38" s="1">
        <v>45</v>
      </c>
      <c r="X38">
        <f t="shared" si="10"/>
        <v>36</v>
      </c>
      <c r="Y38">
        <f t="shared" si="5"/>
        <v>2</v>
      </c>
    </row>
    <row r="39" spans="1:25" ht="28.8" x14ac:dyDescent="0.3">
      <c r="A39" s="46">
        <v>24</v>
      </c>
      <c r="B39" s="4"/>
      <c r="C39" s="6" t="s">
        <v>89</v>
      </c>
      <c r="D39" s="5"/>
      <c r="E39" s="5" t="s">
        <v>208</v>
      </c>
      <c r="F39" s="5" t="s">
        <v>207</v>
      </c>
      <c r="G39" s="5" t="s">
        <v>58</v>
      </c>
      <c r="H39" s="5" t="s">
        <v>60</v>
      </c>
      <c r="I39" s="5" t="s">
        <v>67</v>
      </c>
      <c r="J39" s="5" t="s">
        <v>59</v>
      </c>
      <c r="K39" s="5" t="s">
        <v>51</v>
      </c>
      <c r="L39" s="5" t="s">
        <v>47</v>
      </c>
      <c r="M39" s="5" t="s">
        <v>75</v>
      </c>
      <c r="N39" s="5" t="s">
        <v>48</v>
      </c>
      <c r="O39" s="5" t="s">
        <v>210</v>
      </c>
      <c r="P39" s="5" t="s">
        <v>73</v>
      </c>
      <c r="Q39" s="1">
        <v>7</v>
      </c>
      <c r="R39" s="1">
        <v>96</v>
      </c>
      <c r="S39" s="1">
        <v>45</v>
      </c>
      <c r="X39">
        <f t="shared" si="10"/>
        <v>37</v>
      </c>
      <c r="Y39">
        <f t="shared" si="5"/>
        <v>2</v>
      </c>
    </row>
    <row r="40" spans="1:25" x14ac:dyDescent="0.3">
      <c r="A40" s="46">
        <v>25</v>
      </c>
      <c r="B40" s="4"/>
      <c r="C40" s="6" t="s">
        <v>91</v>
      </c>
      <c r="D40" s="5"/>
      <c r="E40" s="5" t="s">
        <v>74</v>
      </c>
      <c r="F40" s="5" t="s">
        <v>207</v>
      </c>
      <c r="G40" s="5" t="s">
        <v>72</v>
      </c>
      <c r="H40" s="5" t="s">
        <v>68</v>
      </c>
      <c r="I40" s="5" t="s">
        <v>61</v>
      </c>
      <c r="J40" s="5" t="s">
        <v>66</v>
      </c>
      <c r="K40" s="5" t="s">
        <v>62</v>
      </c>
      <c r="L40" s="5" t="s">
        <v>55</v>
      </c>
      <c r="M40" s="5" t="s">
        <v>209</v>
      </c>
      <c r="N40" s="5" t="s">
        <v>48</v>
      </c>
      <c r="O40" s="5" t="s">
        <v>210</v>
      </c>
      <c r="P40" s="5" t="s">
        <v>73</v>
      </c>
      <c r="Q40" s="1">
        <v>7</v>
      </c>
      <c r="R40" s="1">
        <v>83</v>
      </c>
      <c r="S40" s="1">
        <v>45</v>
      </c>
      <c r="X40">
        <f t="shared" si="10"/>
        <v>38</v>
      </c>
      <c r="Y40">
        <f t="shared" si="5"/>
        <v>0</v>
      </c>
    </row>
    <row r="41" spans="1:25" ht="28.8" x14ac:dyDescent="0.3">
      <c r="A41" s="46">
        <v>26</v>
      </c>
      <c r="B41" s="4"/>
      <c r="C41" s="6" t="s">
        <v>29</v>
      </c>
      <c r="D41" s="5"/>
      <c r="E41" s="5" t="s">
        <v>208</v>
      </c>
      <c r="F41" s="5" t="s">
        <v>207</v>
      </c>
      <c r="G41" s="5" t="s">
        <v>72</v>
      </c>
      <c r="H41" s="5" t="s">
        <v>68</v>
      </c>
      <c r="I41" s="5" t="s">
        <v>61</v>
      </c>
      <c r="J41" s="5" t="s">
        <v>66</v>
      </c>
      <c r="K41" s="5" t="s">
        <v>62</v>
      </c>
      <c r="L41" s="5" t="s">
        <v>47</v>
      </c>
      <c r="M41" s="5" t="s">
        <v>75</v>
      </c>
      <c r="N41" s="5" t="s">
        <v>48</v>
      </c>
      <c r="O41" s="5" t="s">
        <v>65</v>
      </c>
      <c r="P41" s="5" t="s">
        <v>73</v>
      </c>
      <c r="Q41" s="1">
        <v>7</v>
      </c>
      <c r="R41" s="1">
        <v>99</v>
      </c>
      <c r="S41" s="1">
        <v>50</v>
      </c>
      <c r="X41">
        <f t="shared" si="10"/>
        <v>39</v>
      </c>
      <c r="Y41">
        <f t="shared" si="5"/>
        <v>1</v>
      </c>
    </row>
    <row r="42" spans="1:25" ht="28.8" x14ac:dyDescent="0.3">
      <c r="A42" s="46">
        <v>27</v>
      </c>
      <c r="B42" s="4"/>
      <c r="C42" s="6" t="s">
        <v>10</v>
      </c>
      <c r="D42" s="5"/>
      <c r="E42" s="5" t="s">
        <v>208</v>
      </c>
      <c r="F42" s="5" t="s">
        <v>69</v>
      </c>
      <c r="G42" s="5" t="s">
        <v>72</v>
      </c>
      <c r="H42" s="5" t="s">
        <v>60</v>
      </c>
      <c r="I42" s="5" t="s">
        <v>67</v>
      </c>
      <c r="J42" s="5" t="s">
        <v>59</v>
      </c>
      <c r="K42" s="5" t="s">
        <v>51</v>
      </c>
      <c r="L42" s="5" t="s">
        <v>47</v>
      </c>
      <c r="M42" s="5" t="s">
        <v>209</v>
      </c>
      <c r="N42" s="5" t="s">
        <v>50</v>
      </c>
      <c r="O42" s="5" t="s">
        <v>65</v>
      </c>
      <c r="P42" s="5" t="s">
        <v>70</v>
      </c>
      <c r="Q42" s="1">
        <v>7</v>
      </c>
      <c r="R42" s="1">
        <v>96</v>
      </c>
      <c r="S42" s="1">
        <v>50</v>
      </c>
      <c r="X42">
        <f t="shared" si="10"/>
        <v>40</v>
      </c>
      <c r="Y42">
        <f t="shared" si="5"/>
        <v>3</v>
      </c>
    </row>
    <row r="43" spans="1:25" ht="28.8" x14ac:dyDescent="0.3">
      <c r="A43" s="46">
        <v>28</v>
      </c>
      <c r="B43" s="4"/>
      <c r="C43" s="6" t="s">
        <v>9</v>
      </c>
      <c r="D43" s="5"/>
      <c r="E43" s="5" t="s">
        <v>208</v>
      </c>
      <c r="F43" s="5" t="s">
        <v>207</v>
      </c>
      <c r="G43" s="5" t="s">
        <v>72</v>
      </c>
      <c r="H43" s="5" t="s">
        <v>60</v>
      </c>
      <c r="I43" s="5" t="s">
        <v>67</v>
      </c>
      <c r="J43" s="5" t="s">
        <v>59</v>
      </c>
      <c r="K43" s="5" t="s">
        <v>62</v>
      </c>
      <c r="L43" s="5" t="s">
        <v>47</v>
      </c>
      <c r="M43" s="5" t="s">
        <v>75</v>
      </c>
      <c r="N43" s="5" t="s">
        <v>48</v>
      </c>
      <c r="O43" s="5" t="s">
        <v>210</v>
      </c>
      <c r="P43" s="5" t="s">
        <v>73</v>
      </c>
      <c r="Q43" s="1">
        <v>7</v>
      </c>
      <c r="R43" s="1">
        <v>107</v>
      </c>
      <c r="S43" s="1">
        <v>50</v>
      </c>
      <c r="X43">
        <f t="shared" si="10"/>
        <v>41</v>
      </c>
      <c r="Y43">
        <f t="shared" si="5"/>
        <v>6</v>
      </c>
    </row>
    <row r="44" spans="1:25" ht="28.8" x14ac:dyDescent="0.3">
      <c r="A44" s="46">
        <v>29</v>
      </c>
      <c r="B44" s="4"/>
      <c r="C44" s="6" t="s">
        <v>81</v>
      </c>
      <c r="D44" s="5"/>
      <c r="E44" s="5" t="s">
        <v>74</v>
      </c>
      <c r="F44" s="5" t="s">
        <v>207</v>
      </c>
      <c r="G44" s="5" t="s">
        <v>58</v>
      </c>
      <c r="H44" s="5" t="s">
        <v>68</v>
      </c>
      <c r="I44" s="5" t="s">
        <v>67</v>
      </c>
      <c r="J44" s="5" t="s">
        <v>66</v>
      </c>
      <c r="K44" s="5" t="s">
        <v>51</v>
      </c>
      <c r="L44" s="5" t="s">
        <v>55</v>
      </c>
      <c r="M44" s="5" t="s">
        <v>75</v>
      </c>
      <c r="N44" s="5" t="s">
        <v>50</v>
      </c>
      <c r="O44" s="5" t="s">
        <v>65</v>
      </c>
      <c r="P44" s="5" t="s">
        <v>73</v>
      </c>
      <c r="Q44" s="1">
        <v>7</v>
      </c>
      <c r="R44" s="1">
        <v>110</v>
      </c>
      <c r="S44" s="1">
        <v>43</v>
      </c>
      <c r="X44">
        <f t="shared" si="10"/>
        <v>42</v>
      </c>
      <c r="Y44">
        <f t="shared" si="5"/>
        <v>12</v>
      </c>
    </row>
    <row r="45" spans="1:25" ht="28.8" x14ac:dyDescent="0.3">
      <c r="A45" s="46">
        <v>30</v>
      </c>
      <c r="B45" s="4"/>
      <c r="C45" s="6" t="s">
        <v>20</v>
      </c>
      <c r="D45" s="5"/>
      <c r="E45" s="5" t="s">
        <v>74</v>
      </c>
      <c r="F45" s="5" t="s">
        <v>207</v>
      </c>
      <c r="G45" s="5" t="s">
        <v>72</v>
      </c>
      <c r="H45" s="5" t="s">
        <v>60</v>
      </c>
      <c r="I45" s="5" t="s">
        <v>67</v>
      </c>
      <c r="J45" s="5" t="s">
        <v>59</v>
      </c>
      <c r="K45" s="5" t="s">
        <v>62</v>
      </c>
      <c r="L45" s="5" t="s">
        <v>55</v>
      </c>
      <c r="M45" s="5" t="s">
        <v>75</v>
      </c>
      <c r="N45" s="5" t="s">
        <v>48</v>
      </c>
      <c r="O45" s="5" t="s">
        <v>210</v>
      </c>
      <c r="P45" s="5" t="s">
        <v>73</v>
      </c>
      <c r="Q45" s="1">
        <v>7</v>
      </c>
      <c r="R45" s="1">
        <v>99</v>
      </c>
      <c r="S45" s="1">
        <v>42</v>
      </c>
      <c r="X45">
        <f t="shared" si="10"/>
        <v>43</v>
      </c>
      <c r="Y45">
        <f t="shared" si="5"/>
        <v>4</v>
      </c>
    </row>
    <row r="46" spans="1:25" ht="28.8" x14ac:dyDescent="0.3">
      <c r="A46" s="46">
        <v>31</v>
      </c>
      <c r="B46" s="4"/>
      <c r="C46" s="6" t="s">
        <v>176</v>
      </c>
      <c r="D46" s="5"/>
      <c r="E46" s="5" t="s">
        <v>208</v>
      </c>
      <c r="F46" s="5" t="s">
        <v>69</v>
      </c>
      <c r="G46" s="5" t="s">
        <v>58</v>
      </c>
      <c r="H46" s="5" t="s">
        <v>68</v>
      </c>
      <c r="I46" s="5" t="s">
        <v>67</v>
      </c>
      <c r="J46" s="5" t="s">
        <v>59</v>
      </c>
      <c r="K46" s="5" t="s">
        <v>51</v>
      </c>
      <c r="L46" s="5" t="s">
        <v>47</v>
      </c>
      <c r="M46" s="5" t="s">
        <v>75</v>
      </c>
      <c r="N46" s="5" t="s">
        <v>48</v>
      </c>
      <c r="O46" s="5" t="s">
        <v>210</v>
      </c>
      <c r="P46" s="5" t="s">
        <v>73</v>
      </c>
      <c r="Q46" s="1">
        <v>7</v>
      </c>
      <c r="R46" s="1">
        <v>101</v>
      </c>
      <c r="S46" s="1">
        <v>52</v>
      </c>
      <c r="X46">
        <f t="shared" si="10"/>
        <v>44</v>
      </c>
      <c r="Y46">
        <f t="shared" si="5"/>
        <v>7</v>
      </c>
    </row>
    <row r="47" spans="1:25" ht="28.8" x14ac:dyDescent="0.3">
      <c r="A47" s="46">
        <v>32</v>
      </c>
      <c r="B47" s="4"/>
      <c r="C47" s="6" t="s">
        <v>191</v>
      </c>
      <c r="D47" s="5"/>
      <c r="E47" s="5" t="s">
        <v>208</v>
      </c>
      <c r="F47" s="5" t="s">
        <v>207</v>
      </c>
      <c r="G47" s="5" t="s">
        <v>72</v>
      </c>
      <c r="H47" s="5" t="s">
        <v>68</v>
      </c>
      <c r="I47" s="5" t="s">
        <v>61</v>
      </c>
      <c r="J47" s="5" t="s">
        <v>59</v>
      </c>
      <c r="K47" s="5" t="s">
        <v>51</v>
      </c>
      <c r="L47" s="5" t="s">
        <v>55</v>
      </c>
      <c r="M47" s="5" t="s">
        <v>209</v>
      </c>
      <c r="N47" s="5" t="s">
        <v>50</v>
      </c>
      <c r="O47" s="5" t="s">
        <v>65</v>
      </c>
      <c r="P47" s="5" t="s">
        <v>70</v>
      </c>
      <c r="Q47" s="1">
        <v>7</v>
      </c>
      <c r="R47" s="1">
        <v>99</v>
      </c>
      <c r="S47" s="1">
        <v>52</v>
      </c>
      <c r="X47">
        <f t="shared" si="10"/>
        <v>45</v>
      </c>
      <c r="Y47">
        <f t="shared" si="5"/>
        <v>16</v>
      </c>
    </row>
    <row r="48" spans="1:25" ht="43.2" x14ac:dyDescent="0.3">
      <c r="A48" s="46">
        <v>33</v>
      </c>
      <c r="B48" s="4"/>
      <c r="C48" s="6" t="s">
        <v>171</v>
      </c>
      <c r="D48" s="5"/>
      <c r="E48" s="5" t="s">
        <v>74</v>
      </c>
      <c r="F48" s="5" t="s">
        <v>69</v>
      </c>
      <c r="G48" s="5" t="s">
        <v>58</v>
      </c>
      <c r="H48" s="5" t="s">
        <v>68</v>
      </c>
      <c r="I48" s="5" t="s">
        <v>67</v>
      </c>
      <c r="J48" s="5" t="s">
        <v>66</v>
      </c>
      <c r="K48" s="5" t="s">
        <v>51</v>
      </c>
      <c r="L48" s="5" t="s">
        <v>55</v>
      </c>
      <c r="M48" s="5" t="s">
        <v>209</v>
      </c>
      <c r="N48" s="5" t="s">
        <v>48</v>
      </c>
      <c r="O48" s="5" t="s">
        <v>65</v>
      </c>
      <c r="P48" s="5" t="s">
        <v>70</v>
      </c>
      <c r="Q48" s="1">
        <v>7</v>
      </c>
      <c r="R48" s="1">
        <v>95</v>
      </c>
      <c r="S48" s="1">
        <v>42</v>
      </c>
      <c r="X48">
        <f t="shared" si="10"/>
        <v>46</v>
      </c>
      <c r="Y48">
        <f t="shared" si="5"/>
        <v>7</v>
      </c>
    </row>
    <row r="49" spans="1:25" x14ac:dyDescent="0.3">
      <c r="A49" s="46">
        <v>34</v>
      </c>
      <c r="B49" s="4"/>
      <c r="C49" s="6" t="s">
        <v>83</v>
      </c>
      <c r="D49" s="5"/>
      <c r="E49" s="5" t="s">
        <v>208</v>
      </c>
      <c r="F49" s="5" t="s">
        <v>207</v>
      </c>
      <c r="G49" s="5" t="s">
        <v>72</v>
      </c>
      <c r="H49" s="5" t="s">
        <v>68</v>
      </c>
      <c r="I49" s="5" t="s">
        <v>67</v>
      </c>
      <c r="J49" s="5" t="s">
        <v>59</v>
      </c>
      <c r="K49" s="5" t="s">
        <v>51</v>
      </c>
      <c r="L49" s="5" t="s">
        <v>55</v>
      </c>
      <c r="M49" s="5" t="s">
        <v>75</v>
      </c>
      <c r="N49" s="5" t="s">
        <v>50</v>
      </c>
      <c r="O49" s="5" t="s">
        <v>210</v>
      </c>
      <c r="P49" s="5" t="s">
        <v>73</v>
      </c>
      <c r="Q49" s="1">
        <v>7</v>
      </c>
      <c r="R49" s="1">
        <v>107</v>
      </c>
      <c r="S49" s="1">
        <v>42</v>
      </c>
      <c r="X49">
        <f t="shared" si="10"/>
        <v>47</v>
      </c>
      <c r="Y49">
        <f t="shared" si="5"/>
        <v>9</v>
      </c>
    </row>
    <row r="50" spans="1:25" ht="28.8" x14ac:dyDescent="0.3">
      <c r="A50" s="46">
        <v>35</v>
      </c>
      <c r="B50" s="4"/>
      <c r="C50" s="6" t="s">
        <v>34</v>
      </c>
      <c r="D50" s="5"/>
      <c r="E50" s="5" t="s">
        <v>208</v>
      </c>
      <c r="F50" s="5" t="s">
        <v>207</v>
      </c>
      <c r="G50" s="5" t="s">
        <v>58</v>
      </c>
      <c r="H50" s="5" t="s">
        <v>60</v>
      </c>
      <c r="I50" s="5" t="s">
        <v>67</v>
      </c>
      <c r="J50" s="5" t="s">
        <v>59</v>
      </c>
      <c r="K50" s="5" t="s">
        <v>62</v>
      </c>
      <c r="L50" s="5" t="s">
        <v>47</v>
      </c>
      <c r="M50" s="5" t="s">
        <v>75</v>
      </c>
      <c r="N50" s="5" t="s">
        <v>48</v>
      </c>
      <c r="O50" s="5" t="s">
        <v>65</v>
      </c>
      <c r="P50" s="5" t="s">
        <v>73</v>
      </c>
      <c r="Q50" s="1">
        <v>7</v>
      </c>
      <c r="R50" s="1">
        <v>94</v>
      </c>
      <c r="S50" s="1">
        <v>41</v>
      </c>
      <c r="X50">
        <f t="shared" si="10"/>
        <v>48</v>
      </c>
      <c r="Y50">
        <f t="shared" si="5"/>
        <v>7</v>
      </c>
    </row>
    <row r="51" spans="1:25" ht="28.8" x14ac:dyDescent="0.3">
      <c r="A51" s="46">
        <v>36</v>
      </c>
      <c r="B51" s="4"/>
      <c r="C51" s="6" t="s">
        <v>17</v>
      </c>
      <c r="D51" s="5"/>
      <c r="E51" s="5" t="s">
        <v>74</v>
      </c>
      <c r="F51" s="5" t="s">
        <v>207</v>
      </c>
      <c r="G51" s="5" t="s">
        <v>58</v>
      </c>
      <c r="H51" s="5" t="s">
        <v>68</v>
      </c>
      <c r="I51" s="5" t="s">
        <v>67</v>
      </c>
      <c r="J51" s="5" t="s">
        <v>59</v>
      </c>
      <c r="K51" s="5" t="s">
        <v>62</v>
      </c>
      <c r="L51" s="5" t="s">
        <v>55</v>
      </c>
      <c r="M51" s="5" t="s">
        <v>75</v>
      </c>
      <c r="N51" s="5" t="s">
        <v>48</v>
      </c>
      <c r="O51" s="5" t="s">
        <v>65</v>
      </c>
      <c r="P51" s="5" t="s">
        <v>70</v>
      </c>
      <c r="Q51" s="1">
        <v>7</v>
      </c>
      <c r="R51" s="1">
        <v>102</v>
      </c>
      <c r="S51" s="1">
        <v>40</v>
      </c>
      <c r="X51">
        <f t="shared" si="10"/>
        <v>49</v>
      </c>
      <c r="Y51">
        <f t="shared" si="5"/>
        <v>12</v>
      </c>
    </row>
    <row r="52" spans="1:25" x14ac:dyDescent="0.3">
      <c r="A52" s="46">
        <v>37</v>
      </c>
      <c r="B52" s="4"/>
      <c r="C52" s="6" t="s">
        <v>14</v>
      </c>
      <c r="D52" s="5"/>
      <c r="E52" s="5" t="s">
        <v>208</v>
      </c>
      <c r="F52" s="5" t="s">
        <v>207</v>
      </c>
      <c r="G52" s="5" t="s">
        <v>58</v>
      </c>
      <c r="H52" s="5" t="s">
        <v>68</v>
      </c>
      <c r="I52" s="5" t="s">
        <v>67</v>
      </c>
      <c r="J52" s="5" t="s">
        <v>59</v>
      </c>
      <c r="K52" s="5" t="s">
        <v>62</v>
      </c>
      <c r="L52" s="5" t="s">
        <v>47</v>
      </c>
      <c r="M52" s="5" t="s">
        <v>75</v>
      </c>
      <c r="N52" s="5" t="s">
        <v>50</v>
      </c>
      <c r="O52" s="5" t="s">
        <v>65</v>
      </c>
      <c r="P52" s="5" t="s">
        <v>73</v>
      </c>
      <c r="Q52" s="1">
        <v>7</v>
      </c>
      <c r="R52" s="1">
        <v>103</v>
      </c>
      <c r="S52" s="1">
        <v>54</v>
      </c>
      <c r="X52">
        <f t="shared" si="10"/>
        <v>50</v>
      </c>
      <c r="Y52">
        <f t="shared" si="5"/>
        <v>9</v>
      </c>
    </row>
    <row r="53" spans="1:25" x14ac:dyDescent="0.3">
      <c r="A53" s="46">
        <v>38</v>
      </c>
      <c r="B53" s="4"/>
      <c r="C53" s="6" t="s">
        <v>40</v>
      </c>
      <c r="D53" s="5"/>
      <c r="E53" s="5" t="s">
        <v>74</v>
      </c>
      <c r="F53" s="5" t="s">
        <v>207</v>
      </c>
      <c r="G53" s="5" t="s">
        <v>72</v>
      </c>
      <c r="H53" s="5" t="s">
        <v>68</v>
      </c>
      <c r="I53" s="5" t="s">
        <v>67</v>
      </c>
      <c r="J53" s="5" t="s">
        <v>59</v>
      </c>
      <c r="K53" s="5" t="s">
        <v>62</v>
      </c>
      <c r="L53" s="5" t="s">
        <v>55</v>
      </c>
      <c r="M53" s="5" t="s">
        <v>209</v>
      </c>
      <c r="N53" s="5" t="s">
        <v>50</v>
      </c>
      <c r="O53" s="5" t="s">
        <v>210</v>
      </c>
      <c r="P53" s="5" t="s">
        <v>70</v>
      </c>
      <c r="Q53" s="1">
        <v>7</v>
      </c>
      <c r="R53" s="1">
        <v>99</v>
      </c>
      <c r="S53" s="1">
        <v>54</v>
      </c>
      <c r="X53">
        <f t="shared" si="10"/>
        <v>51</v>
      </c>
      <c r="Y53">
        <f t="shared" si="5"/>
        <v>5</v>
      </c>
    </row>
    <row r="54" spans="1:25" x14ac:dyDescent="0.3">
      <c r="A54" s="46">
        <v>39</v>
      </c>
      <c r="B54" s="4"/>
      <c r="C54" s="6" t="s">
        <v>128</v>
      </c>
      <c r="D54" s="5"/>
      <c r="E54" s="5" t="s">
        <v>74</v>
      </c>
      <c r="F54" s="5" t="s">
        <v>69</v>
      </c>
      <c r="G54" s="5" t="s">
        <v>72</v>
      </c>
      <c r="H54" s="5" t="s">
        <v>60</v>
      </c>
      <c r="I54" s="5" t="s">
        <v>67</v>
      </c>
      <c r="J54" s="5" t="s">
        <v>66</v>
      </c>
      <c r="K54" s="5" t="s">
        <v>51</v>
      </c>
      <c r="L54" s="5" t="s">
        <v>55</v>
      </c>
      <c r="M54" s="5" t="s">
        <v>209</v>
      </c>
      <c r="N54" s="5" t="s">
        <v>50</v>
      </c>
      <c r="O54" s="5" t="s">
        <v>65</v>
      </c>
      <c r="P54" s="5" t="s">
        <v>73</v>
      </c>
      <c r="Q54" s="1">
        <v>7</v>
      </c>
      <c r="R54" s="1">
        <v>89</v>
      </c>
      <c r="S54" s="1">
        <v>55</v>
      </c>
      <c r="X54">
        <f t="shared" si="10"/>
        <v>52</v>
      </c>
      <c r="Y54">
        <f t="shared" si="5"/>
        <v>9</v>
      </c>
    </row>
    <row r="55" spans="1:25" x14ac:dyDescent="0.3">
      <c r="A55" s="46">
        <v>40</v>
      </c>
      <c r="B55" s="4"/>
      <c r="C55" s="6" t="s">
        <v>19</v>
      </c>
      <c r="D55" s="5"/>
      <c r="E55" s="5" t="s">
        <v>208</v>
      </c>
      <c r="F55" s="5" t="s">
        <v>207</v>
      </c>
      <c r="G55" s="5" t="s">
        <v>58</v>
      </c>
      <c r="H55" s="5" t="s">
        <v>68</v>
      </c>
      <c r="I55" s="5" t="s">
        <v>67</v>
      </c>
      <c r="J55" s="5" t="s">
        <v>59</v>
      </c>
      <c r="K55" s="5" t="s">
        <v>62</v>
      </c>
      <c r="L55" s="5" t="s">
        <v>55</v>
      </c>
      <c r="M55" s="5" t="s">
        <v>75</v>
      </c>
      <c r="N55" s="5" t="s">
        <v>48</v>
      </c>
      <c r="O55" s="5" t="s">
        <v>65</v>
      </c>
      <c r="P55" s="5" t="s">
        <v>73</v>
      </c>
      <c r="Q55" s="1">
        <v>7</v>
      </c>
      <c r="R55" s="1">
        <v>106</v>
      </c>
      <c r="S55" s="1">
        <v>56</v>
      </c>
      <c r="X55">
        <f t="shared" si="10"/>
        <v>53</v>
      </c>
      <c r="Y55">
        <f t="shared" si="5"/>
        <v>2</v>
      </c>
    </row>
    <row r="56" spans="1:25" ht="28.8" x14ac:dyDescent="0.3">
      <c r="A56" s="46">
        <v>41</v>
      </c>
      <c r="B56" s="4"/>
      <c r="C56" s="6" t="s">
        <v>27</v>
      </c>
      <c r="D56" s="5"/>
      <c r="E56" s="5" t="s">
        <v>74</v>
      </c>
      <c r="F56" s="5" t="s">
        <v>207</v>
      </c>
      <c r="G56" s="5" t="s">
        <v>58</v>
      </c>
      <c r="H56" s="5" t="s">
        <v>68</v>
      </c>
      <c r="I56" s="5" t="s">
        <v>67</v>
      </c>
      <c r="J56" s="5" t="s">
        <v>59</v>
      </c>
      <c r="K56" s="5" t="s">
        <v>62</v>
      </c>
      <c r="L56" s="5" t="s">
        <v>47</v>
      </c>
      <c r="M56" s="5" t="s">
        <v>75</v>
      </c>
      <c r="N56" s="5" t="s">
        <v>50</v>
      </c>
      <c r="O56" s="5" t="s">
        <v>210</v>
      </c>
      <c r="P56" s="5" t="s">
        <v>73</v>
      </c>
      <c r="Q56" s="1">
        <v>7</v>
      </c>
      <c r="R56" s="1">
        <v>112</v>
      </c>
      <c r="S56" s="1">
        <v>58</v>
      </c>
      <c r="X56">
        <f t="shared" si="10"/>
        <v>54</v>
      </c>
      <c r="Y56">
        <f t="shared" si="5"/>
        <v>4</v>
      </c>
    </row>
    <row r="57" spans="1:25" ht="28.8" x14ac:dyDescent="0.3">
      <c r="A57" s="46">
        <v>42</v>
      </c>
      <c r="B57" s="4"/>
      <c r="C57" s="6" t="s">
        <v>115</v>
      </c>
      <c r="D57" s="5"/>
      <c r="E57" s="5" t="s">
        <v>208</v>
      </c>
      <c r="F57" s="5" t="s">
        <v>207</v>
      </c>
      <c r="G57" s="5" t="s">
        <v>58</v>
      </c>
      <c r="H57" s="5" t="s">
        <v>68</v>
      </c>
      <c r="I57" s="5" t="s">
        <v>67</v>
      </c>
      <c r="J57" s="5" t="s">
        <v>66</v>
      </c>
      <c r="K57" s="5" t="s">
        <v>51</v>
      </c>
      <c r="L57" s="5" t="s">
        <v>55</v>
      </c>
      <c r="M57" s="5" t="s">
        <v>209</v>
      </c>
      <c r="N57" s="5" t="s">
        <v>48</v>
      </c>
      <c r="O57" s="5" t="s">
        <v>65</v>
      </c>
      <c r="P57" s="5" t="s">
        <v>70</v>
      </c>
      <c r="Q57" s="1">
        <v>7</v>
      </c>
      <c r="R57" s="1">
        <v>87</v>
      </c>
      <c r="S57" s="1">
        <v>58</v>
      </c>
      <c r="X57">
        <f t="shared" si="10"/>
        <v>55</v>
      </c>
      <c r="Y57">
        <f t="shared" si="5"/>
        <v>4</v>
      </c>
    </row>
    <row r="58" spans="1:25" ht="28.8" x14ac:dyDescent="0.3">
      <c r="A58" s="46">
        <v>43</v>
      </c>
      <c r="B58" s="4"/>
      <c r="C58" s="6" t="s">
        <v>184</v>
      </c>
      <c r="D58" s="5"/>
      <c r="E58" s="5" t="s">
        <v>74</v>
      </c>
      <c r="F58" s="5" t="s">
        <v>207</v>
      </c>
      <c r="G58" s="5" t="s">
        <v>58</v>
      </c>
      <c r="H58" s="5" t="s">
        <v>60</v>
      </c>
      <c r="I58" s="5" t="s">
        <v>67</v>
      </c>
      <c r="J58" s="5" t="s">
        <v>66</v>
      </c>
      <c r="K58" s="5" t="s">
        <v>51</v>
      </c>
      <c r="L58" s="5" t="s">
        <v>55</v>
      </c>
      <c r="M58" s="5" t="s">
        <v>209</v>
      </c>
      <c r="N58" s="5" t="s">
        <v>50</v>
      </c>
      <c r="O58" s="5" t="s">
        <v>65</v>
      </c>
      <c r="P58" s="5" t="s">
        <v>73</v>
      </c>
      <c r="Q58" s="1">
        <v>7</v>
      </c>
      <c r="R58" s="1">
        <v>93</v>
      </c>
      <c r="S58" s="1">
        <v>58</v>
      </c>
      <c r="X58">
        <f t="shared" si="10"/>
        <v>56</v>
      </c>
      <c r="Y58">
        <f t="shared" si="5"/>
        <v>6</v>
      </c>
    </row>
    <row r="59" spans="1:25" x14ac:dyDescent="0.3">
      <c r="A59" s="46">
        <v>44</v>
      </c>
      <c r="B59" s="4"/>
      <c r="C59" s="6" t="s">
        <v>82</v>
      </c>
      <c r="D59" s="5"/>
      <c r="E59" s="5" t="s">
        <v>208</v>
      </c>
      <c r="F59" s="5" t="s">
        <v>207</v>
      </c>
      <c r="G59" s="5" t="s">
        <v>58</v>
      </c>
      <c r="H59" s="5" t="s">
        <v>60</v>
      </c>
      <c r="I59" s="5" t="s">
        <v>67</v>
      </c>
      <c r="J59" s="5" t="s">
        <v>59</v>
      </c>
      <c r="K59" s="5" t="s">
        <v>51</v>
      </c>
      <c r="L59" s="5" t="s">
        <v>47</v>
      </c>
      <c r="M59" s="5" t="s">
        <v>75</v>
      </c>
      <c r="N59" s="5" t="s">
        <v>48</v>
      </c>
      <c r="O59" s="5" t="s">
        <v>210</v>
      </c>
      <c r="P59" s="5" t="s">
        <v>73</v>
      </c>
      <c r="Q59" s="1">
        <v>7</v>
      </c>
      <c r="R59" s="1">
        <v>97</v>
      </c>
      <c r="S59" s="1">
        <v>35</v>
      </c>
      <c r="X59">
        <f t="shared" si="10"/>
        <v>57</v>
      </c>
      <c r="Y59">
        <f t="shared" si="5"/>
        <v>1</v>
      </c>
    </row>
    <row r="60" spans="1:25" x14ac:dyDescent="0.3">
      <c r="A60" s="46">
        <v>45</v>
      </c>
      <c r="B60" s="4"/>
      <c r="C60" s="6" t="s">
        <v>111</v>
      </c>
      <c r="D60" s="5"/>
      <c r="E60" s="5" t="s">
        <v>208</v>
      </c>
      <c r="F60" s="5" t="s">
        <v>207</v>
      </c>
      <c r="G60" s="5" t="s">
        <v>72</v>
      </c>
      <c r="H60" s="5" t="s">
        <v>68</v>
      </c>
      <c r="I60" s="5" t="s">
        <v>67</v>
      </c>
      <c r="J60" s="5" t="s">
        <v>66</v>
      </c>
      <c r="K60" s="5" t="s">
        <v>62</v>
      </c>
      <c r="L60" s="5" t="s">
        <v>47</v>
      </c>
      <c r="M60" s="5" t="s">
        <v>209</v>
      </c>
      <c r="N60" s="5" t="s">
        <v>50</v>
      </c>
      <c r="O60" s="5" t="s">
        <v>210</v>
      </c>
      <c r="P60" s="5" t="s">
        <v>73</v>
      </c>
      <c r="Q60" s="1">
        <v>7</v>
      </c>
      <c r="R60" s="1">
        <v>94</v>
      </c>
      <c r="S60" s="1">
        <v>30</v>
      </c>
      <c r="X60">
        <f t="shared" si="10"/>
        <v>58</v>
      </c>
      <c r="Y60">
        <f t="shared" si="5"/>
        <v>5</v>
      </c>
    </row>
    <row r="61" spans="1:25" ht="28.8" x14ac:dyDescent="0.3">
      <c r="A61" s="46">
        <v>46</v>
      </c>
      <c r="B61" s="4"/>
      <c r="C61" s="6" t="s">
        <v>114</v>
      </c>
      <c r="D61" s="5"/>
      <c r="E61" s="5" t="s">
        <v>74</v>
      </c>
      <c r="F61" s="5" t="s">
        <v>207</v>
      </c>
      <c r="G61" s="5" t="s">
        <v>58</v>
      </c>
      <c r="H61" s="5" t="s">
        <v>68</v>
      </c>
      <c r="I61" s="5" t="s">
        <v>61</v>
      </c>
      <c r="J61" s="5" t="s">
        <v>66</v>
      </c>
      <c r="K61" s="5" t="s">
        <v>51</v>
      </c>
      <c r="L61" s="5" t="s">
        <v>47</v>
      </c>
      <c r="M61" s="5" t="s">
        <v>75</v>
      </c>
      <c r="N61" s="5" t="s">
        <v>50</v>
      </c>
      <c r="O61" s="5" t="s">
        <v>210</v>
      </c>
      <c r="P61" s="5" t="s">
        <v>73</v>
      </c>
      <c r="Q61" s="1">
        <v>6</v>
      </c>
      <c r="R61" s="1">
        <v>99</v>
      </c>
      <c r="S61" s="1">
        <v>47</v>
      </c>
      <c r="X61">
        <f t="shared" si="10"/>
        <v>59</v>
      </c>
      <c r="Y61">
        <f t="shared" si="5"/>
        <v>2</v>
      </c>
    </row>
    <row r="62" spans="1:25" ht="28.8" x14ac:dyDescent="0.3">
      <c r="A62" s="46">
        <v>47</v>
      </c>
      <c r="B62" s="4"/>
      <c r="C62" s="6" t="s">
        <v>164</v>
      </c>
      <c r="D62" s="5"/>
      <c r="E62" s="5" t="s">
        <v>74</v>
      </c>
      <c r="F62" s="5" t="s">
        <v>69</v>
      </c>
      <c r="G62" s="5" t="s">
        <v>58</v>
      </c>
      <c r="H62" s="5" t="s">
        <v>60</v>
      </c>
      <c r="I62" s="5" t="s">
        <v>67</v>
      </c>
      <c r="J62" s="5" t="s">
        <v>66</v>
      </c>
      <c r="K62" s="5" t="s">
        <v>62</v>
      </c>
      <c r="L62" s="5" t="s">
        <v>47</v>
      </c>
      <c r="M62" s="5" t="s">
        <v>75</v>
      </c>
      <c r="N62" s="5" t="s">
        <v>48</v>
      </c>
      <c r="O62" s="5" t="s">
        <v>65</v>
      </c>
      <c r="P62" s="5" t="s">
        <v>73</v>
      </c>
      <c r="Q62" s="1">
        <v>6</v>
      </c>
      <c r="R62" s="1">
        <v>97</v>
      </c>
      <c r="S62" s="1">
        <v>47</v>
      </c>
      <c r="X62">
        <f t="shared" si="10"/>
        <v>60</v>
      </c>
      <c r="Y62">
        <f t="shared" si="5"/>
        <v>1</v>
      </c>
    </row>
    <row r="63" spans="1:25" x14ac:dyDescent="0.3">
      <c r="A63" s="46">
        <v>48</v>
      </c>
      <c r="B63" s="4"/>
      <c r="C63" s="6" t="s">
        <v>79</v>
      </c>
      <c r="D63" s="5"/>
      <c r="E63" s="5" t="s">
        <v>208</v>
      </c>
      <c r="F63" s="5" t="s">
        <v>69</v>
      </c>
      <c r="G63" s="5" t="s">
        <v>58</v>
      </c>
      <c r="H63" s="5" t="s">
        <v>68</v>
      </c>
      <c r="I63" s="5" t="s">
        <v>61</v>
      </c>
      <c r="J63" s="5" t="s">
        <v>59</v>
      </c>
      <c r="K63" s="5" t="s">
        <v>51</v>
      </c>
      <c r="L63" s="5" t="s">
        <v>55</v>
      </c>
      <c r="M63" s="5" t="s">
        <v>75</v>
      </c>
      <c r="N63" s="5" t="s">
        <v>48</v>
      </c>
      <c r="O63" s="5" t="s">
        <v>65</v>
      </c>
      <c r="P63" s="5" t="s">
        <v>73</v>
      </c>
      <c r="Q63" s="1">
        <v>6</v>
      </c>
      <c r="R63" s="1">
        <v>95</v>
      </c>
      <c r="S63" s="1">
        <v>46</v>
      </c>
      <c r="X63">
        <f t="shared" si="10"/>
        <v>61</v>
      </c>
      <c r="Y63">
        <f t="shared" si="5"/>
        <v>0</v>
      </c>
    </row>
    <row r="64" spans="1:25" x14ac:dyDescent="0.3">
      <c r="A64" s="46">
        <v>49</v>
      </c>
      <c r="B64" s="4"/>
      <c r="C64" s="6" t="s">
        <v>16</v>
      </c>
      <c r="D64" s="5"/>
      <c r="E64" s="5" t="s">
        <v>208</v>
      </c>
      <c r="F64" s="5" t="s">
        <v>207</v>
      </c>
      <c r="G64" s="5" t="s">
        <v>72</v>
      </c>
      <c r="H64" s="5" t="s">
        <v>68</v>
      </c>
      <c r="I64" s="5" t="s">
        <v>67</v>
      </c>
      <c r="J64" s="5" t="s">
        <v>59</v>
      </c>
      <c r="K64" s="5" t="s">
        <v>62</v>
      </c>
      <c r="L64" s="5" t="s">
        <v>55</v>
      </c>
      <c r="M64" s="5" t="s">
        <v>75</v>
      </c>
      <c r="N64" s="5" t="s">
        <v>50</v>
      </c>
      <c r="O64" s="5" t="s">
        <v>65</v>
      </c>
      <c r="P64" s="5" t="s">
        <v>70</v>
      </c>
      <c r="Q64" s="1">
        <v>6</v>
      </c>
      <c r="R64" s="1">
        <v>106</v>
      </c>
      <c r="S64" s="1">
        <v>45</v>
      </c>
      <c r="X64">
        <f t="shared" si="10"/>
        <v>62</v>
      </c>
      <c r="Y64">
        <f t="shared" si="5"/>
        <v>1</v>
      </c>
    </row>
    <row r="65" spans="1:25" x14ac:dyDescent="0.3">
      <c r="A65" s="46">
        <v>50</v>
      </c>
      <c r="B65" s="4"/>
      <c r="C65" s="6" t="s">
        <v>35</v>
      </c>
      <c r="D65" s="5"/>
      <c r="E65" s="5" t="s">
        <v>208</v>
      </c>
      <c r="F65" s="5" t="s">
        <v>207</v>
      </c>
      <c r="G65" s="5" t="s">
        <v>58</v>
      </c>
      <c r="H65" s="5" t="s">
        <v>60</v>
      </c>
      <c r="I65" s="5" t="s">
        <v>67</v>
      </c>
      <c r="J65" s="5" t="s">
        <v>59</v>
      </c>
      <c r="K65" s="5" t="s">
        <v>62</v>
      </c>
      <c r="L65" s="5" t="s">
        <v>47</v>
      </c>
      <c r="M65" s="5" t="s">
        <v>75</v>
      </c>
      <c r="N65" s="5" t="s">
        <v>48</v>
      </c>
      <c r="O65" s="5" t="s">
        <v>210</v>
      </c>
      <c r="P65" s="5" t="s">
        <v>73</v>
      </c>
      <c r="Q65" s="1">
        <v>6</v>
      </c>
      <c r="R65" s="1">
        <v>97</v>
      </c>
      <c r="S65" s="1">
        <v>45</v>
      </c>
      <c r="X65">
        <f t="shared" si="10"/>
        <v>63</v>
      </c>
      <c r="Y65">
        <f t="shared" si="5"/>
        <v>0</v>
      </c>
    </row>
    <row r="66" spans="1:25" ht="43.2" x14ac:dyDescent="0.3">
      <c r="A66" s="46">
        <v>51</v>
      </c>
      <c r="B66" s="4"/>
      <c r="C66" s="6" t="s">
        <v>132</v>
      </c>
      <c r="D66" s="5"/>
      <c r="E66" s="5" t="s">
        <v>208</v>
      </c>
      <c r="F66" s="5" t="s">
        <v>207</v>
      </c>
      <c r="G66" s="5" t="s">
        <v>58</v>
      </c>
      <c r="H66" s="5" t="s">
        <v>68</v>
      </c>
      <c r="I66" s="5" t="s">
        <v>61</v>
      </c>
      <c r="J66" s="5" t="s">
        <v>59</v>
      </c>
      <c r="K66" s="5" t="s">
        <v>62</v>
      </c>
      <c r="L66" s="5" t="s">
        <v>47</v>
      </c>
      <c r="M66" s="5" t="s">
        <v>75</v>
      </c>
      <c r="N66" s="5" t="s">
        <v>50</v>
      </c>
      <c r="O66" s="5" t="s">
        <v>65</v>
      </c>
      <c r="P66" s="5" t="s">
        <v>73</v>
      </c>
      <c r="Q66" s="1">
        <v>6</v>
      </c>
      <c r="R66" s="1">
        <v>92</v>
      </c>
      <c r="S66" s="1">
        <v>45</v>
      </c>
      <c r="X66">
        <f t="shared" si="10"/>
        <v>64</v>
      </c>
      <c r="Y66">
        <f t="shared" si="5"/>
        <v>0</v>
      </c>
    </row>
    <row r="67" spans="1:25" ht="28.8" x14ac:dyDescent="0.3">
      <c r="A67" s="46">
        <v>52</v>
      </c>
      <c r="B67" s="4"/>
      <c r="C67" s="6" t="s">
        <v>90</v>
      </c>
      <c r="D67" s="5"/>
      <c r="E67" s="5" t="s">
        <v>74</v>
      </c>
      <c r="F67" s="5" t="s">
        <v>207</v>
      </c>
      <c r="G67" s="5" t="s">
        <v>58</v>
      </c>
      <c r="H67" s="5" t="s">
        <v>68</v>
      </c>
      <c r="I67" s="5" t="s">
        <v>61</v>
      </c>
      <c r="J67" s="5" t="s">
        <v>59</v>
      </c>
      <c r="K67" s="5" t="s">
        <v>51</v>
      </c>
      <c r="L67" s="5" t="s">
        <v>55</v>
      </c>
      <c r="M67" s="5" t="s">
        <v>75</v>
      </c>
      <c r="N67" s="5" t="s">
        <v>50</v>
      </c>
      <c r="O67" s="5" t="s">
        <v>210</v>
      </c>
      <c r="P67" s="5" t="s">
        <v>73</v>
      </c>
      <c r="Q67" s="1">
        <v>6</v>
      </c>
      <c r="R67" s="1">
        <v>91</v>
      </c>
      <c r="S67" s="1">
        <v>49</v>
      </c>
      <c r="X67">
        <f t="shared" si="10"/>
        <v>65</v>
      </c>
      <c r="Y67">
        <f t="shared" ref="Y67:Y120" si="11">COUNTIF(S$16:S$179,X67)</f>
        <v>0</v>
      </c>
    </row>
    <row r="68" spans="1:25" ht="28.8" x14ac:dyDescent="0.3">
      <c r="A68" s="46">
        <v>53</v>
      </c>
      <c r="B68" s="4"/>
      <c r="C68" s="6" t="s">
        <v>122</v>
      </c>
      <c r="D68" s="5"/>
      <c r="E68" s="5" t="s">
        <v>74</v>
      </c>
      <c r="F68" s="5" t="s">
        <v>207</v>
      </c>
      <c r="G68" s="5" t="s">
        <v>58</v>
      </c>
      <c r="H68" s="5" t="s">
        <v>60</v>
      </c>
      <c r="I68" s="5" t="s">
        <v>61</v>
      </c>
      <c r="J68" s="5" t="s">
        <v>59</v>
      </c>
      <c r="K68" s="5" t="s">
        <v>51</v>
      </c>
      <c r="L68" s="5" t="s">
        <v>55</v>
      </c>
      <c r="M68" s="5" t="s">
        <v>75</v>
      </c>
      <c r="N68" s="5" t="s">
        <v>48</v>
      </c>
      <c r="O68" s="5" t="s">
        <v>210</v>
      </c>
      <c r="P68" s="5" t="s">
        <v>73</v>
      </c>
      <c r="Q68" s="1">
        <v>6</v>
      </c>
      <c r="R68" s="1">
        <v>96</v>
      </c>
      <c r="S68" s="1">
        <v>49</v>
      </c>
      <c r="X68">
        <f t="shared" si="10"/>
        <v>66</v>
      </c>
      <c r="Y68">
        <f t="shared" si="11"/>
        <v>0</v>
      </c>
    </row>
    <row r="69" spans="1:25" ht="28.8" x14ac:dyDescent="0.3">
      <c r="A69" s="46">
        <v>54</v>
      </c>
      <c r="B69" s="4"/>
      <c r="C69" s="6" t="s">
        <v>112</v>
      </c>
      <c r="D69" s="5"/>
      <c r="E69" s="5" t="s">
        <v>208</v>
      </c>
      <c r="F69" s="5" t="s">
        <v>207</v>
      </c>
      <c r="G69" s="5" t="s">
        <v>58</v>
      </c>
      <c r="H69" s="5" t="s">
        <v>60</v>
      </c>
      <c r="I69" s="5" t="s">
        <v>67</v>
      </c>
      <c r="J69" s="5" t="s">
        <v>59</v>
      </c>
      <c r="K69" s="5" t="s">
        <v>62</v>
      </c>
      <c r="L69" s="5" t="s">
        <v>47</v>
      </c>
      <c r="M69" s="5" t="s">
        <v>75</v>
      </c>
      <c r="N69" s="5" t="s">
        <v>48</v>
      </c>
      <c r="O69" s="5" t="s">
        <v>210</v>
      </c>
      <c r="P69" s="5" t="s">
        <v>73</v>
      </c>
      <c r="Q69" s="1">
        <v>6</v>
      </c>
      <c r="R69" s="1">
        <v>110</v>
      </c>
      <c r="S69" s="1">
        <v>45</v>
      </c>
      <c r="X69">
        <f t="shared" si="10"/>
        <v>67</v>
      </c>
      <c r="Y69">
        <f t="shared" si="11"/>
        <v>1</v>
      </c>
    </row>
    <row r="70" spans="1:25" x14ac:dyDescent="0.3">
      <c r="A70" s="46">
        <v>55</v>
      </c>
      <c r="B70" s="4"/>
      <c r="C70" s="6" t="s">
        <v>180</v>
      </c>
      <c r="D70" s="5"/>
      <c r="E70" s="5" t="s">
        <v>74</v>
      </c>
      <c r="F70" s="5" t="s">
        <v>207</v>
      </c>
      <c r="G70" s="5" t="s">
        <v>58</v>
      </c>
      <c r="H70" s="5" t="s">
        <v>68</v>
      </c>
      <c r="I70" s="5" t="s">
        <v>61</v>
      </c>
      <c r="J70" s="5" t="s">
        <v>59</v>
      </c>
      <c r="K70" s="5" t="s">
        <v>62</v>
      </c>
      <c r="L70" s="5" t="s">
        <v>55</v>
      </c>
      <c r="M70" s="5" t="s">
        <v>75</v>
      </c>
      <c r="N70" s="5" t="s">
        <v>48</v>
      </c>
      <c r="O70" s="5" t="s">
        <v>65</v>
      </c>
      <c r="P70" s="5" t="s">
        <v>70</v>
      </c>
      <c r="Q70" s="1">
        <v>6</v>
      </c>
      <c r="R70" s="1">
        <v>103</v>
      </c>
      <c r="S70" s="1">
        <v>45</v>
      </c>
      <c r="X70">
        <f t="shared" si="10"/>
        <v>68</v>
      </c>
      <c r="Y70">
        <f t="shared" si="11"/>
        <v>0</v>
      </c>
    </row>
    <row r="71" spans="1:25" ht="28.8" x14ac:dyDescent="0.3">
      <c r="A71" s="46">
        <v>56</v>
      </c>
      <c r="B71" s="4"/>
      <c r="C71" s="6" t="s">
        <v>154</v>
      </c>
      <c r="D71" s="5"/>
      <c r="E71" s="5" t="s">
        <v>208</v>
      </c>
      <c r="F71" s="5" t="s">
        <v>207</v>
      </c>
      <c r="G71" s="5" t="s">
        <v>58</v>
      </c>
      <c r="H71" s="5" t="s">
        <v>68</v>
      </c>
      <c r="I71" s="5" t="s">
        <v>67</v>
      </c>
      <c r="J71" s="5" t="s">
        <v>59</v>
      </c>
      <c r="K71" s="5" t="s">
        <v>62</v>
      </c>
      <c r="L71" s="5" t="s">
        <v>55</v>
      </c>
      <c r="M71" s="5" t="s">
        <v>75</v>
      </c>
      <c r="N71" s="5" t="s">
        <v>50</v>
      </c>
      <c r="O71" s="5" t="s">
        <v>65</v>
      </c>
      <c r="P71" s="5" t="s">
        <v>73</v>
      </c>
      <c r="Q71" s="1">
        <v>6</v>
      </c>
      <c r="R71" s="1">
        <v>102</v>
      </c>
      <c r="S71" s="1">
        <v>49</v>
      </c>
      <c r="X71">
        <f t="shared" ref="X71:X120" si="12">X70+1</f>
        <v>69</v>
      </c>
      <c r="Y71">
        <f t="shared" si="11"/>
        <v>0</v>
      </c>
    </row>
    <row r="72" spans="1:25" x14ac:dyDescent="0.3">
      <c r="A72" s="46">
        <v>57</v>
      </c>
      <c r="B72" s="4"/>
      <c r="C72" s="6" t="s">
        <v>166</v>
      </c>
      <c r="D72" s="5"/>
      <c r="E72" s="5" t="s">
        <v>208</v>
      </c>
      <c r="F72" s="5" t="s">
        <v>69</v>
      </c>
      <c r="G72" s="5" t="s">
        <v>72</v>
      </c>
      <c r="H72" s="5" t="s">
        <v>68</v>
      </c>
      <c r="I72" s="5" t="s">
        <v>61</v>
      </c>
      <c r="J72" s="5" t="s">
        <v>59</v>
      </c>
      <c r="K72" s="5" t="s">
        <v>62</v>
      </c>
      <c r="L72" s="5" t="s">
        <v>55</v>
      </c>
      <c r="M72" s="5" t="s">
        <v>209</v>
      </c>
      <c r="N72" s="5" t="s">
        <v>50</v>
      </c>
      <c r="O72" s="5" t="s">
        <v>65</v>
      </c>
      <c r="P72" s="5" t="s">
        <v>73</v>
      </c>
      <c r="Q72" s="1">
        <v>6</v>
      </c>
      <c r="R72" s="1">
        <v>89</v>
      </c>
      <c r="S72" s="1">
        <v>44</v>
      </c>
      <c r="X72">
        <f t="shared" si="12"/>
        <v>70</v>
      </c>
      <c r="Y72">
        <f t="shared" si="11"/>
        <v>0</v>
      </c>
    </row>
    <row r="73" spans="1:25" x14ac:dyDescent="0.3">
      <c r="A73" s="46">
        <v>58</v>
      </c>
      <c r="B73" s="4"/>
      <c r="C73" s="6" t="s">
        <v>31</v>
      </c>
      <c r="D73" s="5"/>
      <c r="E73" s="5" t="s">
        <v>74</v>
      </c>
      <c r="F73" s="5" t="s">
        <v>207</v>
      </c>
      <c r="G73" s="5" t="s">
        <v>58</v>
      </c>
      <c r="H73" s="5" t="s">
        <v>68</v>
      </c>
      <c r="I73" s="5" t="s">
        <v>61</v>
      </c>
      <c r="J73" s="5" t="s">
        <v>59</v>
      </c>
      <c r="K73" s="5" t="s">
        <v>62</v>
      </c>
      <c r="L73" s="5" t="s">
        <v>55</v>
      </c>
      <c r="M73" s="5" t="s">
        <v>75</v>
      </c>
      <c r="N73" s="5" t="s">
        <v>48</v>
      </c>
      <c r="O73" s="5" t="s">
        <v>210</v>
      </c>
      <c r="P73" s="5" t="s">
        <v>73</v>
      </c>
      <c r="Q73" s="1">
        <v>6</v>
      </c>
      <c r="R73" s="1">
        <v>89</v>
      </c>
      <c r="S73" s="1">
        <v>44</v>
      </c>
      <c r="X73">
        <f t="shared" si="12"/>
        <v>71</v>
      </c>
      <c r="Y73">
        <f t="shared" si="11"/>
        <v>0</v>
      </c>
    </row>
    <row r="74" spans="1:25" x14ac:dyDescent="0.3">
      <c r="A74" s="46">
        <v>59</v>
      </c>
      <c r="B74" s="4"/>
      <c r="C74" s="6" t="s">
        <v>144</v>
      </c>
      <c r="D74" s="5"/>
      <c r="E74" s="5" t="s">
        <v>74</v>
      </c>
      <c r="F74" s="5" t="s">
        <v>69</v>
      </c>
      <c r="G74" s="5" t="s">
        <v>72</v>
      </c>
      <c r="H74" s="5" t="s">
        <v>68</v>
      </c>
      <c r="I74" s="5" t="s">
        <v>61</v>
      </c>
      <c r="J74" s="5" t="s">
        <v>66</v>
      </c>
      <c r="K74" s="5" t="s">
        <v>62</v>
      </c>
      <c r="L74" s="5" t="s">
        <v>47</v>
      </c>
      <c r="M74" s="5" t="s">
        <v>209</v>
      </c>
      <c r="N74" s="5" t="s">
        <v>50</v>
      </c>
      <c r="O74" s="5" t="s">
        <v>65</v>
      </c>
      <c r="P74" s="5" t="s">
        <v>70</v>
      </c>
      <c r="Q74" s="1">
        <v>6</v>
      </c>
      <c r="R74" s="1">
        <v>100</v>
      </c>
      <c r="S74" s="1">
        <v>50</v>
      </c>
      <c r="X74">
        <f t="shared" si="12"/>
        <v>72</v>
      </c>
      <c r="Y74">
        <f t="shared" si="11"/>
        <v>0</v>
      </c>
    </row>
    <row r="75" spans="1:25" x14ac:dyDescent="0.3">
      <c r="A75" s="46">
        <v>60</v>
      </c>
      <c r="B75" s="4"/>
      <c r="C75" s="6" t="s">
        <v>120</v>
      </c>
      <c r="D75" s="5"/>
      <c r="E75" s="5" t="s">
        <v>208</v>
      </c>
      <c r="F75" s="5" t="s">
        <v>207</v>
      </c>
      <c r="G75" s="5" t="s">
        <v>58</v>
      </c>
      <c r="H75" s="5" t="s">
        <v>68</v>
      </c>
      <c r="I75" s="5" t="s">
        <v>67</v>
      </c>
      <c r="J75" s="5" t="s">
        <v>59</v>
      </c>
      <c r="K75" s="5" t="s">
        <v>62</v>
      </c>
      <c r="L75" s="5" t="s">
        <v>55</v>
      </c>
      <c r="M75" s="5" t="s">
        <v>75</v>
      </c>
      <c r="N75" s="5" t="s">
        <v>48</v>
      </c>
      <c r="O75" s="5" t="s">
        <v>210</v>
      </c>
      <c r="P75" s="5" t="s">
        <v>73</v>
      </c>
      <c r="Q75" s="1">
        <v>6</v>
      </c>
      <c r="R75" s="1">
        <v>93</v>
      </c>
      <c r="S75" s="1">
        <v>44</v>
      </c>
      <c r="X75">
        <f t="shared" si="12"/>
        <v>73</v>
      </c>
      <c r="Y75">
        <f t="shared" si="11"/>
        <v>0</v>
      </c>
    </row>
    <row r="76" spans="1:25" x14ac:dyDescent="0.3">
      <c r="A76" s="46">
        <v>61</v>
      </c>
      <c r="B76" s="4"/>
      <c r="C76" s="6" t="s">
        <v>23</v>
      </c>
      <c r="D76" s="5"/>
      <c r="E76" s="5" t="s">
        <v>208</v>
      </c>
      <c r="F76" s="5" t="s">
        <v>69</v>
      </c>
      <c r="G76" s="5" t="s">
        <v>72</v>
      </c>
      <c r="H76" s="5" t="s">
        <v>60</v>
      </c>
      <c r="I76" s="5" t="s">
        <v>67</v>
      </c>
      <c r="J76" s="5" t="s">
        <v>59</v>
      </c>
      <c r="K76" s="5" t="s">
        <v>62</v>
      </c>
      <c r="L76" s="5" t="s">
        <v>47</v>
      </c>
      <c r="M76" s="5" t="s">
        <v>75</v>
      </c>
      <c r="N76" s="5" t="s">
        <v>50</v>
      </c>
      <c r="O76" s="5" t="s">
        <v>65</v>
      </c>
      <c r="P76" s="5" t="s">
        <v>73</v>
      </c>
      <c r="Q76" s="1">
        <v>6</v>
      </c>
      <c r="R76" s="1">
        <v>97</v>
      </c>
      <c r="S76" s="1">
        <v>44</v>
      </c>
      <c r="X76">
        <f t="shared" si="12"/>
        <v>74</v>
      </c>
      <c r="Y76">
        <f t="shared" si="11"/>
        <v>0</v>
      </c>
    </row>
    <row r="77" spans="1:25" x14ac:dyDescent="0.3">
      <c r="A77" s="46">
        <v>62</v>
      </c>
      <c r="B77" s="4"/>
      <c r="C77" s="6" t="s">
        <v>150</v>
      </c>
      <c r="D77" s="5"/>
      <c r="E77" s="5" t="s">
        <v>208</v>
      </c>
      <c r="F77" s="5" t="s">
        <v>69</v>
      </c>
      <c r="G77" s="5" t="s">
        <v>72</v>
      </c>
      <c r="H77" s="5" t="s">
        <v>60</v>
      </c>
      <c r="I77" s="5" t="s">
        <v>61</v>
      </c>
      <c r="J77" s="5" t="s">
        <v>59</v>
      </c>
      <c r="K77" s="5" t="s">
        <v>51</v>
      </c>
      <c r="L77" s="5" t="s">
        <v>55</v>
      </c>
      <c r="M77" s="5" t="s">
        <v>209</v>
      </c>
      <c r="N77" s="5" t="s">
        <v>48</v>
      </c>
      <c r="O77" s="5" t="s">
        <v>65</v>
      </c>
      <c r="P77" s="5" t="s">
        <v>70</v>
      </c>
      <c r="Q77" s="1">
        <v>6</v>
      </c>
      <c r="R77" s="1">
        <v>100</v>
      </c>
      <c r="S77" s="1">
        <v>51</v>
      </c>
      <c r="X77">
        <f t="shared" si="12"/>
        <v>75</v>
      </c>
      <c r="Y77">
        <f t="shared" si="11"/>
        <v>0</v>
      </c>
    </row>
    <row r="78" spans="1:25" ht="28.8" x14ac:dyDescent="0.3">
      <c r="A78" s="46">
        <v>63</v>
      </c>
      <c r="B78" s="4"/>
      <c r="C78" s="6" t="s">
        <v>160</v>
      </c>
      <c r="D78" s="5"/>
      <c r="E78" s="5" t="s">
        <v>74</v>
      </c>
      <c r="F78" s="5" t="s">
        <v>69</v>
      </c>
      <c r="G78" s="5" t="s">
        <v>72</v>
      </c>
      <c r="H78" s="5" t="s">
        <v>60</v>
      </c>
      <c r="I78" s="5" t="s">
        <v>67</v>
      </c>
      <c r="J78" s="5" t="s">
        <v>66</v>
      </c>
      <c r="K78" s="5" t="s">
        <v>62</v>
      </c>
      <c r="L78" s="5" t="s">
        <v>55</v>
      </c>
      <c r="M78" s="5" t="s">
        <v>209</v>
      </c>
      <c r="N78" s="5" t="s">
        <v>48</v>
      </c>
      <c r="O78" s="5" t="s">
        <v>210</v>
      </c>
      <c r="P78" s="5" t="s">
        <v>73</v>
      </c>
      <c r="Q78" s="1">
        <v>6</v>
      </c>
      <c r="R78" s="1">
        <v>62</v>
      </c>
      <c r="S78" s="1">
        <v>42</v>
      </c>
      <c r="X78">
        <f t="shared" si="12"/>
        <v>76</v>
      </c>
      <c r="Y78">
        <f t="shared" si="11"/>
        <v>0</v>
      </c>
    </row>
    <row r="79" spans="1:25" ht="28.8" x14ac:dyDescent="0.3">
      <c r="A79" s="46">
        <v>64</v>
      </c>
      <c r="B79" s="4"/>
      <c r="C79" s="6" t="s">
        <v>167</v>
      </c>
      <c r="D79" s="5"/>
      <c r="E79" s="5" t="s">
        <v>74</v>
      </c>
      <c r="F79" s="5" t="s">
        <v>69</v>
      </c>
      <c r="G79" s="5" t="s">
        <v>58</v>
      </c>
      <c r="H79" s="5" t="s">
        <v>60</v>
      </c>
      <c r="I79" s="5" t="s">
        <v>67</v>
      </c>
      <c r="J79" s="5" t="s">
        <v>59</v>
      </c>
      <c r="K79" s="5" t="s">
        <v>62</v>
      </c>
      <c r="L79" s="5" t="s">
        <v>47</v>
      </c>
      <c r="M79" s="5" t="s">
        <v>209</v>
      </c>
      <c r="N79" s="5" t="s">
        <v>50</v>
      </c>
      <c r="O79" s="5" t="s">
        <v>210</v>
      </c>
      <c r="P79" s="5" t="s">
        <v>73</v>
      </c>
      <c r="Q79" s="1">
        <v>6</v>
      </c>
      <c r="R79" s="1">
        <v>91</v>
      </c>
      <c r="S79" s="1">
        <v>52</v>
      </c>
      <c r="X79">
        <f t="shared" si="12"/>
        <v>77</v>
      </c>
      <c r="Y79">
        <f t="shared" si="11"/>
        <v>0</v>
      </c>
    </row>
    <row r="80" spans="1:25" ht="43.2" x14ac:dyDescent="0.3">
      <c r="A80" s="46">
        <v>65</v>
      </c>
      <c r="B80" s="4"/>
      <c r="C80" s="6" t="s">
        <v>188</v>
      </c>
      <c r="D80" s="5"/>
      <c r="E80" s="5" t="s">
        <v>208</v>
      </c>
      <c r="F80" s="5" t="s">
        <v>207</v>
      </c>
      <c r="G80" s="5" t="s">
        <v>58</v>
      </c>
      <c r="H80" s="5" t="s">
        <v>60</v>
      </c>
      <c r="I80" s="5" t="s">
        <v>67</v>
      </c>
      <c r="J80" s="5" t="s">
        <v>59</v>
      </c>
      <c r="K80" s="5" t="s">
        <v>62</v>
      </c>
      <c r="L80" s="5" t="s">
        <v>47</v>
      </c>
      <c r="M80" s="5" t="s">
        <v>75</v>
      </c>
      <c r="N80" s="5" t="s">
        <v>48</v>
      </c>
      <c r="O80" s="5" t="s">
        <v>210</v>
      </c>
      <c r="P80" s="5" t="s">
        <v>73</v>
      </c>
      <c r="Q80" s="1">
        <v>6</v>
      </c>
      <c r="R80" s="1">
        <v>95</v>
      </c>
      <c r="S80" s="1">
        <v>42</v>
      </c>
      <c r="X80">
        <f t="shared" si="12"/>
        <v>78</v>
      </c>
      <c r="Y80">
        <f t="shared" si="11"/>
        <v>0</v>
      </c>
    </row>
    <row r="81" spans="1:25" ht="28.8" x14ac:dyDescent="0.3">
      <c r="A81" s="46">
        <v>66</v>
      </c>
      <c r="B81" s="4"/>
      <c r="C81" s="6" t="s">
        <v>133</v>
      </c>
      <c r="D81" s="5"/>
      <c r="E81" s="5" t="s">
        <v>208</v>
      </c>
      <c r="F81" s="5" t="s">
        <v>207</v>
      </c>
      <c r="G81" s="5" t="s">
        <v>58</v>
      </c>
      <c r="H81" s="5" t="s">
        <v>60</v>
      </c>
      <c r="I81" s="5" t="s">
        <v>67</v>
      </c>
      <c r="J81" s="5" t="s">
        <v>66</v>
      </c>
      <c r="K81" s="5" t="s">
        <v>62</v>
      </c>
      <c r="L81" s="5" t="s">
        <v>47</v>
      </c>
      <c r="M81" s="5" t="s">
        <v>75</v>
      </c>
      <c r="N81" s="5" t="s">
        <v>48</v>
      </c>
      <c r="O81" s="5" t="s">
        <v>65</v>
      </c>
      <c r="P81" s="5" t="s">
        <v>73</v>
      </c>
      <c r="Q81" s="1">
        <v>6</v>
      </c>
      <c r="R81" s="1">
        <v>91</v>
      </c>
      <c r="S81" s="1">
        <v>42</v>
      </c>
      <c r="X81">
        <f t="shared" si="12"/>
        <v>79</v>
      </c>
      <c r="Y81">
        <f t="shared" si="11"/>
        <v>0</v>
      </c>
    </row>
    <row r="82" spans="1:25" x14ac:dyDescent="0.3">
      <c r="A82" s="46">
        <v>67</v>
      </c>
      <c r="B82" s="4"/>
      <c r="C82" s="6" t="s">
        <v>18</v>
      </c>
      <c r="D82" s="5"/>
      <c r="E82" s="5" t="s">
        <v>208</v>
      </c>
      <c r="F82" s="5" t="s">
        <v>207</v>
      </c>
      <c r="G82" s="5" t="s">
        <v>72</v>
      </c>
      <c r="H82" s="5" t="s">
        <v>68</v>
      </c>
      <c r="I82" s="5" t="s">
        <v>61</v>
      </c>
      <c r="J82" s="5" t="s">
        <v>59</v>
      </c>
      <c r="K82" s="5" t="s">
        <v>62</v>
      </c>
      <c r="L82" s="5" t="s">
        <v>55</v>
      </c>
      <c r="M82" s="5" t="s">
        <v>209</v>
      </c>
      <c r="N82" s="5" t="s">
        <v>48</v>
      </c>
      <c r="O82" s="5" t="s">
        <v>210</v>
      </c>
      <c r="P82" s="5" t="s">
        <v>70</v>
      </c>
      <c r="Q82" s="1">
        <v>6</v>
      </c>
      <c r="R82" s="1">
        <v>85</v>
      </c>
      <c r="S82" s="1">
        <v>40</v>
      </c>
      <c r="X82">
        <f t="shared" si="12"/>
        <v>80</v>
      </c>
      <c r="Y82">
        <f t="shared" si="11"/>
        <v>0</v>
      </c>
    </row>
    <row r="83" spans="1:25" x14ac:dyDescent="0.3">
      <c r="A83" s="46">
        <v>68</v>
      </c>
      <c r="B83" s="4"/>
      <c r="C83" s="6" t="s">
        <v>155</v>
      </c>
      <c r="D83" s="5"/>
      <c r="E83" s="5" t="s">
        <v>208</v>
      </c>
      <c r="F83" s="5" t="s">
        <v>207</v>
      </c>
      <c r="G83" s="5" t="s">
        <v>58</v>
      </c>
      <c r="H83" s="5" t="s">
        <v>60</v>
      </c>
      <c r="I83" s="5" t="s">
        <v>67</v>
      </c>
      <c r="J83" s="5" t="s">
        <v>59</v>
      </c>
      <c r="K83" s="5" t="s">
        <v>62</v>
      </c>
      <c r="L83" s="5" t="s">
        <v>47</v>
      </c>
      <c r="M83" s="5" t="s">
        <v>75</v>
      </c>
      <c r="N83" s="5" t="s">
        <v>48</v>
      </c>
      <c r="O83" s="5" t="s">
        <v>210</v>
      </c>
      <c r="P83" s="5" t="s">
        <v>73</v>
      </c>
      <c r="Q83" s="1">
        <v>6</v>
      </c>
      <c r="R83" s="1">
        <v>94</v>
      </c>
      <c r="S83" s="1">
        <v>40</v>
      </c>
      <c r="X83">
        <f t="shared" si="12"/>
        <v>81</v>
      </c>
      <c r="Y83">
        <f t="shared" si="11"/>
        <v>0</v>
      </c>
    </row>
    <row r="84" spans="1:25" ht="28.8" x14ac:dyDescent="0.3">
      <c r="A84" s="46">
        <v>69</v>
      </c>
      <c r="B84" s="4"/>
      <c r="C84" s="6" t="s">
        <v>123</v>
      </c>
      <c r="D84" s="5"/>
      <c r="E84" s="5" t="s">
        <v>208</v>
      </c>
      <c r="F84" s="5" t="s">
        <v>207</v>
      </c>
      <c r="G84" s="5" t="s">
        <v>72</v>
      </c>
      <c r="H84" s="5" t="s">
        <v>60</v>
      </c>
      <c r="I84" s="5" t="s">
        <v>67</v>
      </c>
      <c r="J84" s="5" t="s">
        <v>59</v>
      </c>
      <c r="K84" s="5" t="s">
        <v>62</v>
      </c>
      <c r="L84" s="5" t="s">
        <v>47</v>
      </c>
      <c r="M84" s="5" t="s">
        <v>75</v>
      </c>
      <c r="N84" s="5" t="s">
        <v>50</v>
      </c>
      <c r="O84" s="5" t="s">
        <v>210</v>
      </c>
      <c r="P84" s="5" t="s">
        <v>73</v>
      </c>
      <c r="Q84" s="1">
        <v>6</v>
      </c>
      <c r="R84" s="1">
        <v>99</v>
      </c>
      <c r="S84" s="1">
        <v>55</v>
      </c>
      <c r="X84">
        <f t="shared" si="12"/>
        <v>82</v>
      </c>
      <c r="Y84">
        <f t="shared" si="11"/>
        <v>0</v>
      </c>
    </row>
    <row r="85" spans="1:25" ht="28.8" x14ac:dyDescent="0.3">
      <c r="A85" s="46">
        <v>70</v>
      </c>
      <c r="B85" s="4"/>
      <c r="C85" s="6" t="s">
        <v>179</v>
      </c>
      <c r="D85" s="5"/>
      <c r="E85" s="5" t="s">
        <v>208</v>
      </c>
      <c r="F85" s="5" t="s">
        <v>69</v>
      </c>
      <c r="G85" s="5" t="s">
        <v>72</v>
      </c>
      <c r="H85" s="5" t="s">
        <v>60</v>
      </c>
      <c r="I85" s="5" t="s">
        <v>67</v>
      </c>
      <c r="J85" s="5" t="s">
        <v>59</v>
      </c>
      <c r="K85" s="5" t="s">
        <v>62</v>
      </c>
      <c r="L85" s="5" t="s">
        <v>55</v>
      </c>
      <c r="M85" s="5" t="s">
        <v>209</v>
      </c>
      <c r="N85" s="5" t="s">
        <v>48</v>
      </c>
      <c r="O85" s="5" t="s">
        <v>210</v>
      </c>
      <c r="P85" s="5" t="s">
        <v>73</v>
      </c>
      <c r="Q85" s="1">
        <v>6</v>
      </c>
      <c r="R85" s="1">
        <v>96</v>
      </c>
      <c r="S85" s="1">
        <v>55</v>
      </c>
      <c r="X85">
        <f t="shared" si="12"/>
        <v>83</v>
      </c>
      <c r="Y85">
        <f t="shared" si="11"/>
        <v>0</v>
      </c>
    </row>
    <row r="86" spans="1:25" ht="28.8" x14ac:dyDescent="0.3">
      <c r="A86" s="46">
        <v>71</v>
      </c>
      <c r="B86" s="4"/>
      <c r="C86" s="6" t="s">
        <v>102</v>
      </c>
      <c r="D86" s="5"/>
      <c r="E86" s="5" t="s">
        <v>74</v>
      </c>
      <c r="F86" s="5" t="s">
        <v>207</v>
      </c>
      <c r="G86" s="5" t="s">
        <v>72</v>
      </c>
      <c r="H86" s="5" t="s">
        <v>68</v>
      </c>
      <c r="I86" s="5" t="s">
        <v>61</v>
      </c>
      <c r="J86" s="5" t="s">
        <v>66</v>
      </c>
      <c r="K86" s="5" t="s">
        <v>62</v>
      </c>
      <c r="L86" s="5" t="s">
        <v>47</v>
      </c>
      <c r="M86" s="5" t="s">
        <v>75</v>
      </c>
      <c r="N86" s="5" t="s">
        <v>50</v>
      </c>
      <c r="O86" s="5" t="s">
        <v>65</v>
      </c>
      <c r="P86" s="5" t="s">
        <v>70</v>
      </c>
      <c r="Q86" s="1">
        <v>6</v>
      </c>
      <c r="R86" s="1">
        <v>92</v>
      </c>
      <c r="S86" s="1">
        <v>56</v>
      </c>
      <c r="X86">
        <f t="shared" si="12"/>
        <v>84</v>
      </c>
      <c r="Y86">
        <f t="shared" si="11"/>
        <v>0</v>
      </c>
    </row>
    <row r="87" spans="1:25" ht="28.8" x14ac:dyDescent="0.3">
      <c r="A87" s="46">
        <v>72</v>
      </c>
      <c r="B87" s="4"/>
      <c r="C87" s="6" t="s">
        <v>159</v>
      </c>
      <c r="D87" s="5"/>
      <c r="E87" s="5" t="s">
        <v>74</v>
      </c>
      <c r="F87" s="5" t="s">
        <v>69</v>
      </c>
      <c r="G87" s="5" t="s">
        <v>58</v>
      </c>
      <c r="H87" s="5" t="s">
        <v>68</v>
      </c>
      <c r="I87" s="5" t="s">
        <v>61</v>
      </c>
      <c r="J87" s="5" t="s">
        <v>66</v>
      </c>
      <c r="K87" s="5" t="s">
        <v>51</v>
      </c>
      <c r="L87" s="5" t="s">
        <v>47</v>
      </c>
      <c r="M87" s="5" t="s">
        <v>75</v>
      </c>
      <c r="N87" s="5" t="s">
        <v>48</v>
      </c>
      <c r="O87" s="5" t="s">
        <v>210</v>
      </c>
      <c r="P87" s="5" t="s">
        <v>73</v>
      </c>
      <c r="Q87" s="1">
        <v>6</v>
      </c>
      <c r="R87" s="1">
        <v>87</v>
      </c>
      <c r="S87" s="1">
        <v>56</v>
      </c>
      <c r="X87">
        <f t="shared" si="12"/>
        <v>85</v>
      </c>
      <c r="Y87">
        <f t="shared" si="11"/>
        <v>0</v>
      </c>
    </row>
    <row r="88" spans="1:25" ht="28.8" x14ac:dyDescent="0.3">
      <c r="A88" s="46">
        <v>73</v>
      </c>
      <c r="B88" s="4"/>
      <c r="C88" s="6" t="s">
        <v>134</v>
      </c>
      <c r="D88" s="5"/>
      <c r="E88" s="5" t="s">
        <v>74</v>
      </c>
      <c r="F88" s="5" t="s">
        <v>207</v>
      </c>
      <c r="G88" s="5" t="s">
        <v>58</v>
      </c>
      <c r="H88" s="5" t="s">
        <v>60</v>
      </c>
      <c r="I88" s="5" t="s">
        <v>61</v>
      </c>
      <c r="J88" s="5" t="s">
        <v>59</v>
      </c>
      <c r="K88" s="5" t="s">
        <v>51</v>
      </c>
      <c r="L88" s="5" t="s">
        <v>55</v>
      </c>
      <c r="M88" s="5" t="s">
        <v>75</v>
      </c>
      <c r="N88" s="5" t="s">
        <v>48</v>
      </c>
      <c r="O88" s="5" t="s">
        <v>65</v>
      </c>
      <c r="P88" s="5" t="s">
        <v>70</v>
      </c>
      <c r="Q88" s="1">
        <v>6</v>
      </c>
      <c r="R88" s="1">
        <v>91</v>
      </c>
      <c r="S88" s="1">
        <v>37</v>
      </c>
      <c r="X88">
        <f t="shared" si="12"/>
        <v>86</v>
      </c>
      <c r="Y88">
        <f t="shared" si="11"/>
        <v>0</v>
      </c>
    </row>
    <row r="89" spans="1:25" ht="28.8" x14ac:dyDescent="0.3">
      <c r="A89" s="46">
        <v>74</v>
      </c>
      <c r="B89" s="4"/>
      <c r="C89" s="6" t="s">
        <v>139</v>
      </c>
      <c r="D89" s="5"/>
      <c r="E89" s="5" t="s">
        <v>208</v>
      </c>
      <c r="F89" s="5" t="s">
        <v>207</v>
      </c>
      <c r="G89" s="5" t="s">
        <v>58</v>
      </c>
      <c r="H89" s="5" t="s">
        <v>60</v>
      </c>
      <c r="I89" s="5" t="s">
        <v>67</v>
      </c>
      <c r="J89" s="5" t="s">
        <v>59</v>
      </c>
      <c r="K89" s="5" t="s">
        <v>51</v>
      </c>
      <c r="L89" s="5" t="s">
        <v>55</v>
      </c>
      <c r="M89" s="5" t="s">
        <v>75</v>
      </c>
      <c r="N89" s="5" t="s">
        <v>48</v>
      </c>
      <c r="O89" s="5" t="s">
        <v>210</v>
      </c>
      <c r="P89" s="5" t="s">
        <v>73</v>
      </c>
      <c r="Q89" s="1">
        <v>6</v>
      </c>
      <c r="R89" s="1">
        <v>111</v>
      </c>
      <c r="S89" s="1">
        <v>57</v>
      </c>
      <c r="X89">
        <f t="shared" si="12"/>
        <v>87</v>
      </c>
      <c r="Y89">
        <f t="shared" si="11"/>
        <v>0</v>
      </c>
    </row>
    <row r="90" spans="1:25" ht="28.8" x14ac:dyDescent="0.3">
      <c r="A90" s="46">
        <v>75</v>
      </c>
      <c r="B90" s="4"/>
      <c r="C90" s="6" t="s">
        <v>135</v>
      </c>
      <c r="D90" s="5"/>
      <c r="E90" s="5" t="s">
        <v>208</v>
      </c>
      <c r="F90" s="5" t="s">
        <v>207</v>
      </c>
      <c r="G90" s="5" t="s">
        <v>72</v>
      </c>
      <c r="H90" s="5" t="s">
        <v>68</v>
      </c>
      <c r="I90" s="5" t="s">
        <v>61</v>
      </c>
      <c r="J90" s="5" t="s">
        <v>59</v>
      </c>
      <c r="K90" s="5" t="s">
        <v>62</v>
      </c>
      <c r="L90" s="5" t="s">
        <v>47</v>
      </c>
      <c r="M90" s="5" t="s">
        <v>75</v>
      </c>
      <c r="N90" s="5" t="s">
        <v>50</v>
      </c>
      <c r="O90" s="5" t="s">
        <v>210</v>
      </c>
      <c r="P90" s="5" t="s">
        <v>73</v>
      </c>
      <c r="Q90" s="1">
        <v>6</v>
      </c>
      <c r="R90" s="1">
        <v>100</v>
      </c>
      <c r="S90" s="1">
        <v>36</v>
      </c>
      <c r="X90">
        <f t="shared" si="12"/>
        <v>88</v>
      </c>
      <c r="Y90">
        <f t="shared" si="11"/>
        <v>0</v>
      </c>
    </row>
    <row r="91" spans="1:25" ht="28.8" x14ac:dyDescent="0.3">
      <c r="A91" s="46">
        <v>76</v>
      </c>
      <c r="B91" s="4"/>
      <c r="C91" s="6" t="s">
        <v>137</v>
      </c>
      <c r="D91" s="5"/>
      <c r="E91" s="5" t="s">
        <v>208</v>
      </c>
      <c r="F91" s="5" t="s">
        <v>69</v>
      </c>
      <c r="G91" s="5" t="s">
        <v>58</v>
      </c>
      <c r="H91" s="5" t="s">
        <v>68</v>
      </c>
      <c r="I91" s="5" t="s">
        <v>61</v>
      </c>
      <c r="J91" s="5" t="s">
        <v>59</v>
      </c>
      <c r="K91" s="5" t="s">
        <v>62</v>
      </c>
      <c r="L91" s="5" t="s">
        <v>47</v>
      </c>
      <c r="M91" s="5" t="s">
        <v>75</v>
      </c>
      <c r="N91" s="5" t="s">
        <v>48</v>
      </c>
      <c r="O91" s="5" t="s">
        <v>65</v>
      </c>
      <c r="P91" s="5" t="s">
        <v>73</v>
      </c>
      <c r="Q91" s="1">
        <v>6</v>
      </c>
      <c r="R91" s="1">
        <v>93</v>
      </c>
      <c r="S91" s="1">
        <v>35</v>
      </c>
      <c r="X91">
        <f t="shared" si="12"/>
        <v>89</v>
      </c>
      <c r="Y91">
        <f t="shared" si="11"/>
        <v>0</v>
      </c>
    </row>
    <row r="92" spans="1:25" ht="28.8" x14ac:dyDescent="0.3">
      <c r="A92" s="46">
        <v>77</v>
      </c>
      <c r="B92" s="4"/>
      <c r="C92" s="6" t="s">
        <v>124</v>
      </c>
      <c r="D92" s="5"/>
      <c r="E92" s="5" t="s">
        <v>208</v>
      </c>
      <c r="F92" s="5" t="s">
        <v>69</v>
      </c>
      <c r="G92" s="5" t="s">
        <v>72</v>
      </c>
      <c r="H92" s="5" t="s">
        <v>60</v>
      </c>
      <c r="I92" s="5" t="s">
        <v>67</v>
      </c>
      <c r="J92" s="5" t="s">
        <v>59</v>
      </c>
      <c r="K92" s="5" t="s">
        <v>62</v>
      </c>
      <c r="L92" s="5" t="s">
        <v>55</v>
      </c>
      <c r="M92" s="5" t="s">
        <v>209</v>
      </c>
      <c r="N92" s="5" t="s">
        <v>48</v>
      </c>
      <c r="O92" s="5" t="s">
        <v>65</v>
      </c>
      <c r="P92" s="5" t="s">
        <v>70</v>
      </c>
      <c r="Q92" s="1">
        <v>6</v>
      </c>
      <c r="R92" s="1">
        <v>79</v>
      </c>
      <c r="S92" s="1">
        <v>59</v>
      </c>
      <c r="X92">
        <f t="shared" si="12"/>
        <v>90</v>
      </c>
      <c r="Y92">
        <f t="shared" si="11"/>
        <v>0</v>
      </c>
    </row>
    <row r="93" spans="1:25" ht="28.8" x14ac:dyDescent="0.3">
      <c r="A93" s="46">
        <v>78</v>
      </c>
      <c r="B93" s="4"/>
      <c r="C93" s="6" t="s">
        <v>28</v>
      </c>
      <c r="D93" s="5"/>
      <c r="E93" s="5" t="s">
        <v>208</v>
      </c>
      <c r="F93" s="5" t="s">
        <v>207</v>
      </c>
      <c r="G93" s="5" t="s">
        <v>72</v>
      </c>
      <c r="H93" s="5" t="s">
        <v>60</v>
      </c>
      <c r="I93" s="5" t="s">
        <v>67</v>
      </c>
      <c r="J93" s="5" t="s">
        <v>59</v>
      </c>
      <c r="K93" s="5" t="s">
        <v>62</v>
      </c>
      <c r="L93" s="5" t="s">
        <v>55</v>
      </c>
      <c r="M93" s="5" t="s">
        <v>209</v>
      </c>
      <c r="N93" s="5" t="s">
        <v>48</v>
      </c>
      <c r="O93" s="5" t="s">
        <v>210</v>
      </c>
      <c r="P93" s="5" t="s">
        <v>70</v>
      </c>
      <c r="Q93" s="1">
        <v>6</v>
      </c>
      <c r="R93" s="1">
        <v>88</v>
      </c>
      <c r="S93" s="1">
        <v>34</v>
      </c>
      <c r="X93">
        <f t="shared" si="12"/>
        <v>91</v>
      </c>
      <c r="Y93">
        <f t="shared" si="11"/>
        <v>0</v>
      </c>
    </row>
    <row r="94" spans="1:25" x14ac:dyDescent="0.3">
      <c r="A94" s="46">
        <v>79</v>
      </c>
      <c r="B94" s="4"/>
      <c r="C94" s="6" t="s">
        <v>126</v>
      </c>
      <c r="D94" s="5"/>
      <c r="E94" s="5" t="s">
        <v>74</v>
      </c>
      <c r="F94" s="5" t="s">
        <v>207</v>
      </c>
      <c r="G94" s="5" t="s">
        <v>58</v>
      </c>
      <c r="H94" s="5" t="s">
        <v>60</v>
      </c>
      <c r="I94" s="5" t="s">
        <v>61</v>
      </c>
      <c r="J94" s="5" t="s">
        <v>59</v>
      </c>
      <c r="K94" s="5" t="s">
        <v>62</v>
      </c>
      <c r="L94" s="5" t="s">
        <v>47</v>
      </c>
      <c r="M94" s="5" t="s">
        <v>75</v>
      </c>
      <c r="N94" s="5" t="s">
        <v>48</v>
      </c>
      <c r="O94" s="5" t="s">
        <v>210</v>
      </c>
      <c r="P94" s="5" t="s">
        <v>73</v>
      </c>
      <c r="Q94" s="1">
        <v>6</v>
      </c>
      <c r="R94" s="1">
        <v>102</v>
      </c>
      <c r="S94" s="1">
        <v>67</v>
      </c>
      <c r="X94">
        <f t="shared" si="12"/>
        <v>92</v>
      </c>
      <c r="Y94">
        <f t="shared" si="11"/>
        <v>0</v>
      </c>
    </row>
    <row r="95" spans="1:25" ht="28.8" x14ac:dyDescent="0.3">
      <c r="A95" s="46">
        <v>80</v>
      </c>
      <c r="B95" s="4"/>
      <c r="C95" s="6" t="s">
        <v>162</v>
      </c>
      <c r="D95" s="5"/>
      <c r="E95" s="5" t="s">
        <v>208</v>
      </c>
      <c r="F95" s="5" t="s">
        <v>207</v>
      </c>
      <c r="G95" s="5" t="s">
        <v>72</v>
      </c>
      <c r="H95" s="5" t="s">
        <v>60</v>
      </c>
      <c r="I95" s="5" t="s">
        <v>67</v>
      </c>
      <c r="J95" s="5" t="s">
        <v>59</v>
      </c>
      <c r="K95" s="5" t="s">
        <v>62</v>
      </c>
      <c r="L95" s="5" t="s">
        <v>55</v>
      </c>
      <c r="M95" s="5" t="s">
        <v>209</v>
      </c>
      <c r="N95" s="5" t="s">
        <v>48</v>
      </c>
      <c r="O95" s="5" t="s">
        <v>210</v>
      </c>
      <c r="P95" s="5" t="s">
        <v>70</v>
      </c>
      <c r="Q95" s="1">
        <v>6</v>
      </c>
      <c r="R95" s="1">
        <v>102</v>
      </c>
      <c r="S95" s="1">
        <v>24</v>
      </c>
      <c r="X95">
        <f t="shared" si="12"/>
        <v>93</v>
      </c>
      <c r="Y95">
        <f t="shared" si="11"/>
        <v>0</v>
      </c>
    </row>
    <row r="96" spans="1:25" ht="28.8" x14ac:dyDescent="0.3">
      <c r="A96" s="46">
        <v>81</v>
      </c>
      <c r="B96" s="4"/>
      <c r="C96" s="6" t="s">
        <v>87</v>
      </c>
      <c r="D96" s="5"/>
      <c r="E96" s="5" t="s">
        <v>208</v>
      </c>
      <c r="F96" s="5" t="s">
        <v>207</v>
      </c>
      <c r="G96" s="5" t="s">
        <v>72</v>
      </c>
      <c r="H96" s="5" t="s">
        <v>60</v>
      </c>
      <c r="I96" s="5" t="s">
        <v>67</v>
      </c>
      <c r="J96" s="5" t="s">
        <v>59</v>
      </c>
      <c r="K96" s="5" t="s">
        <v>62</v>
      </c>
      <c r="L96" s="5" t="s">
        <v>55</v>
      </c>
      <c r="M96" s="5" t="s">
        <v>209</v>
      </c>
      <c r="N96" s="5" t="s">
        <v>48</v>
      </c>
      <c r="O96" s="5" t="s">
        <v>210</v>
      </c>
      <c r="P96" s="5" t="s">
        <v>70</v>
      </c>
      <c r="Q96" s="1">
        <v>6</v>
      </c>
      <c r="R96" s="1">
        <v>87</v>
      </c>
      <c r="S96" s="1">
        <v>5</v>
      </c>
      <c r="X96">
        <f t="shared" si="12"/>
        <v>94</v>
      </c>
      <c r="Y96">
        <f t="shared" si="11"/>
        <v>0</v>
      </c>
    </row>
    <row r="97" spans="1:25" ht="28.8" x14ac:dyDescent="0.3">
      <c r="A97" s="46">
        <v>82</v>
      </c>
      <c r="B97" s="4"/>
      <c r="C97" s="6" t="s">
        <v>170</v>
      </c>
      <c r="D97" s="5"/>
      <c r="E97" s="5" t="s">
        <v>208</v>
      </c>
      <c r="F97" s="5" t="s">
        <v>207</v>
      </c>
      <c r="G97" s="5" t="s">
        <v>72</v>
      </c>
      <c r="H97" s="5" t="s">
        <v>60</v>
      </c>
      <c r="I97" s="5" t="s">
        <v>67</v>
      </c>
      <c r="J97" s="5" t="s">
        <v>59</v>
      </c>
      <c r="K97" s="5" t="s">
        <v>62</v>
      </c>
      <c r="L97" s="5" t="s">
        <v>55</v>
      </c>
      <c r="M97" s="5" t="s">
        <v>209</v>
      </c>
      <c r="N97" s="5" t="s">
        <v>48</v>
      </c>
      <c r="O97" s="5" t="s">
        <v>210</v>
      </c>
      <c r="P97" s="5" t="s">
        <v>70</v>
      </c>
      <c r="Q97" s="1">
        <v>6</v>
      </c>
      <c r="R97" s="1">
        <v>77</v>
      </c>
      <c r="S97" s="1">
        <v>3</v>
      </c>
      <c r="X97">
        <f t="shared" si="12"/>
        <v>95</v>
      </c>
      <c r="Y97">
        <f t="shared" si="11"/>
        <v>0</v>
      </c>
    </row>
    <row r="98" spans="1:25" x14ac:dyDescent="0.3">
      <c r="A98" s="46">
        <v>83</v>
      </c>
      <c r="B98" s="4"/>
      <c r="C98" s="6" t="s">
        <v>173</v>
      </c>
      <c r="D98" s="5"/>
      <c r="E98" s="5" t="s">
        <v>208</v>
      </c>
      <c r="F98" s="5" t="s">
        <v>207</v>
      </c>
      <c r="G98" s="5" t="s">
        <v>72</v>
      </c>
      <c r="H98" s="5" t="s">
        <v>60</v>
      </c>
      <c r="I98" s="5" t="s">
        <v>67</v>
      </c>
      <c r="J98" s="5" t="s">
        <v>59</v>
      </c>
      <c r="K98" s="5" t="s">
        <v>62</v>
      </c>
      <c r="L98" s="5" t="s">
        <v>55</v>
      </c>
      <c r="M98" s="5" t="s">
        <v>209</v>
      </c>
      <c r="N98" s="5" t="s">
        <v>48</v>
      </c>
      <c r="O98" s="5" t="s">
        <v>210</v>
      </c>
      <c r="P98" s="5" t="s">
        <v>70</v>
      </c>
      <c r="Q98" s="1">
        <v>6</v>
      </c>
      <c r="R98" s="1">
        <v>98</v>
      </c>
      <c r="S98" s="1">
        <v>3</v>
      </c>
      <c r="X98">
        <f t="shared" si="12"/>
        <v>96</v>
      </c>
      <c r="Y98">
        <f t="shared" si="11"/>
        <v>0</v>
      </c>
    </row>
    <row r="99" spans="1:25" ht="28.8" x14ac:dyDescent="0.3">
      <c r="A99" s="46">
        <v>84</v>
      </c>
      <c r="B99" s="4"/>
      <c r="C99" s="6" t="s">
        <v>32</v>
      </c>
      <c r="D99" s="5"/>
      <c r="E99" s="5" t="s">
        <v>208</v>
      </c>
      <c r="F99" s="5" t="s">
        <v>69</v>
      </c>
      <c r="G99" s="5" t="s">
        <v>72</v>
      </c>
      <c r="H99" s="5" t="s">
        <v>60</v>
      </c>
      <c r="I99" s="5" t="s">
        <v>67</v>
      </c>
      <c r="J99" s="5" t="s">
        <v>66</v>
      </c>
      <c r="K99" s="5" t="s">
        <v>62</v>
      </c>
      <c r="L99" s="5" t="s">
        <v>55</v>
      </c>
      <c r="M99" s="5" t="s">
        <v>209</v>
      </c>
      <c r="N99" s="5" t="s">
        <v>50</v>
      </c>
      <c r="O99" s="5" t="s">
        <v>65</v>
      </c>
      <c r="P99" s="5" t="s">
        <v>73</v>
      </c>
      <c r="Q99" s="1">
        <v>5</v>
      </c>
      <c r="R99" s="1">
        <v>99</v>
      </c>
      <c r="S99" s="1">
        <v>47</v>
      </c>
      <c r="X99">
        <f t="shared" si="12"/>
        <v>97</v>
      </c>
      <c r="Y99">
        <f t="shared" si="11"/>
        <v>0</v>
      </c>
    </row>
    <row r="100" spans="1:25" ht="28.8" x14ac:dyDescent="0.3">
      <c r="A100" s="46">
        <v>85</v>
      </c>
      <c r="B100" s="4"/>
      <c r="C100" s="6" t="s">
        <v>185</v>
      </c>
      <c r="D100" s="5"/>
      <c r="E100" s="5" t="s">
        <v>208</v>
      </c>
      <c r="F100" s="5" t="s">
        <v>207</v>
      </c>
      <c r="G100" s="5" t="s">
        <v>58</v>
      </c>
      <c r="H100" s="5" t="s">
        <v>68</v>
      </c>
      <c r="I100" s="5" t="s">
        <v>61</v>
      </c>
      <c r="J100" s="5" t="s">
        <v>59</v>
      </c>
      <c r="K100" s="5" t="s">
        <v>62</v>
      </c>
      <c r="L100" s="5" t="s">
        <v>55</v>
      </c>
      <c r="M100" s="5" t="s">
        <v>75</v>
      </c>
      <c r="N100" s="5" t="s">
        <v>48</v>
      </c>
      <c r="O100" s="5" t="s">
        <v>210</v>
      </c>
      <c r="P100" s="5" t="s">
        <v>73</v>
      </c>
      <c r="Q100" s="1">
        <v>5</v>
      </c>
      <c r="R100" s="1">
        <v>98</v>
      </c>
      <c r="S100" s="1">
        <v>46</v>
      </c>
      <c r="X100">
        <f t="shared" si="12"/>
        <v>98</v>
      </c>
      <c r="Y100">
        <f t="shared" si="11"/>
        <v>0</v>
      </c>
    </row>
    <row r="101" spans="1:25" x14ac:dyDescent="0.3">
      <c r="A101" s="46">
        <v>86</v>
      </c>
      <c r="B101" s="4"/>
      <c r="C101" s="6" t="s">
        <v>38</v>
      </c>
      <c r="D101" s="5"/>
      <c r="E101" s="5" t="s">
        <v>208</v>
      </c>
      <c r="F101" s="5" t="s">
        <v>207</v>
      </c>
      <c r="G101" s="5" t="s">
        <v>72</v>
      </c>
      <c r="H101" s="5" t="s">
        <v>68</v>
      </c>
      <c r="I101" s="5" t="s">
        <v>61</v>
      </c>
      <c r="J101" s="5" t="s">
        <v>59</v>
      </c>
      <c r="K101" s="5" t="s">
        <v>62</v>
      </c>
      <c r="L101" s="5" t="s">
        <v>55</v>
      </c>
      <c r="M101" s="5" t="s">
        <v>75</v>
      </c>
      <c r="N101" s="5" t="s">
        <v>48</v>
      </c>
      <c r="O101" s="5" t="s">
        <v>210</v>
      </c>
      <c r="P101" s="5" t="s">
        <v>70</v>
      </c>
      <c r="Q101" s="1">
        <v>5</v>
      </c>
      <c r="R101" s="1">
        <v>106</v>
      </c>
      <c r="S101" s="1">
        <v>46</v>
      </c>
      <c r="X101">
        <f t="shared" si="12"/>
        <v>99</v>
      </c>
      <c r="Y101">
        <f t="shared" si="11"/>
        <v>0</v>
      </c>
    </row>
    <row r="102" spans="1:25" ht="28.8" x14ac:dyDescent="0.3">
      <c r="A102" s="46">
        <v>87</v>
      </c>
      <c r="B102" s="4"/>
      <c r="C102" s="6" t="s">
        <v>140</v>
      </c>
      <c r="D102" s="5"/>
      <c r="E102" s="5" t="s">
        <v>208</v>
      </c>
      <c r="F102" s="5" t="s">
        <v>69</v>
      </c>
      <c r="G102" s="5" t="s">
        <v>72</v>
      </c>
      <c r="H102" s="5" t="s">
        <v>68</v>
      </c>
      <c r="I102" s="5" t="s">
        <v>61</v>
      </c>
      <c r="J102" s="5" t="s">
        <v>59</v>
      </c>
      <c r="K102" s="5" t="s">
        <v>51</v>
      </c>
      <c r="L102" s="5" t="s">
        <v>55</v>
      </c>
      <c r="M102" s="5" t="s">
        <v>209</v>
      </c>
      <c r="N102" s="5" t="s">
        <v>50</v>
      </c>
      <c r="O102" s="5" t="s">
        <v>210</v>
      </c>
      <c r="P102" s="5" t="s">
        <v>70</v>
      </c>
      <c r="Q102" s="1">
        <v>5</v>
      </c>
      <c r="R102" s="1">
        <v>96</v>
      </c>
      <c r="S102" s="1">
        <v>48</v>
      </c>
      <c r="X102">
        <f t="shared" si="12"/>
        <v>100</v>
      </c>
      <c r="Y102">
        <f t="shared" si="11"/>
        <v>0</v>
      </c>
    </row>
    <row r="103" spans="1:25" x14ac:dyDescent="0.3">
      <c r="A103" s="46">
        <v>88</v>
      </c>
      <c r="B103" s="4"/>
      <c r="C103" s="6" t="s">
        <v>109</v>
      </c>
      <c r="D103" s="5"/>
      <c r="E103" s="5" t="s">
        <v>208</v>
      </c>
      <c r="F103" s="5" t="s">
        <v>69</v>
      </c>
      <c r="G103" s="5" t="s">
        <v>72</v>
      </c>
      <c r="H103" s="5" t="s">
        <v>68</v>
      </c>
      <c r="I103" s="5" t="s">
        <v>61</v>
      </c>
      <c r="J103" s="5" t="s">
        <v>59</v>
      </c>
      <c r="K103" s="5" t="s">
        <v>62</v>
      </c>
      <c r="L103" s="5" t="s">
        <v>55</v>
      </c>
      <c r="M103" s="5" t="s">
        <v>209</v>
      </c>
      <c r="N103" s="5" t="s">
        <v>50</v>
      </c>
      <c r="O103" s="5" t="s">
        <v>65</v>
      </c>
      <c r="P103" s="5" t="s">
        <v>70</v>
      </c>
      <c r="Q103" s="1">
        <v>5</v>
      </c>
      <c r="R103" s="1">
        <v>98</v>
      </c>
      <c r="S103" s="1">
        <v>48</v>
      </c>
      <c r="X103">
        <f t="shared" si="12"/>
        <v>101</v>
      </c>
      <c r="Y103">
        <f t="shared" si="11"/>
        <v>0</v>
      </c>
    </row>
    <row r="104" spans="1:25" x14ac:dyDescent="0.3">
      <c r="A104" s="46">
        <v>89</v>
      </c>
      <c r="B104" s="4"/>
      <c r="C104" s="6" t="s">
        <v>85</v>
      </c>
      <c r="D104" s="5"/>
      <c r="E104" s="5" t="s">
        <v>208</v>
      </c>
      <c r="F104" s="5" t="s">
        <v>69</v>
      </c>
      <c r="G104" s="5" t="s">
        <v>72</v>
      </c>
      <c r="H104" s="5" t="s">
        <v>68</v>
      </c>
      <c r="I104" s="5" t="s">
        <v>61</v>
      </c>
      <c r="J104" s="5" t="s">
        <v>59</v>
      </c>
      <c r="K104" s="5" t="s">
        <v>51</v>
      </c>
      <c r="L104" s="5" t="s">
        <v>55</v>
      </c>
      <c r="M104" s="5" t="s">
        <v>75</v>
      </c>
      <c r="N104" s="5" t="s">
        <v>50</v>
      </c>
      <c r="O104" s="5" t="s">
        <v>210</v>
      </c>
      <c r="P104" s="5" t="s">
        <v>73</v>
      </c>
      <c r="Q104" s="1">
        <v>5</v>
      </c>
      <c r="R104" s="1">
        <v>104</v>
      </c>
      <c r="S104" s="1">
        <v>49</v>
      </c>
      <c r="X104">
        <f t="shared" si="12"/>
        <v>102</v>
      </c>
      <c r="Y104">
        <f t="shared" si="11"/>
        <v>0</v>
      </c>
    </row>
    <row r="105" spans="1:25" ht="28.8" x14ac:dyDescent="0.3">
      <c r="A105" s="46">
        <v>90</v>
      </c>
      <c r="B105" s="4"/>
      <c r="C105" s="6" t="s">
        <v>146</v>
      </c>
      <c r="D105" s="5"/>
      <c r="E105" s="5" t="s">
        <v>208</v>
      </c>
      <c r="F105" s="5" t="s">
        <v>207</v>
      </c>
      <c r="G105" s="5" t="s">
        <v>58</v>
      </c>
      <c r="H105" s="5" t="s">
        <v>68</v>
      </c>
      <c r="I105" s="5" t="s">
        <v>61</v>
      </c>
      <c r="J105" s="5" t="s">
        <v>59</v>
      </c>
      <c r="K105" s="5" t="s">
        <v>62</v>
      </c>
      <c r="L105" s="5" t="s">
        <v>55</v>
      </c>
      <c r="M105" s="5" t="s">
        <v>75</v>
      </c>
      <c r="N105" s="5" t="s">
        <v>50</v>
      </c>
      <c r="O105" s="5" t="s">
        <v>65</v>
      </c>
      <c r="P105" s="5" t="s">
        <v>73</v>
      </c>
      <c r="Q105" s="1">
        <v>5</v>
      </c>
      <c r="R105" s="1">
        <v>101</v>
      </c>
      <c r="S105" s="1">
        <v>49</v>
      </c>
      <c r="X105">
        <f t="shared" si="12"/>
        <v>103</v>
      </c>
      <c r="Y105">
        <f t="shared" si="11"/>
        <v>0</v>
      </c>
    </row>
    <row r="106" spans="1:25" ht="28.8" x14ac:dyDescent="0.3">
      <c r="A106" s="46">
        <v>91</v>
      </c>
      <c r="B106" s="4"/>
      <c r="C106" s="6" t="s">
        <v>174</v>
      </c>
      <c r="D106" s="5"/>
      <c r="E106" s="5" t="s">
        <v>208</v>
      </c>
      <c r="F106" s="5" t="s">
        <v>207</v>
      </c>
      <c r="G106" s="5" t="s">
        <v>58</v>
      </c>
      <c r="H106" s="5" t="s">
        <v>60</v>
      </c>
      <c r="I106" s="5" t="s">
        <v>67</v>
      </c>
      <c r="J106" s="5" t="s">
        <v>59</v>
      </c>
      <c r="K106" s="5" t="s">
        <v>62</v>
      </c>
      <c r="L106" s="5" t="s">
        <v>55</v>
      </c>
      <c r="M106" s="5" t="s">
        <v>75</v>
      </c>
      <c r="N106" s="5" t="s">
        <v>48</v>
      </c>
      <c r="O106" s="5" t="s">
        <v>210</v>
      </c>
      <c r="P106" s="5" t="s">
        <v>73</v>
      </c>
      <c r="Q106" s="1">
        <v>5</v>
      </c>
      <c r="R106" s="1">
        <v>102</v>
      </c>
      <c r="S106" s="1">
        <v>45</v>
      </c>
      <c r="X106">
        <f t="shared" si="12"/>
        <v>104</v>
      </c>
      <c r="Y106">
        <f t="shared" si="11"/>
        <v>0</v>
      </c>
    </row>
    <row r="107" spans="1:25" x14ac:dyDescent="0.3">
      <c r="A107" s="46">
        <v>92</v>
      </c>
      <c r="B107" s="4"/>
      <c r="C107" s="6" t="s">
        <v>181</v>
      </c>
      <c r="D107" s="5"/>
      <c r="E107" s="5" t="s">
        <v>208</v>
      </c>
      <c r="F107" s="5" t="s">
        <v>207</v>
      </c>
      <c r="G107" s="5" t="s">
        <v>58</v>
      </c>
      <c r="H107" s="5" t="s">
        <v>60</v>
      </c>
      <c r="I107" s="5" t="s">
        <v>61</v>
      </c>
      <c r="J107" s="5" t="s">
        <v>59</v>
      </c>
      <c r="K107" s="5" t="s">
        <v>62</v>
      </c>
      <c r="L107" s="5" t="s">
        <v>47</v>
      </c>
      <c r="M107" s="5" t="s">
        <v>75</v>
      </c>
      <c r="N107" s="5" t="s">
        <v>48</v>
      </c>
      <c r="O107" s="5" t="s">
        <v>210</v>
      </c>
      <c r="P107" s="5" t="s">
        <v>73</v>
      </c>
      <c r="Q107" s="1">
        <v>5</v>
      </c>
      <c r="R107" s="1">
        <v>95</v>
      </c>
      <c r="S107" s="1">
        <v>45</v>
      </c>
      <c r="X107">
        <f t="shared" si="12"/>
        <v>105</v>
      </c>
      <c r="Y107">
        <f t="shared" si="11"/>
        <v>0</v>
      </c>
    </row>
    <row r="108" spans="1:25" x14ac:dyDescent="0.3">
      <c r="A108" s="46">
        <v>93</v>
      </c>
      <c r="B108" s="4"/>
      <c r="C108" s="6" t="s">
        <v>186</v>
      </c>
      <c r="D108" s="5"/>
      <c r="E108" s="5" t="s">
        <v>208</v>
      </c>
      <c r="F108" s="5" t="s">
        <v>207</v>
      </c>
      <c r="G108" s="5" t="s">
        <v>58</v>
      </c>
      <c r="H108" s="5" t="s">
        <v>68</v>
      </c>
      <c r="I108" s="5" t="s">
        <v>67</v>
      </c>
      <c r="J108" s="5" t="s">
        <v>59</v>
      </c>
      <c r="K108" s="5" t="s">
        <v>62</v>
      </c>
      <c r="L108" s="5" t="s">
        <v>55</v>
      </c>
      <c r="M108" s="5" t="s">
        <v>75</v>
      </c>
      <c r="N108" s="5" t="s">
        <v>48</v>
      </c>
      <c r="O108" s="5" t="s">
        <v>210</v>
      </c>
      <c r="P108" s="5" t="s">
        <v>70</v>
      </c>
      <c r="Q108" s="1">
        <v>5</v>
      </c>
      <c r="R108" s="1">
        <v>97</v>
      </c>
      <c r="S108" s="1">
        <v>45</v>
      </c>
      <c r="X108">
        <f t="shared" si="12"/>
        <v>106</v>
      </c>
      <c r="Y108">
        <f t="shared" si="11"/>
        <v>0</v>
      </c>
    </row>
    <row r="109" spans="1:25" x14ac:dyDescent="0.3">
      <c r="A109" s="46">
        <v>94</v>
      </c>
      <c r="B109" s="4"/>
      <c r="C109" s="6" t="s">
        <v>86</v>
      </c>
      <c r="D109" s="5"/>
      <c r="E109" s="5" t="s">
        <v>208</v>
      </c>
      <c r="F109" s="5" t="s">
        <v>207</v>
      </c>
      <c r="G109" s="5" t="s">
        <v>58</v>
      </c>
      <c r="H109" s="5" t="s">
        <v>68</v>
      </c>
      <c r="I109" s="5" t="s">
        <v>61</v>
      </c>
      <c r="J109" s="5" t="s">
        <v>59</v>
      </c>
      <c r="K109" s="5" t="s">
        <v>62</v>
      </c>
      <c r="L109" s="5" t="s">
        <v>47</v>
      </c>
      <c r="M109" s="5" t="s">
        <v>75</v>
      </c>
      <c r="N109" s="5" t="s">
        <v>50</v>
      </c>
      <c r="O109" s="5" t="s">
        <v>210</v>
      </c>
      <c r="P109" s="5" t="s">
        <v>73</v>
      </c>
      <c r="Q109" s="1">
        <v>5</v>
      </c>
      <c r="R109" s="1">
        <v>95</v>
      </c>
      <c r="S109" s="1">
        <v>45</v>
      </c>
      <c r="X109">
        <f t="shared" si="12"/>
        <v>107</v>
      </c>
      <c r="Y109">
        <f t="shared" si="11"/>
        <v>0</v>
      </c>
    </row>
    <row r="110" spans="1:25" ht="28.8" x14ac:dyDescent="0.3">
      <c r="A110" s="46">
        <v>95</v>
      </c>
      <c r="B110" s="4"/>
      <c r="C110" s="6" t="s">
        <v>148</v>
      </c>
      <c r="D110" s="5"/>
      <c r="E110" s="5" t="s">
        <v>74</v>
      </c>
      <c r="F110" s="5" t="s">
        <v>207</v>
      </c>
      <c r="G110" s="5" t="s">
        <v>72</v>
      </c>
      <c r="H110" s="5" t="s">
        <v>60</v>
      </c>
      <c r="I110" s="5" t="s">
        <v>67</v>
      </c>
      <c r="J110" s="5" t="s">
        <v>66</v>
      </c>
      <c r="K110" s="5" t="s">
        <v>62</v>
      </c>
      <c r="L110" s="5" t="s">
        <v>55</v>
      </c>
      <c r="M110" s="5" t="s">
        <v>209</v>
      </c>
      <c r="N110" s="5" t="s">
        <v>50</v>
      </c>
      <c r="O110" s="5" t="s">
        <v>210</v>
      </c>
      <c r="P110" s="5" t="s">
        <v>70</v>
      </c>
      <c r="Q110" s="1">
        <v>5</v>
      </c>
      <c r="R110" s="1">
        <v>101</v>
      </c>
      <c r="S110" s="1">
        <v>49</v>
      </c>
      <c r="X110">
        <f t="shared" si="12"/>
        <v>108</v>
      </c>
      <c r="Y110">
        <f t="shared" si="11"/>
        <v>0</v>
      </c>
    </row>
    <row r="111" spans="1:25" x14ac:dyDescent="0.3">
      <c r="A111" s="46">
        <v>96</v>
      </c>
      <c r="B111" s="4"/>
      <c r="C111" s="6" t="s">
        <v>157</v>
      </c>
      <c r="D111" s="5"/>
      <c r="E111" s="5" t="s">
        <v>208</v>
      </c>
      <c r="F111" s="5" t="s">
        <v>207</v>
      </c>
      <c r="G111" s="5" t="s">
        <v>58</v>
      </c>
      <c r="H111" s="5" t="s">
        <v>60</v>
      </c>
      <c r="I111" s="5" t="s">
        <v>67</v>
      </c>
      <c r="J111" s="5" t="s">
        <v>59</v>
      </c>
      <c r="K111" s="5" t="s">
        <v>62</v>
      </c>
      <c r="L111" s="5" t="s">
        <v>47</v>
      </c>
      <c r="M111" s="5" t="s">
        <v>75</v>
      </c>
      <c r="N111" s="5" t="s">
        <v>50</v>
      </c>
      <c r="O111" s="5" t="s">
        <v>210</v>
      </c>
      <c r="P111" s="5" t="s">
        <v>73</v>
      </c>
      <c r="Q111" s="1">
        <v>5</v>
      </c>
      <c r="R111" s="1">
        <v>93</v>
      </c>
      <c r="S111" s="1">
        <v>44</v>
      </c>
      <c r="X111">
        <f t="shared" si="12"/>
        <v>109</v>
      </c>
      <c r="Y111">
        <f t="shared" si="11"/>
        <v>0</v>
      </c>
    </row>
    <row r="112" spans="1:25" ht="28.8" x14ac:dyDescent="0.3">
      <c r="A112" s="46">
        <v>97</v>
      </c>
      <c r="B112" s="4"/>
      <c r="C112" s="6" t="s">
        <v>15</v>
      </c>
      <c r="D112" s="5"/>
      <c r="E112" s="5" t="s">
        <v>74</v>
      </c>
      <c r="F112" s="5" t="s">
        <v>207</v>
      </c>
      <c r="G112" s="5" t="s">
        <v>58</v>
      </c>
      <c r="H112" s="5" t="s">
        <v>60</v>
      </c>
      <c r="I112" s="5" t="s">
        <v>61</v>
      </c>
      <c r="J112" s="5" t="s">
        <v>59</v>
      </c>
      <c r="K112" s="5" t="s">
        <v>62</v>
      </c>
      <c r="L112" s="5" t="s">
        <v>55</v>
      </c>
      <c r="M112" s="5" t="s">
        <v>75</v>
      </c>
      <c r="N112" s="5" t="s">
        <v>50</v>
      </c>
      <c r="O112" s="5" t="s">
        <v>65</v>
      </c>
      <c r="P112" s="5" t="s">
        <v>73</v>
      </c>
      <c r="Q112" s="1">
        <v>5</v>
      </c>
      <c r="R112" s="1">
        <v>92</v>
      </c>
      <c r="S112" s="1">
        <v>50</v>
      </c>
      <c r="X112">
        <f t="shared" si="12"/>
        <v>110</v>
      </c>
      <c r="Y112">
        <f t="shared" si="11"/>
        <v>0</v>
      </c>
    </row>
    <row r="113" spans="1:25" x14ac:dyDescent="0.3">
      <c r="A113" s="46">
        <v>98</v>
      </c>
      <c r="B113" s="4"/>
      <c r="C113" s="6" t="s">
        <v>98</v>
      </c>
      <c r="D113" s="5"/>
      <c r="E113" s="5" t="s">
        <v>208</v>
      </c>
      <c r="F113" s="5" t="s">
        <v>207</v>
      </c>
      <c r="G113" s="5" t="s">
        <v>58</v>
      </c>
      <c r="H113" s="5" t="s">
        <v>68</v>
      </c>
      <c r="I113" s="5" t="s">
        <v>61</v>
      </c>
      <c r="J113" s="5" t="s">
        <v>59</v>
      </c>
      <c r="K113" s="5" t="s">
        <v>62</v>
      </c>
      <c r="L113" s="5" t="s">
        <v>47</v>
      </c>
      <c r="M113" s="5" t="s">
        <v>75</v>
      </c>
      <c r="N113" s="5" t="s">
        <v>50</v>
      </c>
      <c r="O113" s="5" t="s">
        <v>65</v>
      </c>
      <c r="P113" s="5" t="s">
        <v>70</v>
      </c>
      <c r="Q113" s="1">
        <v>5</v>
      </c>
      <c r="R113" s="1">
        <v>108</v>
      </c>
      <c r="S113" s="1">
        <v>50</v>
      </c>
      <c r="X113">
        <f t="shared" si="12"/>
        <v>111</v>
      </c>
      <c r="Y113">
        <f t="shared" si="11"/>
        <v>0</v>
      </c>
    </row>
    <row r="114" spans="1:25" ht="28.8" x14ac:dyDescent="0.3">
      <c r="A114" s="46">
        <v>99</v>
      </c>
      <c r="B114" s="4"/>
      <c r="C114" s="6" t="s">
        <v>172</v>
      </c>
      <c r="D114" s="5"/>
      <c r="E114" s="5" t="s">
        <v>208</v>
      </c>
      <c r="F114" s="5" t="s">
        <v>69</v>
      </c>
      <c r="G114" s="5" t="s">
        <v>58</v>
      </c>
      <c r="H114" s="5" t="s">
        <v>68</v>
      </c>
      <c r="I114" s="5" t="s">
        <v>61</v>
      </c>
      <c r="J114" s="5" t="s">
        <v>59</v>
      </c>
      <c r="K114" s="5" t="s">
        <v>62</v>
      </c>
      <c r="L114" s="5" t="s">
        <v>47</v>
      </c>
      <c r="M114" s="5" t="s">
        <v>75</v>
      </c>
      <c r="N114" s="5" t="s">
        <v>48</v>
      </c>
      <c r="O114" s="5" t="s">
        <v>210</v>
      </c>
      <c r="P114" s="5" t="s">
        <v>73</v>
      </c>
      <c r="Q114" s="1">
        <v>5</v>
      </c>
      <c r="R114" s="1">
        <v>98</v>
      </c>
      <c r="S114" s="1">
        <v>44</v>
      </c>
      <c r="X114">
        <f t="shared" si="12"/>
        <v>112</v>
      </c>
      <c r="Y114">
        <f t="shared" si="11"/>
        <v>0</v>
      </c>
    </row>
    <row r="115" spans="1:25" x14ac:dyDescent="0.3">
      <c r="A115" s="46">
        <v>100</v>
      </c>
      <c r="B115" s="4"/>
      <c r="C115" s="6" t="s">
        <v>151</v>
      </c>
      <c r="D115" s="5"/>
      <c r="E115" s="5" t="s">
        <v>74</v>
      </c>
      <c r="F115" s="5" t="s">
        <v>207</v>
      </c>
      <c r="G115" s="5" t="s">
        <v>58</v>
      </c>
      <c r="H115" s="5" t="s">
        <v>60</v>
      </c>
      <c r="I115" s="5" t="s">
        <v>67</v>
      </c>
      <c r="J115" s="5" t="s">
        <v>66</v>
      </c>
      <c r="K115" s="5" t="s">
        <v>51</v>
      </c>
      <c r="L115" s="5" t="s">
        <v>55</v>
      </c>
      <c r="M115" s="5" t="s">
        <v>209</v>
      </c>
      <c r="N115" s="5" t="s">
        <v>50</v>
      </c>
      <c r="O115" s="5" t="s">
        <v>210</v>
      </c>
      <c r="P115" s="5" t="s">
        <v>70</v>
      </c>
      <c r="Q115" s="1">
        <v>5</v>
      </c>
      <c r="R115" s="1">
        <v>94</v>
      </c>
      <c r="S115" s="1">
        <v>50</v>
      </c>
      <c r="X115">
        <f t="shared" si="12"/>
        <v>113</v>
      </c>
      <c r="Y115">
        <f t="shared" si="11"/>
        <v>0</v>
      </c>
    </row>
    <row r="116" spans="1:25" x14ac:dyDescent="0.3">
      <c r="A116" s="46">
        <v>101</v>
      </c>
      <c r="B116" s="4"/>
      <c r="C116" s="6" t="s">
        <v>106</v>
      </c>
      <c r="D116" s="5"/>
      <c r="E116" s="5" t="s">
        <v>208</v>
      </c>
      <c r="F116" s="5" t="s">
        <v>207</v>
      </c>
      <c r="G116" s="5" t="s">
        <v>72</v>
      </c>
      <c r="H116" s="5" t="s">
        <v>60</v>
      </c>
      <c r="I116" s="5" t="s">
        <v>61</v>
      </c>
      <c r="J116" s="5" t="s">
        <v>59</v>
      </c>
      <c r="K116" s="5" t="s">
        <v>62</v>
      </c>
      <c r="L116" s="5" t="s">
        <v>55</v>
      </c>
      <c r="M116" s="5" t="s">
        <v>209</v>
      </c>
      <c r="N116" s="5" t="s">
        <v>50</v>
      </c>
      <c r="O116" s="5" t="s">
        <v>65</v>
      </c>
      <c r="P116" s="5" t="s">
        <v>70</v>
      </c>
      <c r="Q116" s="1">
        <v>5</v>
      </c>
      <c r="R116" s="1">
        <v>94</v>
      </c>
      <c r="S116" s="1">
        <v>51</v>
      </c>
      <c r="X116">
        <f t="shared" si="12"/>
        <v>114</v>
      </c>
      <c r="Y116">
        <f t="shared" si="11"/>
        <v>0</v>
      </c>
    </row>
    <row r="117" spans="1:25" x14ac:dyDescent="0.3">
      <c r="A117" s="46">
        <v>102</v>
      </c>
      <c r="B117" s="4"/>
      <c r="C117" s="6" t="s">
        <v>168</v>
      </c>
      <c r="D117" s="5"/>
      <c r="E117" s="5" t="s">
        <v>208</v>
      </c>
      <c r="F117" s="5" t="s">
        <v>207</v>
      </c>
      <c r="G117" s="5" t="s">
        <v>58</v>
      </c>
      <c r="H117" s="5" t="s">
        <v>68</v>
      </c>
      <c r="I117" s="5" t="s">
        <v>67</v>
      </c>
      <c r="J117" s="5" t="s">
        <v>66</v>
      </c>
      <c r="K117" s="5" t="s">
        <v>62</v>
      </c>
      <c r="L117" s="5" t="s">
        <v>47</v>
      </c>
      <c r="M117" s="5" t="s">
        <v>75</v>
      </c>
      <c r="N117" s="5" t="s">
        <v>48</v>
      </c>
      <c r="O117" s="5" t="s">
        <v>210</v>
      </c>
      <c r="P117" s="5" t="s">
        <v>70</v>
      </c>
      <c r="Q117" s="1">
        <v>5</v>
      </c>
      <c r="R117" s="1">
        <v>98</v>
      </c>
      <c r="S117" s="1">
        <v>52</v>
      </c>
      <c r="X117">
        <f t="shared" si="12"/>
        <v>115</v>
      </c>
      <c r="Y117">
        <f t="shared" si="11"/>
        <v>0</v>
      </c>
    </row>
    <row r="118" spans="1:25" x14ac:dyDescent="0.3">
      <c r="A118" s="46">
        <v>103</v>
      </c>
      <c r="B118" s="4"/>
      <c r="C118" s="6" t="s">
        <v>39</v>
      </c>
      <c r="D118" s="5"/>
      <c r="E118" s="5" t="s">
        <v>74</v>
      </c>
      <c r="F118" s="5" t="s">
        <v>69</v>
      </c>
      <c r="G118" s="5" t="s">
        <v>72</v>
      </c>
      <c r="H118" s="5" t="s">
        <v>68</v>
      </c>
      <c r="I118" s="5" t="s">
        <v>61</v>
      </c>
      <c r="J118" s="5" t="s">
        <v>66</v>
      </c>
      <c r="K118" s="5" t="s">
        <v>62</v>
      </c>
      <c r="L118" s="5" t="s">
        <v>47</v>
      </c>
      <c r="M118" s="5" t="s">
        <v>75</v>
      </c>
      <c r="N118" s="5" t="s">
        <v>48</v>
      </c>
      <c r="O118" s="5" t="s">
        <v>210</v>
      </c>
      <c r="P118" s="5" t="s">
        <v>70</v>
      </c>
      <c r="Q118" s="1">
        <v>5</v>
      </c>
      <c r="R118" s="1">
        <v>93</v>
      </c>
      <c r="S118" s="1">
        <v>42</v>
      </c>
      <c r="X118">
        <f t="shared" si="12"/>
        <v>116</v>
      </c>
      <c r="Y118">
        <f t="shared" si="11"/>
        <v>0</v>
      </c>
    </row>
    <row r="119" spans="1:25" ht="28.8" x14ac:dyDescent="0.3">
      <c r="A119" s="46">
        <v>104</v>
      </c>
      <c r="B119" s="4"/>
      <c r="C119" s="6" t="s">
        <v>175</v>
      </c>
      <c r="D119" s="5"/>
      <c r="E119" s="5" t="s">
        <v>208</v>
      </c>
      <c r="F119" s="5" t="s">
        <v>207</v>
      </c>
      <c r="G119" s="5" t="s">
        <v>58</v>
      </c>
      <c r="H119" s="5" t="s">
        <v>60</v>
      </c>
      <c r="I119" s="5" t="s">
        <v>67</v>
      </c>
      <c r="J119" s="5" t="s">
        <v>66</v>
      </c>
      <c r="K119" s="5" t="s">
        <v>51</v>
      </c>
      <c r="L119" s="5" t="s">
        <v>55</v>
      </c>
      <c r="M119" s="5" t="s">
        <v>75</v>
      </c>
      <c r="N119" s="5" t="s">
        <v>48</v>
      </c>
      <c r="O119" s="5" t="s">
        <v>65</v>
      </c>
      <c r="P119" s="5" t="s">
        <v>70</v>
      </c>
      <c r="Q119" s="1">
        <v>5</v>
      </c>
      <c r="R119" s="1">
        <v>86</v>
      </c>
      <c r="S119" s="1">
        <v>42</v>
      </c>
      <c r="X119">
        <f t="shared" si="12"/>
        <v>117</v>
      </c>
      <c r="Y119">
        <f t="shared" si="11"/>
        <v>0</v>
      </c>
    </row>
    <row r="120" spans="1:25" x14ac:dyDescent="0.3">
      <c r="A120" s="46">
        <v>105</v>
      </c>
      <c r="B120" s="4"/>
      <c r="C120" s="6" t="s">
        <v>33</v>
      </c>
      <c r="D120" s="5"/>
      <c r="E120" s="5" t="s">
        <v>208</v>
      </c>
      <c r="F120" s="5" t="s">
        <v>207</v>
      </c>
      <c r="G120" s="5" t="s">
        <v>58</v>
      </c>
      <c r="H120" s="5" t="s">
        <v>60</v>
      </c>
      <c r="I120" s="5" t="s">
        <v>67</v>
      </c>
      <c r="J120" s="5" t="s">
        <v>59</v>
      </c>
      <c r="K120" s="5" t="s">
        <v>62</v>
      </c>
      <c r="L120" s="5" t="s">
        <v>55</v>
      </c>
      <c r="M120" s="5" t="s">
        <v>75</v>
      </c>
      <c r="N120" s="5" t="s">
        <v>48</v>
      </c>
      <c r="O120" s="5" t="s">
        <v>65</v>
      </c>
      <c r="P120" s="5" t="s">
        <v>70</v>
      </c>
      <c r="Q120" s="1">
        <v>5</v>
      </c>
      <c r="R120" s="1">
        <v>94</v>
      </c>
      <c r="S120" s="1">
        <v>42</v>
      </c>
      <c r="X120">
        <f t="shared" si="12"/>
        <v>118</v>
      </c>
      <c r="Y120">
        <f t="shared" si="11"/>
        <v>0</v>
      </c>
    </row>
    <row r="121" spans="1:25" x14ac:dyDescent="0.3">
      <c r="A121" s="46">
        <v>106</v>
      </c>
      <c r="B121" s="4"/>
      <c r="C121" s="6" t="s">
        <v>118</v>
      </c>
      <c r="D121" s="5"/>
      <c r="E121" s="5" t="s">
        <v>208</v>
      </c>
      <c r="F121" s="5" t="s">
        <v>207</v>
      </c>
      <c r="G121" s="5" t="s">
        <v>58</v>
      </c>
      <c r="H121" s="5" t="s">
        <v>60</v>
      </c>
      <c r="I121" s="5" t="s">
        <v>61</v>
      </c>
      <c r="J121" s="5" t="s">
        <v>66</v>
      </c>
      <c r="K121" s="5" t="s">
        <v>62</v>
      </c>
      <c r="L121" s="5" t="s">
        <v>47</v>
      </c>
      <c r="M121" s="5" t="s">
        <v>75</v>
      </c>
      <c r="N121" s="5" t="s">
        <v>48</v>
      </c>
      <c r="O121" s="5" t="s">
        <v>65</v>
      </c>
      <c r="P121" s="5" t="s">
        <v>73</v>
      </c>
      <c r="Q121" s="1">
        <v>5</v>
      </c>
      <c r="R121" s="1">
        <v>94</v>
      </c>
      <c r="S121" s="1">
        <v>52</v>
      </c>
    </row>
    <row r="122" spans="1:25" x14ac:dyDescent="0.3">
      <c r="A122" s="46">
        <v>107</v>
      </c>
      <c r="B122" s="4"/>
      <c r="C122" s="6" t="s">
        <v>149</v>
      </c>
      <c r="D122" s="5"/>
      <c r="E122" s="5" t="s">
        <v>208</v>
      </c>
      <c r="F122" s="5" t="s">
        <v>69</v>
      </c>
      <c r="G122" s="5" t="s">
        <v>72</v>
      </c>
      <c r="H122" s="5" t="s">
        <v>68</v>
      </c>
      <c r="I122" s="5" t="s">
        <v>61</v>
      </c>
      <c r="J122" s="5" t="s">
        <v>66</v>
      </c>
      <c r="K122" s="5" t="s">
        <v>62</v>
      </c>
      <c r="L122" s="5" t="s">
        <v>55</v>
      </c>
      <c r="M122" s="5" t="s">
        <v>75</v>
      </c>
      <c r="N122" s="5" t="s">
        <v>48</v>
      </c>
      <c r="O122" s="5" t="s">
        <v>65</v>
      </c>
      <c r="P122" s="5" t="s">
        <v>73</v>
      </c>
      <c r="Q122" s="1">
        <v>5</v>
      </c>
      <c r="R122" s="1">
        <v>90</v>
      </c>
      <c r="S122" s="1">
        <v>52</v>
      </c>
    </row>
    <row r="123" spans="1:25" x14ac:dyDescent="0.3">
      <c r="A123" s="46">
        <v>108</v>
      </c>
      <c r="B123" s="4"/>
      <c r="C123" s="6" t="s">
        <v>13</v>
      </c>
      <c r="D123" s="5"/>
      <c r="E123" s="5" t="s">
        <v>74</v>
      </c>
      <c r="F123" s="5" t="s">
        <v>69</v>
      </c>
      <c r="G123" s="5" t="s">
        <v>58</v>
      </c>
      <c r="H123" s="5" t="s">
        <v>60</v>
      </c>
      <c r="I123" s="5" t="s">
        <v>67</v>
      </c>
      <c r="J123" s="5" t="s">
        <v>66</v>
      </c>
      <c r="K123" s="5" t="s">
        <v>51</v>
      </c>
      <c r="L123" s="5" t="s">
        <v>55</v>
      </c>
      <c r="M123" s="5" t="s">
        <v>209</v>
      </c>
      <c r="N123" s="5" t="s">
        <v>50</v>
      </c>
      <c r="O123" s="5" t="s">
        <v>65</v>
      </c>
      <c r="P123" s="5" t="s">
        <v>70</v>
      </c>
      <c r="Q123" s="1">
        <v>5</v>
      </c>
      <c r="R123" s="1">
        <v>110</v>
      </c>
      <c r="S123" s="1">
        <v>52</v>
      </c>
    </row>
    <row r="124" spans="1:25" x14ac:dyDescent="0.3">
      <c r="A124" s="46">
        <v>109</v>
      </c>
      <c r="B124" s="4"/>
      <c r="C124" s="6" t="s">
        <v>161</v>
      </c>
      <c r="D124" s="5"/>
      <c r="E124" s="5" t="s">
        <v>208</v>
      </c>
      <c r="F124" s="5" t="s">
        <v>207</v>
      </c>
      <c r="G124" s="5" t="s">
        <v>58</v>
      </c>
      <c r="H124" s="5" t="s">
        <v>60</v>
      </c>
      <c r="I124" s="5" t="s">
        <v>67</v>
      </c>
      <c r="J124" s="5" t="s">
        <v>66</v>
      </c>
      <c r="K124" s="5" t="s">
        <v>51</v>
      </c>
      <c r="L124" s="5" t="s">
        <v>55</v>
      </c>
      <c r="M124" s="5" t="s">
        <v>75</v>
      </c>
      <c r="N124" s="5" t="s">
        <v>48</v>
      </c>
      <c r="O124" s="5" t="s">
        <v>210</v>
      </c>
      <c r="P124" s="5" t="s">
        <v>73</v>
      </c>
      <c r="Q124" s="1">
        <v>5</v>
      </c>
      <c r="R124" s="1">
        <v>98</v>
      </c>
      <c r="S124" s="1">
        <v>41</v>
      </c>
    </row>
    <row r="125" spans="1:25" x14ac:dyDescent="0.3">
      <c r="A125" s="46">
        <v>110</v>
      </c>
      <c r="B125" s="4"/>
      <c r="C125" s="6" t="s">
        <v>95</v>
      </c>
      <c r="D125" s="5"/>
      <c r="E125" s="5" t="s">
        <v>208</v>
      </c>
      <c r="F125" s="5" t="s">
        <v>207</v>
      </c>
      <c r="G125" s="5" t="s">
        <v>58</v>
      </c>
      <c r="H125" s="5" t="s">
        <v>60</v>
      </c>
      <c r="I125" s="5" t="s">
        <v>67</v>
      </c>
      <c r="J125" s="5" t="s">
        <v>59</v>
      </c>
      <c r="K125" s="5" t="s">
        <v>62</v>
      </c>
      <c r="L125" s="5" t="s">
        <v>55</v>
      </c>
      <c r="M125" s="5" t="s">
        <v>75</v>
      </c>
      <c r="N125" s="5" t="s">
        <v>48</v>
      </c>
      <c r="O125" s="5" t="s">
        <v>210</v>
      </c>
      <c r="P125" s="5" t="s">
        <v>73</v>
      </c>
      <c r="Q125" s="1">
        <v>5</v>
      </c>
      <c r="R125" s="1">
        <v>100</v>
      </c>
      <c r="S125" s="1">
        <v>41</v>
      </c>
    </row>
    <row r="126" spans="1:25" ht="28.8" x14ac:dyDescent="0.3">
      <c r="A126" s="46">
        <v>111</v>
      </c>
      <c r="B126" s="4"/>
      <c r="C126" s="6" t="s">
        <v>108</v>
      </c>
      <c r="D126" s="5"/>
      <c r="E126" s="5" t="s">
        <v>208</v>
      </c>
      <c r="F126" s="5" t="s">
        <v>207</v>
      </c>
      <c r="G126" s="5" t="s">
        <v>58</v>
      </c>
      <c r="H126" s="5" t="s">
        <v>68</v>
      </c>
      <c r="I126" s="5" t="s">
        <v>67</v>
      </c>
      <c r="J126" s="5" t="s">
        <v>59</v>
      </c>
      <c r="K126" s="5" t="s">
        <v>62</v>
      </c>
      <c r="L126" s="5" t="s">
        <v>55</v>
      </c>
      <c r="M126" s="5" t="s">
        <v>75</v>
      </c>
      <c r="N126" s="5" t="s">
        <v>50</v>
      </c>
      <c r="O126" s="5" t="s">
        <v>210</v>
      </c>
      <c r="P126" s="5" t="s">
        <v>73</v>
      </c>
      <c r="Q126" s="1">
        <v>5</v>
      </c>
      <c r="R126" s="1">
        <v>100</v>
      </c>
      <c r="S126" s="1">
        <v>54</v>
      </c>
    </row>
    <row r="127" spans="1:25" ht="28.8" x14ac:dyDescent="0.3">
      <c r="A127" s="46">
        <v>112</v>
      </c>
      <c r="B127" s="4"/>
      <c r="C127" s="6" t="s">
        <v>25</v>
      </c>
      <c r="D127" s="5"/>
      <c r="E127" s="5" t="s">
        <v>74</v>
      </c>
      <c r="F127" s="5" t="s">
        <v>69</v>
      </c>
      <c r="G127" s="5" t="s">
        <v>58</v>
      </c>
      <c r="H127" s="5" t="s">
        <v>68</v>
      </c>
      <c r="I127" s="5" t="s">
        <v>61</v>
      </c>
      <c r="J127" s="5" t="s">
        <v>66</v>
      </c>
      <c r="K127" s="5" t="s">
        <v>62</v>
      </c>
      <c r="L127" s="5" t="s">
        <v>55</v>
      </c>
      <c r="M127" s="5" t="s">
        <v>75</v>
      </c>
      <c r="N127" s="5" t="s">
        <v>48</v>
      </c>
      <c r="O127" s="5" t="s">
        <v>65</v>
      </c>
      <c r="P127" s="5" t="s">
        <v>73</v>
      </c>
      <c r="Q127" s="1">
        <v>5</v>
      </c>
      <c r="R127" s="1">
        <v>98</v>
      </c>
      <c r="S127" s="1">
        <v>39</v>
      </c>
    </row>
    <row r="128" spans="1:25" ht="28.8" x14ac:dyDescent="0.3">
      <c r="A128" s="46">
        <v>113</v>
      </c>
      <c r="B128" s="4"/>
      <c r="C128" s="6" t="s">
        <v>113</v>
      </c>
      <c r="D128" s="5"/>
      <c r="E128" s="5" t="s">
        <v>208</v>
      </c>
      <c r="F128" s="5" t="s">
        <v>207</v>
      </c>
      <c r="G128" s="5" t="s">
        <v>58</v>
      </c>
      <c r="H128" s="5" t="s">
        <v>60</v>
      </c>
      <c r="I128" s="5" t="s">
        <v>67</v>
      </c>
      <c r="J128" s="5" t="s">
        <v>59</v>
      </c>
      <c r="K128" s="5" t="s">
        <v>62</v>
      </c>
      <c r="L128" s="5" t="s">
        <v>47</v>
      </c>
      <c r="M128" s="5" t="s">
        <v>75</v>
      </c>
      <c r="N128" s="5" t="s">
        <v>50</v>
      </c>
      <c r="O128" s="5" t="s">
        <v>210</v>
      </c>
      <c r="P128" s="5" t="s">
        <v>73</v>
      </c>
      <c r="Q128" s="1">
        <v>5</v>
      </c>
      <c r="R128" s="1">
        <v>100</v>
      </c>
      <c r="S128" s="1">
        <v>56</v>
      </c>
    </row>
    <row r="129" spans="1:19" ht="28.8" x14ac:dyDescent="0.3">
      <c r="A129" s="46">
        <v>114</v>
      </c>
      <c r="B129" s="4"/>
      <c r="C129" s="6" t="s">
        <v>198</v>
      </c>
      <c r="D129" s="5"/>
      <c r="E129" s="5" t="s">
        <v>208</v>
      </c>
      <c r="F129" s="5" t="s">
        <v>207</v>
      </c>
      <c r="G129" s="5" t="s">
        <v>58</v>
      </c>
      <c r="H129" s="5" t="s">
        <v>60</v>
      </c>
      <c r="I129" s="5" t="s">
        <v>67</v>
      </c>
      <c r="J129" s="5" t="s">
        <v>59</v>
      </c>
      <c r="K129" s="5" t="s">
        <v>62</v>
      </c>
      <c r="L129" s="5" t="s">
        <v>47</v>
      </c>
      <c r="M129" s="5" t="s">
        <v>75</v>
      </c>
      <c r="N129" s="5" t="s">
        <v>50</v>
      </c>
      <c r="O129" s="5" t="s">
        <v>210</v>
      </c>
      <c r="P129" s="5" t="s">
        <v>73</v>
      </c>
      <c r="Q129" s="1">
        <v>5</v>
      </c>
      <c r="R129" s="1">
        <v>87</v>
      </c>
      <c r="S129" s="1">
        <v>37</v>
      </c>
    </row>
    <row r="130" spans="1:19" x14ac:dyDescent="0.3">
      <c r="A130" s="46">
        <v>115</v>
      </c>
      <c r="B130" s="4"/>
      <c r="C130" s="6" t="s">
        <v>130</v>
      </c>
      <c r="D130" s="5"/>
      <c r="E130" s="5" t="s">
        <v>208</v>
      </c>
      <c r="F130" s="5" t="s">
        <v>207</v>
      </c>
      <c r="G130" s="5" t="s">
        <v>72</v>
      </c>
      <c r="H130" s="5" t="s">
        <v>60</v>
      </c>
      <c r="I130" s="5" t="s">
        <v>67</v>
      </c>
      <c r="J130" s="5" t="s">
        <v>66</v>
      </c>
      <c r="K130" s="5" t="s">
        <v>62</v>
      </c>
      <c r="L130" s="5" t="s">
        <v>55</v>
      </c>
      <c r="M130" s="5" t="s">
        <v>209</v>
      </c>
      <c r="N130" s="5" t="s">
        <v>50</v>
      </c>
      <c r="O130" s="5" t="s">
        <v>210</v>
      </c>
      <c r="P130" s="5" t="s">
        <v>73</v>
      </c>
      <c r="Q130" s="1">
        <v>5</v>
      </c>
      <c r="R130" s="1">
        <v>96</v>
      </c>
      <c r="S130" s="1">
        <v>59</v>
      </c>
    </row>
    <row r="131" spans="1:19" x14ac:dyDescent="0.3">
      <c r="A131" s="46">
        <v>116</v>
      </c>
      <c r="B131" s="4"/>
      <c r="C131" s="6" t="s">
        <v>142</v>
      </c>
      <c r="D131" s="5"/>
      <c r="E131" s="5" t="s">
        <v>208</v>
      </c>
      <c r="F131" s="5" t="s">
        <v>207</v>
      </c>
      <c r="G131" s="5" t="s">
        <v>58</v>
      </c>
      <c r="H131" s="5" t="s">
        <v>60</v>
      </c>
      <c r="I131" s="5" t="s">
        <v>67</v>
      </c>
      <c r="J131" s="5" t="s">
        <v>66</v>
      </c>
      <c r="K131" s="5" t="s">
        <v>51</v>
      </c>
      <c r="L131" s="5" t="s">
        <v>55</v>
      </c>
      <c r="M131" s="5" t="s">
        <v>209</v>
      </c>
      <c r="N131" s="5" t="s">
        <v>50</v>
      </c>
      <c r="O131" s="5" t="s">
        <v>65</v>
      </c>
      <c r="P131" s="5" t="s">
        <v>70</v>
      </c>
      <c r="Q131" s="1">
        <v>5</v>
      </c>
      <c r="R131" s="1">
        <v>102</v>
      </c>
      <c r="S131" s="1">
        <v>35</v>
      </c>
    </row>
    <row r="132" spans="1:19" ht="28.8" x14ac:dyDescent="0.3">
      <c r="A132" s="46">
        <v>117</v>
      </c>
      <c r="B132" s="4"/>
      <c r="C132" s="6" t="s">
        <v>24</v>
      </c>
      <c r="D132" s="5"/>
      <c r="E132" s="5" t="s">
        <v>208</v>
      </c>
      <c r="F132" s="5" t="s">
        <v>207</v>
      </c>
      <c r="G132" s="5" t="s">
        <v>58</v>
      </c>
      <c r="H132" s="5" t="s">
        <v>60</v>
      </c>
      <c r="I132" s="5" t="s">
        <v>67</v>
      </c>
      <c r="J132" s="5" t="s">
        <v>59</v>
      </c>
      <c r="K132" s="5" t="s">
        <v>62</v>
      </c>
      <c r="L132" s="5" t="s">
        <v>47</v>
      </c>
      <c r="M132" s="5" t="s">
        <v>75</v>
      </c>
      <c r="N132" s="5" t="s">
        <v>48</v>
      </c>
      <c r="O132" s="5" t="s">
        <v>210</v>
      </c>
      <c r="P132" s="5" t="s">
        <v>70</v>
      </c>
      <c r="Q132" s="1">
        <v>5</v>
      </c>
      <c r="R132" s="1">
        <v>96</v>
      </c>
      <c r="S132" s="1">
        <v>34</v>
      </c>
    </row>
    <row r="133" spans="1:19" x14ac:dyDescent="0.3">
      <c r="A133" s="46">
        <v>118</v>
      </c>
      <c r="B133" s="4"/>
      <c r="C133" s="6" t="s">
        <v>42</v>
      </c>
      <c r="D133" s="5"/>
      <c r="E133" s="5" t="s">
        <v>208</v>
      </c>
      <c r="F133" s="5" t="s">
        <v>207</v>
      </c>
      <c r="G133" s="5" t="s">
        <v>58</v>
      </c>
      <c r="H133" s="5" t="s">
        <v>60</v>
      </c>
      <c r="I133" s="5" t="s">
        <v>67</v>
      </c>
      <c r="J133" s="5" t="s">
        <v>59</v>
      </c>
      <c r="K133" s="5" t="s">
        <v>62</v>
      </c>
      <c r="L133" s="5" t="s">
        <v>47</v>
      </c>
      <c r="M133" s="5" t="s">
        <v>75</v>
      </c>
      <c r="N133" s="5" t="s">
        <v>48</v>
      </c>
      <c r="O133" s="5" t="s">
        <v>210</v>
      </c>
      <c r="P133" s="5" t="s">
        <v>70</v>
      </c>
      <c r="Q133" s="1">
        <v>5</v>
      </c>
      <c r="R133" s="1">
        <v>98</v>
      </c>
      <c r="S133" s="1">
        <v>33</v>
      </c>
    </row>
    <row r="134" spans="1:19" ht="28.8" x14ac:dyDescent="0.3">
      <c r="A134" s="46">
        <v>119</v>
      </c>
      <c r="B134" s="4"/>
      <c r="C134" s="6" t="s">
        <v>200</v>
      </c>
      <c r="D134" s="5"/>
      <c r="E134" s="5" t="s">
        <v>208</v>
      </c>
      <c r="F134" s="5" t="s">
        <v>207</v>
      </c>
      <c r="G134" s="5" t="s">
        <v>58</v>
      </c>
      <c r="H134" s="5" t="s">
        <v>60</v>
      </c>
      <c r="I134" s="5" t="s">
        <v>67</v>
      </c>
      <c r="J134" s="5" t="s">
        <v>59</v>
      </c>
      <c r="K134" s="5" t="s">
        <v>62</v>
      </c>
      <c r="L134" s="5" t="s">
        <v>47</v>
      </c>
      <c r="M134" s="5" t="s">
        <v>75</v>
      </c>
      <c r="N134" s="5" t="s">
        <v>48</v>
      </c>
      <c r="O134" s="5" t="s">
        <v>210</v>
      </c>
      <c r="P134" s="5" t="s">
        <v>70</v>
      </c>
      <c r="Q134" s="1">
        <v>5</v>
      </c>
      <c r="R134" s="1">
        <v>82</v>
      </c>
      <c r="S134" s="1">
        <v>62</v>
      </c>
    </row>
    <row r="135" spans="1:19" x14ac:dyDescent="0.3">
      <c r="A135" s="46">
        <v>120</v>
      </c>
      <c r="B135" s="4"/>
      <c r="C135" s="6" t="s">
        <v>136</v>
      </c>
      <c r="D135" s="5"/>
      <c r="E135" s="5" t="s">
        <v>208</v>
      </c>
      <c r="F135" s="5" t="s">
        <v>207</v>
      </c>
      <c r="G135" s="5" t="s">
        <v>72</v>
      </c>
      <c r="H135" s="5" t="s">
        <v>60</v>
      </c>
      <c r="I135" s="5" t="s">
        <v>67</v>
      </c>
      <c r="J135" s="5" t="s">
        <v>59</v>
      </c>
      <c r="K135" s="5" t="s">
        <v>62</v>
      </c>
      <c r="L135" s="5" t="s">
        <v>55</v>
      </c>
      <c r="M135" s="5" t="s">
        <v>75</v>
      </c>
      <c r="N135" s="5" t="s">
        <v>50</v>
      </c>
      <c r="O135" s="5" t="s">
        <v>210</v>
      </c>
      <c r="P135" s="5" t="s">
        <v>73</v>
      </c>
      <c r="Q135" s="1">
        <v>5</v>
      </c>
      <c r="R135" s="1">
        <v>96</v>
      </c>
      <c r="S135" s="1">
        <v>31</v>
      </c>
    </row>
    <row r="136" spans="1:19" ht="28.8" x14ac:dyDescent="0.3">
      <c r="A136" s="46">
        <v>121</v>
      </c>
      <c r="B136" s="4"/>
      <c r="C136" s="6" t="s">
        <v>193</v>
      </c>
      <c r="D136" s="5"/>
      <c r="E136" s="5" t="s">
        <v>208</v>
      </c>
      <c r="F136" s="5" t="s">
        <v>207</v>
      </c>
      <c r="G136" s="5" t="s">
        <v>58</v>
      </c>
      <c r="H136" s="5" t="s">
        <v>60</v>
      </c>
      <c r="I136" s="5" t="s">
        <v>61</v>
      </c>
      <c r="J136" s="5" t="s">
        <v>59</v>
      </c>
      <c r="K136" s="5" t="s">
        <v>62</v>
      </c>
      <c r="L136" s="5" t="s">
        <v>55</v>
      </c>
      <c r="M136" s="5" t="s">
        <v>75</v>
      </c>
      <c r="N136" s="5" t="s">
        <v>48</v>
      </c>
      <c r="O136" s="5" t="s">
        <v>210</v>
      </c>
      <c r="P136" s="5" t="s">
        <v>73</v>
      </c>
      <c r="Q136" s="1">
        <v>4</v>
      </c>
      <c r="R136" s="1">
        <v>93</v>
      </c>
      <c r="S136" s="1">
        <v>47</v>
      </c>
    </row>
    <row r="137" spans="1:19" ht="28.8" x14ac:dyDescent="0.3">
      <c r="A137" s="46">
        <v>122</v>
      </c>
      <c r="B137" s="4"/>
      <c r="C137" s="6" t="s">
        <v>107</v>
      </c>
      <c r="D137" s="5"/>
      <c r="E137" s="5" t="s">
        <v>74</v>
      </c>
      <c r="F137" s="5" t="s">
        <v>207</v>
      </c>
      <c r="G137" s="5" t="s">
        <v>58</v>
      </c>
      <c r="H137" s="5" t="s">
        <v>68</v>
      </c>
      <c r="I137" s="5" t="s">
        <v>61</v>
      </c>
      <c r="J137" s="5" t="s">
        <v>66</v>
      </c>
      <c r="K137" s="5" t="s">
        <v>62</v>
      </c>
      <c r="L137" s="5" t="s">
        <v>55</v>
      </c>
      <c r="M137" s="5" t="s">
        <v>75</v>
      </c>
      <c r="N137" s="5" t="s">
        <v>50</v>
      </c>
      <c r="O137" s="5" t="s">
        <v>210</v>
      </c>
      <c r="P137" s="5" t="s">
        <v>73</v>
      </c>
      <c r="Q137" s="1">
        <v>4</v>
      </c>
      <c r="R137" s="1">
        <v>95</v>
      </c>
      <c r="S137" s="1">
        <v>48</v>
      </c>
    </row>
    <row r="138" spans="1:19" x14ac:dyDescent="0.3">
      <c r="A138" s="46">
        <v>123</v>
      </c>
      <c r="B138" s="4"/>
      <c r="C138" s="6" t="s">
        <v>183</v>
      </c>
      <c r="D138" s="5"/>
      <c r="E138" s="5" t="s">
        <v>208</v>
      </c>
      <c r="F138" s="5" t="s">
        <v>69</v>
      </c>
      <c r="G138" s="5" t="s">
        <v>72</v>
      </c>
      <c r="H138" s="5" t="s">
        <v>60</v>
      </c>
      <c r="I138" s="5" t="s">
        <v>67</v>
      </c>
      <c r="J138" s="5" t="s">
        <v>59</v>
      </c>
      <c r="K138" s="5" t="s">
        <v>62</v>
      </c>
      <c r="L138" s="5" t="s">
        <v>55</v>
      </c>
      <c r="M138" s="5" t="s">
        <v>75</v>
      </c>
      <c r="N138" s="5" t="s">
        <v>50</v>
      </c>
      <c r="O138" s="5" t="s">
        <v>65</v>
      </c>
      <c r="P138" s="5" t="s">
        <v>70</v>
      </c>
      <c r="Q138" s="1">
        <v>4</v>
      </c>
      <c r="R138" s="1">
        <v>92</v>
      </c>
      <c r="S138" s="1">
        <v>46</v>
      </c>
    </row>
    <row r="139" spans="1:19" x14ac:dyDescent="0.3">
      <c r="A139" s="46">
        <v>124</v>
      </c>
      <c r="B139" s="4"/>
      <c r="C139" s="6" t="s">
        <v>138</v>
      </c>
      <c r="D139" s="5"/>
      <c r="E139" s="5" t="s">
        <v>208</v>
      </c>
      <c r="F139" s="5" t="s">
        <v>69</v>
      </c>
      <c r="G139" s="5" t="s">
        <v>58</v>
      </c>
      <c r="H139" s="5" t="s">
        <v>60</v>
      </c>
      <c r="I139" s="5" t="s">
        <v>61</v>
      </c>
      <c r="J139" s="5" t="s">
        <v>59</v>
      </c>
      <c r="K139" s="5" t="s">
        <v>51</v>
      </c>
      <c r="L139" s="5" t="s">
        <v>55</v>
      </c>
      <c r="M139" s="5" t="s">
        <v>75</v>
      </c>
      <c r="N139" s="5" t="s">
        <v>48</v>
      </c>
      <c r="O139" s="5" t="s">
        <v>65</v>
      </c>
      <c r="P139" s="5" t="s">
        <v>70</v>
      </c>
      <c r="Q139" s="1">
        <v>4</v>
      </c>
      <c r="R139" s="1">
        <v>103</v>
      </c>
      <c r="S139" s="1">
        <v>49</v>
      </c>
    </row>
    <row r="140" spans="1:19" x14ac:dyDescent="0.3">
      <c r="A140" s="46">
        <v>125</v>
      </c>
      <c r="B140" s="4"/>
      <c r="C140" s="6" t="s">
        <v>7</v>
      </c>
      <c r="D140" s="5"/>
      <c r="E140" s="5" t="s">
        <v>208</v>
      </c>
      <c r="F140" s="5" t="s">
        <v>69</v>
      </c>
      <c r="G140" s="5" t="s">
        <v>58</v>
      </c>
      <c r="H140" s="5" t="s">
        <v>60</v>
      </c>
      <c r="I140" s="5" t="s">
        <v>67</v>
      </c>
      <c r="J140" s="5" t="s">
        <v>59</v>
      </c>
      <c r="K140" s="5" t="s">
        <v>62</v>
      </c>
      <c r="L140" s="5" t="s">
        <v>55</v>
      </c>
      <c r="M140" s="5" t="s">
        <v>75</v>
      </c>
      <c r="N140" s="5" t="s">
        <v>50</v>
      </c>
      <c r="O140" s="5" t="s">
        <v>65</v>
      </c>
      <c r="P140" s="5" t="s">
        <v>73</v>
      </c>
      <c r="Q140" s="1">
        <v>4</v>
      </c>
      <c r="R140" s="1">
        <v>90</v>
      </c>
      <c r="S140" s="1">
        <v>45</v>
      </c>
    </row>
    <row r="141" spans="1:19" ht="28.8" x14ac:dyDescent="0.3">
      <c r="A141" s="46">
        <v>126</v>
      </c>
      <c r="B141" s="4"/>
      <c r="C141" s="6" t="s">
        <v>125</v>
      </c>
      <c r="D141" s="5"/>
      <c r="E141" s="5" t="s">
        <v>208</v>
      </c>
      <c r="F141" s="5" t="s">
        <v>69</v>
      </c>
      <c r="G141" s="5" t="s">
        <v>58</v>
      </c>
      <c r="H141" s="5" t="s">
        <v>68</v>
      </c>
      <c r="I141" s="5" t="s">
        <v>61</v>
      </c>
      <c r="J141" s="5" t="s">
        <v>66</v>
      </c>
      <c r="K141" s="5" t="s">
        <v>62</v>
      </c>
      <c r="L141" s="5" t="s">
        <v>47</v>
      </c>
      <c r="M141" s="5" t="s">
        <v>75</v>
      </c>
      <c r="N141" s="5" t="s">
        <v>50</v>
      </c>
      <c r="O141" s="5" t="s">
        <v>65</v>
      </c>
      <c r="P141" s="5" t="s">
        <v>73</v>
      </c>
      <c r="Q141" s="1">
        <v>4</v>
      </c>
      <c r="R141" s="1">
        <v>101</v>
      </c>
      <c r="S141" s="1">
        <v>45</v>
      </c>
    </row>
    <row r="142" spans="1:19" x14ac:dyDescent="0.3">
      <c r="A142" s="46">
        <v>127</v>
      </c>
      <c r="B142" s="4"/>
      <c r="C142" s="6" t="s">
        <v>152</v>
      </c>
      <c r="D142" s="5"/>
      <c r="E142" s="5" t="s">
        <v>208</v>
      </c>
      <c r="F142" s="5" t="s">
        <v>69</v>
      </c>
      <c r="G142" s="5" t="s">
        <v>58</v>
      </c>
      <c r="H142" s="5" t="s">
        <v>60</v>
      </c>
      <c r="I142" s="5" t="s">
        <v>67</v>
      </c>
      <c r="J142" s="5" t="s">
        <v>66</v>
      </c>
      <c r="K142" s="5" t="s">
        <v>62</v>
      </c>
      <c r="L142" s="5" t="s">
        <v>55</v>
      </c>
      <c r="M142" s="5" t="s">
        <v>209</v>
      </c>
      <c r="N142" s="5" t="s">
        <v>50</v>
      </c>
      <c r="O142" s="5" t="s">
        <v>65</v>
      </c>
      <c r="P142" s="5" t="s">
        <v>73</v>
      </c>
      <c r="Q142" s="1">
        <v>4</v>
      </c>
      <c r="R142" s="1">
        <v>107</v>
      </c>
      <c r="S142" s="1">
        <v>45</v>
      </c>
    </row>
    <row r="143" spans="1:19" x14ac:dyDescent="0.3">
      <c r="A143" s="46">
        <v>128</v>
      </c>
      <c r="B143" s="4"/>
      <c r="C143" s="6" t="s">
        <v>178</v>
      </c>
      <c r="D143" s="5"/>
      <c r="E143" s="5" t="s">
        <v>208</v>
      </c>
      <c r="F143" s="5" t="s">
        <v>207</v>
      </c>
      <c r="G143" s="5" t="s">
        <v>72</v>
      </c>
      <c r="H143" s="5" t="s">
        <v>60</v>
      </c>
      <c r="I143" s="5" t="s">
        <v>61</v>
      </c>
      <c r="J143" s="5" t="s">
        <v>59</v>
      </c>
      <c r="K143" s="5" t="s">
        <v>62</v>
      </c>
      <c r="L143" s="5" t="s">
        <v>55</v>
      </c>
      <c r="M143" s="5" t="s">
        <v>75</v>
      </c>
      <c r="N143" s="5" t="s">
        <v>50</v>
      </c>
      <c r="O143" s="5" t="s">
        <v>65</v>
      </c>
      <c r="P143" s="5" t="s">
        <v>70</v>
      </c>
      <c r="Q143" s="1">
        <v>4</v>
      </c>
      <c r="R143" s="1">
        <v>92</v>
      </c>
      <c r="S143" s="1">
        <v>44</v>
      </c>
    </row>
    <row r="144" spans="1:19" ht="28.8" x14ac:dyDescent="0.3">
      <c r="A144" s="46">
        <v>129</v>
      </c>
      <c r="B144" s="4"/>
      <c r="C144" s="6" t="s">
        <v>158</v>
      </c>
      <c r="D144" s="5"/>
      <c r="E144" s="5" t="s">
        <v>208</v>
      </c>
      <c r="F144" s="5" t="s">
        <v>69</v>
      </c>
      <c r="G144" s="5" t="s">
        <v>58</v>
      </c>
      <c r="H144" s="5" t="s">
        <v>68</v>
      </c>
      <c r="I144" s="5" t="s">
        <v>61</v>
      </c>
      <c r="J144" s="5" t="s">
        <v>66</v>
      </c>
      <c r="K144" s="5" t="s">
        <v>62</v>
      </c>
      <c r="L144" s="5" t="s">
        <v>55</v>
      </c>
      <c r="M144" s="5" t="s">
        <v>75</v>
      </c>
      <c r="N144" s="5" t="s">
        <v>48</v>
      </c>
      <c r="O144" s="5" t="s">
        <v>65</v>
      </c>
      <c r="P144" s="5" t="s">
        <v>73</v>
      </c>
      <c r="Q144" s="1">
        <v>4</v>
      </c>
      <c r="R144" s="1">
        <v>87</v>
      </c>
      <c r="S144" s="1">
        <v>51</v>
      </c>
    </row>
    <row r="145" spans="1:19" ht="28.8" x14ac:dyDescent="0.3">
      <c r="A145" s="46">
        <v>130</v>
      </c>
      <c r="B145" s="4"/>
      <c r="C145" s="6" t="s">
        <v>41</v>
      </c>
      <c r="D145" s="5"/>
      <c r="E145" s="5" t="s">
        <v>208</v>
      </c>
      <c r="F145" s="5" t="s">
        <v>207</v>
      </c>
      <c r="G145" s="5" t="s">
        <v>72</v>
      </c>
      <c r="H145" s="5" t="s">
        <v>60</v>
      </c>
      <c r="I145" s="5" t="s">
        <v>61</v>
      </c>
      <c r="J145" s="5" t="s">
        <v>66</v>
      </c>
      <c r="K145" s="5" t="s">
        <v>51</v>
      </c>
      <c r="L145" s="5" t="s">
        <v>55</v>
      </c>
      <c r="M145" s="5" t="s">
        <v>75</v>
      </c>
      <c r="N145" s="5" t="s">
        <v>50</v>
      </c>
      <c r="O145" s="5" t="s">
        <v>210</v>
      </c>
      <c r="P145" s="5" t="s">
        <v>73</v>
      </c>
      <c r="Q145" s="1">
        <v>4</v>
      </c>
      <c r="R145" s="1">
        <v>91</v>
      </c>
      <c r="S145" s="1">
        <v>43</v>
      </c>
    </row>
    <row r="146" spans="1:19" x14ac:dyDescent="0.3">
      <c r="A146" s="46">
        <v>131</v>
      </c>
      <c r="B146" s="4"/>
      <c r="C146" s="6" t="s">
        <v>21</v>
      </c>
      <c r="D146" s="5"/>
      <c r="E146" s="5" t="s">
        <v>74</v>
      </c>
      <c r="F146" s="5" t="s">
        <v>207</v>
      </c>
      <c r="G146" s="5" t="s">
        <v>58</v>
      </c>
      <c r="H146" s="5" t="s">
        <v>60</v>
      </c>
      <c r="I146" s="5" t="s">
        <v>61</v>
      </c>
      <c r="J146" s="5" t="s">
        <v>66</v>
      </c>
      <c r="K146" s="5" t="s">
        <v>62</v>
      </c>
      <c r="L146" s="5" t="s">
        <v>55</v>
      </c>
      <c r="M146" s="5" t="s">
        <v>75</v>
      </c>
      <c r="N146" s="5" t="s">
        <v>48</v>
      </c>
      <c r="O146" s="5" t="s">
        <v>210</v>
      </c>
      <c r="P146" s="5" t="s">
        <v>73</v>
      </c>
      <c r="Q146" s="1">
        <v>4</v>
      </c>
      <c r="R146" s="1">
        <v>92</v>
      </c>
      <c r="S146" s="1">
        <v>52</v>
      </c>
    </row>
    <row r="147" spans="1:19" ht="28.8" x14ac:dyDescent="0.3">
      <c r="A147" s="46">
        <v>132</v>
      </c>
      <c r="B147" s="4"/>
      <c r="C147" s="6" t="s">
        <v>116</v>
      </c>
      <c r="D147" s="5"/>
      <c r="E147" s="5" t="s">
        <v>208</v>
      </c>
      <c r="F147" s="5" t="s">
        <v>207</v>
      </c>
      <c r="G147" s="5" t="s">
        <v>58</v>
      </c>
      <c r="H147" s="5" t="s">
        <v>60</v>
      </c>
      <c r="I147" s="5" t="s">
        <v>61</v>
      </c>
      <c r="J147" s="5" t="s">
        <v>66</v>
      </c>
      <c r="K147" s="5" t="s">
        <v>62</v>
      </c>
      <c r="L147" s="5" t="s">
        <v>47</v>
      </c>
      <c r="M147" s="5" t="s">
        <v>75</v>
      </c>
      <c r="N147" s="5" t="s">
        <v>50</v>
      </c>
      <c r="O147" s="5" t="s">
        <v>65</v>
      </c>
      <c r="P147" s="5" t="s">
        <v>73</v>
      </c>
      <c r="Q147" s="1">
        <v>4</v>
      </c>
      <c r="R147" s="1">
        <v>99</v>
      </c>
      <c r="S147" s="1">
        <v>52</v>
      </c>
    </row>
    <row r="148" spans="1:19" ht="28.8" x14ac:dyDescent="0.3">
      <c r="A148" s="46">
        <v>133</v>
      </c>
      <c r="B148" s="4"/>
      <c r="C148" s="6" t="s">
        <v>182</v>
      </c>
      <c r="D148" s="5"/>
      <c r="E148" s="5" t="s">
        <v>74</v>
      </c>
      <c r="F148" s="5" t="s">
        <v>207</v>
      </c>
      <c r="G148" s="5" t="s">
        <v>58</v>
      </c>
      <c r="H148" s="5" t="s">
        <v>60</v>
      </c>
      <c r="I148" s="5" t="s">
        <v>61</v>
      </c>
      <c r="J148" s="5" t="s">
        <v>66</v>
      </c>
      <c r="K148" s="5" t="s">
        <v>62</v>
      </c>
      <c r="L148" s="5" t="s">
        <v>55</v>
      </c>
      <c r="M148" s="5" t="s">
        <v>209</v>
      </c>
      <c r="N148" s="5" t="s">
        <v>50</v>
      </c>
      <c r="O148" s="5" t="s">
        <v>65</v>
      </c>
      <c r="P148" s="5" t="s">
        <v>70</v>
      </c>
      <c r="Q148" s="1">
        <v>4</v>
      </c>
      <c r="R148" s="1">
        <v>72</v>
      </c>
      <c r="S148" s="1">
        <v>42</v>
      </c>
    </row>
    <row r="149" spans="1:19" ht="28.8" x14ac:dyDescent="0.3">
      <c r="A149" s="46">
        <v>134</v>
      </c>
      <c r="B149" s="4"/>
      <c r="C149" s="6" t="s">
        <v>117</v>
      </c>
      <c r="D149" s="5"/>
      <c r="E149" s="5" t="s">
        <v>208</v>
      </c>
      <c r="F149" s="5" t="s">
        <v>207</v>
      </c>
      <c r="G149" s="5" t="s">
        <v>58</v>
      </c>
      <c r="H149" s="5" t="s">
        <v>68</v>
      </c>
      <c r="I149" s="5" t="s">
        <v>67</v>
      </c>
      <c r="J149" s="5" t="s">
        <v>59</v>
      </c>
      <c r="K149" s="5" t="s">
        <v>62</v>
      </c>
      <c r="L149" s="5" t="s">
        <v>55</v>
      </c>
      <c r="M149" s="5" t="s">
        <v>75</v>
      </c>
      <c r="N149" s="5" t="s">
        <v>50</v>
      </c>
      <c r="O149" s="5" t="s">
        <v>210</v>
      </c>
      <c r="P149" s="5" t="s">
        <v>70</v>
      </c>
      <c r="Q149" s="1">
        <v>4</v>
      </c>
      <c r="R149" s="1">
        <v>104</v>
      </c>
      <c r="S149" s="1">
        <v>56</v>
      </c>
    </row>
    <row r="150" spans="1:19" x14ac:dyDescent="0.3">
      <c r="A150" s="46">
        <v>135</v>
      </c>
      <c r="B150" s="4"/>
      <c r="C150" s="6" t="s">
        <v>127</v>
      </c>
      <c r="D150" s="5"/>
      <c r="E150" s="5" t="s">
        <v>208</v>
      </c>
      <c r="F150" s="5" t="s">
        <v>207</v>
      </c>
      <c r="G150" s="5" t="s">
        <v>72</v>
      </c>
      <c r="H150" s="5" t="s">
        <v>68</v>
      </c>
      <c r="I150" s="5" t="s">
        <v>61</v>
      </c>
      <c r="J150" s="5" t="s">
        <v>66</v>
      </c>
      <c r="K150" s="5" t="s">
        <v>62</v>
      </c>
      <c r="L150" s="5" t="s">
        <v>55</v>
      </c>
      <c r="M150" s="5" t="s">
        <v>75</v>
      </c>
      <c r="N150" s="5" t="s">
        <v>50</v>
      </c>
      <c r="O150" s="5" t="s">
        <v>65</v>
      </c>
      <c r="P150" s="5" t="s">
        <v>70</v>
      </c>
      <c r="Q150" s="1">
        <v>4</v>
      </c>
      <c r="R150" s="1">
        <v>96</v>
      </c>
      <c r="S150" s="1">
        <v>56</v>
      </c>
    </row>
    <row r="151" spans="1:19" x14ac:dyDescent="0.3">
      <c r="A151" s="46">
        <v>136</v>
      </c>
      <c r="B151" s="4"/>
      <c r="C151" s="6" t="s">
        <v>45</v>
      </c>
      <c r="D151" s="5"/>
      <c r="E151" s="5" t="s">
        <v>208</v>
      </c>
      <c r="F151" s="5" t="s">
        <v>207</v>
      </c>
      <c r="G151" s="5" t="s">
        <v>58</v>
      </c>
      <c r="H151" s="5" t="s">
        <v>60</v>
      </c>
      <c r="I151" s="5" t="s">
        <v>67</v>
      </c>
      <c r="J151" s="5" t="s">
        <v>59</v>
      </c>
      <c r="K151" s="5" t="s">
        <v>62</v>
      </c>
      <c r="L151" s="5" t="s">
        <v>55</v>
      </c>
      <c r="M151" s="5" t="s">
        <v>75</v>
      </c>
      <c r="N151" s="5" t="s">
        <v>50</v>
      </c>
      <c r="O151" s="5" t="s">
        <v>210</v>
      </c>
      <c r="P151" s="5" t="s">
        <v>73</v>
      </c>
      <c r="Q151" s="1">
        <v>4</v>
      </c>
      <c r="R151" s="1">
        <v>85</v>
      </c>
      <c r="S151" s="1">
        <v>58</v>
      </c>
    </row>
    <row r="152" spans="1:19" x14ac:dyDescent="0.3">
      <c r="A152" s="46">
        <v>137</v>
      </c>
      <c r="B152" s="4"/>
      <c r="C152" s="6" t="s">
        <v>110</v>
      </c>
      <c r="D152" s="5"/>
      <c r="E152" s="5" t="s">
        <v>208</v>
      </c>
      <c r="F152" s="5" t="s">
        <v>69</v>
      </c>
      <c r="G152" s="5" t="s">
        <v>58</v>
      </c>
      <c r="H152" s="5" t="s">
        <v>60</v>
      </c>
      <c r="I152" s="5" t="s">
        <v>61</v>
      </c>
      <c r="J152" s="5" t="s">
        <v>66</v>
      </c>
      <c r="K152" s="5" t="s">
        <v>62</v>
      </c>
      <c r="L152" s="5" t="s">
        <v>47</v>
      </c>
      <c r="M152" s="5" t="s">
        <v>75</v>
      </c>
      <c r="N152" s="5" t="s">
        <v>48</v>
      </c>
      <c r="O152" s="5" t="s">
        <v>65</v>
      </c>
      <c r="P152" s="5" t="s">
        <v>73</v>
      </c>
      <c r="Q152" s="1">
        <v>4</v>
      </c>
      <c r="R152" s="1">
        <v>104</v>
      </c>
      <c r="S152" s="1">
        <v>58</v>
      </c>
    </row>
    <row r="153" spans="1:19" x14ac:dyDescent="0.3">
      <c r="A153" s="46">
        <v>138</v>
      </c>
      <c r="B153" s="4"/>
      <c r="C153" s="6" t="s">
        <v>97</v>
      </c>
      <c r="D153" s="5"/>
      <c r="E153" s="5" t="s">
        <v>208</v>
      </c>
      <c r="F153" s="5" t="s">
        <v>69</v>
      </c>
      <c r="G153" s="5" t="s">
        <v>72</v>
      </c>
      <c r="H153" s="5" t="s">
        <v>60</v>
      </c>
      <c r="I153" s="5" t="s">
        <v>67</v>
      </c>
      <c r="J153" s="5" t="s">
        <v>66</v>
      </c>
      <c r="K153" s="5" t="s">
        <v>62</v>
      </c>
      <c r="L153" s="5" t="s">
        <v>55</v>
      </c>
      <c r="M153" s="5" t="s">
        <v>75</v>
      </c>
      <c r="N153" s="5" t="s">
        <v>50</v>
      </c>
      <c r="O153" s="5" t="s">
        <v>65</v>
      </c>
      <c r="P153" s="5" t="s">
        <v>70</v>
      </c>
      <c r="Q153" s="1">
        <v>3</v>
      </c>
      <c r="R153" s="1">
        <v>88</v>
      </c>
      <c r="S153" s="1">
        <v>47</v>
      </c>
    </row>
    <row r="154" spans="1:19" x14ac:dyDescent="0.3">
      <c r="A154" s="46">
        <v>139</v>
      </c>
      <c r="B154" s="4"/>
      <c r="C154" s="6" t="s">
        <v>101</v>
      </c>
      <c r="D154" s="5"/>
      <c r="E154" s="5" t="s">
        <v>208</v>
      </c>
      <c r="F154" s="5" t="s">
        <v>69</v>
      </c>
      <c r="G154" s="5" t="s">
        <v>72</v>
      </c>
      <c r="H154" s="5" t="s">
        <v>60</v>
      </c>
      <c r="I154" s="5" t="s">
        <v>67</v>
      </c>
      <c r="J154" s="5" t="s">
        <v>66</v>
      </c>
      <c r="K154" s="5" t="s">
        <v>62</v>
      </c>
      <c r="L154" s="5" t="s">
        <v>55</v>
      </c>
      <c r="M154" s="5" t="s">
        <v>75</v>
      </c>
      <c r="N154" s="5" t="s">
        <v>50</v>
      </c>
      <c r="O154" s="5" t="s">
        <v>65</v>
      </c>
      <c r="P154" s="5" t="s">
        <v>70</v>
      </c>
      <c r="Q154" s="1">
        <v>3</v>
      </c>
      <c r="R154" s="1">
        <v>86</v>
      </c>
      <c r="S154" s="1">
        <v>47</v>
      </c>
    </row>
    <row r="155" spans="1:19" x14ac:dyDescent="0.3">
      <c r="A155" s="46">
        <v>140</v>
      </c>
      <c r="B155" s="4"/>
      <c r="C155" s="6" t="s">
        <v>44</v>
      </c>
      <c r="D155" s="5"/>
      <c r="E155" s="5" t="s">
        <v>208</v>
      </c>
      <c r="F155" s="5" t="s">
        <v>69</v>
      </c>
      <c r="G155" s="5" t="s">
        <v>58</v>
      </c>
      <c r="H155" s="5" t="s">
        <v>60</v>
      </c>
      <c r="I155" s="5" t="s">
        <v>67</v>
      </c>
      <c r="J155" s="5" t="s">
        <v>59</v>
      </c>
      <c r="K155" s="5" t="s">
        <v>62</v>
      </c>
      <c r="L155" s="5" t="s">
        <v>55</v>
      </c>
      <c r="M155" s="5" t="s">
        <v>75</v>
      </c>
      <c r="N155" s="5" t="s">
        <v>50</v>
      </c>
      <c r="O155" s="5" t="s">
        <v>210</v>
      </c>
      <c r="P155" s="5" t="s">
        <v>73</v>
      </c>
      <c r="Q155" s="1">
        <v>3</v>
      </c>
      <c r="R155" s="1">
        <v>102</v>
      </c>
      <c r="S155" s="1">
        <v>46</v>
      </c>
    </row>
    <row r="156" spans="1:19" x14ac:dyDescent="0.3">
      <c r="A156" s="46">
        <v>141</v>
      </c>
      <c r="B156" s="4"/>
      <c r="C156" s="6" t="s">
        <v>190</v>
      </c>
      <c r="D156" s="5"/>
      <c r="E156" s="5" t="s">
        <v>208</v>
      </c>
      <c r="F156" s="5" t="s">
        <v>207</v>
      </c>
      <c r="G156" s="5" t="s">
        <v>58</v>
      </c>
      <c r="H156" s="5" t="s">
        <v>60</v>
      </c>
      <c r="I156" s="5" t="s">
        <v>67</v>
      </c>
      <c r="J156" s="5" t="s">
        <v>59</v>
      </c>
      <c r="K156" s="5" t="s">
        <v>62</v>
      </c>
      <c r="L156" s="5" t="s">
        <v>55</v>
      </c>
      <c r="M156" s="5" t="s">
        <v>75</v>
      </c>
      <c r="N156" s="5" t="s">
        <v>50</v>
      </c>
      <c r="O156" s="5" t="s">
        <v>210</v>
      </c>
      <c r="P156" s="5" t="s">
        <v>70</v>
      </c>
      <c r="Q156" s="1">
        <v>3</v>
      </c>
      <c r="R156" s="1">
        <v>104</v>
      </c>
      <c r="S156" s="1">
        <v>49</v>
      </c>
    </row>
    <row r="157" spans="1:19" ht="28.8" x14ac:dyDescent="0.3">
      <c r="A157" s="46">
        <v>142</v>
      </c>
      <c r="B157" s="4"/>
      <c r="C157" s="6" t="s">
        <v>80</v>
      </c>
      <c r="D157" s="5"/>
      <c r="E157" s="5" t="s">
        <v>74</v>
      </c>
      <c r="F157" s="5" t="s">
        <v>69</v>
      </c>
      <c r="G157" s="5" t="s">
        <v>72</v>
      </c>
      <c r="H157" s="5" t="s">
        <v>60</v>
      </c>
      <c r="I157" s="5" t="s">
        <v>61</v>
      </c>
      <c r="J157" s="5" t="s">
        <v>66</v>
      </c>
      <c r="K157" s="5" t="s">
        <v>62</v>
      </c>
      <c r="L157" s="5" t="s">
        <v>55</v>
      </c>
      <c r="M157" s="5" t="s">
        <v>75</v>
      </c>
      <c r="N157" s="5" t="s">
        <v>50</v>
      </c>
      <c r="O157" s="5" t="s">
        <v>65</v>
      </c>
      <c r="P157" s="5" t="s">
        <v>70</v>
      </c>
      <c r="Q157" s="1">
        <v>3</v>
      </c>
      <c r="R157" s="1">
        <v>96</v>
      </c>
      <c r="S157" s="1">
        <v>51</v>
      </c>
    </row>
    <row r="158" spans="1:19" x14ac:dyDescent="0.3">
      <c r="A158" s="46">
        <v>143</v>
      </c>
      <c r="B158" s="4"/>
      <c r="C158" s="6" t="s">
        <v>189</v>
      </c>
      <c r="D158" s="5"/>
      <c r="E158" s="5" t="s">
        <v>74</v>
      </c>
      <c r="F158" s="5" t="s">
        <v>69</v>
      </c>
      <c r="G158" s="5" t="s">
        <v>58</v>
      </c>
      <c r="H158" s="5" t="s">
        <v>60</v>
      </c>
      <c r="I158" s="5" t="s">
        <v>67</v>
      </c>
      <c r="J158" s="5" t="s">
        <v>59</v>
      </c>
      <c r="K158" s="5" t="s">
        <v>62</v>
      </c>
      <c r="L158" s="5" t="s">
        <v>55</v>
      </c>
      <c r="M158" s="5" t="s">
        <v>75</v>
      </c>
      <c r="N158" s="5" t="s">
        <v>50</v>
      </c>
      <c r="O158" s="5" t="s">
        <v>210</v>
      </c>
      <c r="P158" s="5" t="s">
        <v>70</v>
      </c>
      <c r="Q158" s="1">
        <v>3</v>
      </c>
      <c r="R158" s="1">
        <v>98</v>
      </c>
      <c r="S158" s="1">
        <v>43</v>
      </c>
    </row>
    <row r="159" spans="1:19" ht="28.8" x14ac:dyDescent="0.3">
      <c r="A159" s="46">
        <v>144</v>
      </c>
      <c r="B159" s="4"/>
      <c r="C159" s="6" t="s">
        <v>36</v>
      </c>
      <c r="D159" s="5"/>
      <c r="E159" s="5" t="s">
        <v>208</v>
      </c>
      <c r="F159" s="5" t="s">
        <v>69</v>
      </c>
      <c r="G159" s="5" t="s">
        <v>72</v>
      </c>
      <c r="H159" s="5" t="s">
        <v>60</v>
      </c>
      <c r="I159" s="5" t="s">
        <v>67</v>
      </c>
      <c r="J159" s="5" t="s">
        <v>59</v>
      </c>
      <c r="K159" s="5" t="s">
        <v>62</v>
      </c>
      <c r="L159" s="5" t="s">
        <v>55</v>
      </c>
      <c r="M159" s="5" t="s">
        <v>75</v>
      </c>
      <c r="N159" s="5" t="s">
        <v>50</v>
      </c>
      <c r="O159" s="5" t="s">
        <v>210</v>
      </c>
      <c r="P159" s="5" t="s">
        <v>70</v>
      </c>
      <c r="Q159" s="1">
        <v>3</v>
      </c>
      <c r="R159" s="1">
        <v>93</v>
      </c>
      <c r="S159" s="1">
        <v>42</v>
      </c>
    </row>
    <row r="160" spans="1:19" x14ac:dyDescent="0.3">
      <c r="A160" s="46">
        <v>145</v>
      </c>
      <c r="B160" s="4"/>
      <c r="C160" s="6" t="s">
        <v>96</v>
      </c>
      <c r="D160" s="5"/>
      <c r="E160" s="5" t="s">
        <v>208</v>
      </c>
      <c r="F160" s="5" t="s">
        <v>69</v>
      </c>
      <c r="G160" s="5" t="s">
        <v>72</v>
      </c>
      <c r="H160" s="5" t="s">
        <v>60</v>
      </c>
      <c r="I160" s="5" t="s">
        <v>61</v>
      </c>
      <c r="J160" s="5" t="s">
        <v>66</v>
      </c>
      <c r="K160" s="5" t="s">
        <v>51</v>
      </c>
      <c r="L160" s="5" t="s">
        <v>55</v>
      </c>
      <c r="M160" s="5" t="s">
        <v>209</v>
      </c>
      <c r="N160" s="5" t="s">
        <v>50</v>
      </c>
      <c r="O160" s="5" t="s">
        <v>210</v>
      </c>
      <c r="P160" s="5" t="s">
        <v>70</v>
      </c>
      <c r="Q160" s="1">
        <v>3</v>
      </c>
      <c r="R160" s="1">
        <v>94</v>
      </c>
      <c r="S160" s="1">
        <v>53</v>
      </c>
    </row>
    <row r="161" spans="1:19" x14ac:dyDescent="0.3">
      <c r="A161" s="46">
        <v>146</v>
      </c>
      <c r="B161" s="4"/>
      <c r="C161" s="6" t="s">
        <v>119</v>
      </c>
      <c r="D161" s="5"/>
      <c r="E161" s="5" t="s">
        <v>208</v>
      </c>
      <c r="F161" s="5" t="s">
        <v>207</v>
      </c>
      <c r="G161" s="5" t="s">
        <v>58</v>
      </c>
      <c r="H161" s="5" t="s">
        <v>60</v>
      </c>
      <c r="I161" s="5" t="s">
        <v>61</v>
      </c>
      <c r="J161" s="5" t="s">
        <v>66</v>
      </c>
      <c r="K161" s="5" t="s">
        <v>62</v>
      </c>
      <c r="L161" s="5" t="s">
        <v>47</v>
      </c>
      <c r="M161" s="5" t="s">
        <v>75</v>
      </c>
      <c r="N161" s="5" t="s">
        <v>50</v>
      </c>
      <c r="O161" s="5" t="s">
        <v>210</v>
      </c>
      <c r="P161" s="5" t="s">
        <v>73</v>
      </c>
      <c r="Q161" s="1">
        <v>3</v>
      </c>
      <c r="R161" s="1">
        <v>105</v>
      </c>
      <c r="S161" s="1">
        <v>41</v>
      </c>
    </row>
    <row r="162" spans="1:19" ht="28.8" x14ac:dyDescent="0.3">
      <c r="A162" s="46">
        <v>147</v>
      </c>
      <c r="B162" s="4"/>
      <c r="C162" s="6" t="s">
        <v>30</v>
      </c>
      <c r="D162" s="5"/>
      <c r="E162" s="5" t="s">
        <v>208</v>
      </c>
      <c r="F162" s="5" t="s">
        <v>207</v>
      </c>
      <c r="G162" s="5" t="s">
        <v>58</v>
      </c>
      <c r="H162" s="5" t="s">
        <v>60</v>
      </c>
      <c r="I162" s="5" t="s">
        <v>61</v>
      </c>
      <c r="J162" s="5" t="s">
        <v>59</v>
      </c>
      <c r="K162" s="5" t="s">
        <v>62</v>
      </c>
      <c r="L162" s="5" t="s">
        <v>55</v>
      </c>
      <c r="M162" s="5" t="s">
        <v>75</v>
      </c>
      <c r="N162" s="5" t="s">
        <v>48</v>
      </c>
      <c r="O162" s="5" t="s">
        <v>210</v>
      </c>
      <c r="P162" s="5" t="s">
        <v>70</v>
      </c>
      <c r="Q162" s="1">
        <v>3</v>
      </c>
      <c r="R162" s="1">
        <v>99</v>
      </c>
      <c r="S162" s="1">
        <v>55</v>
      </c>
    </row>
    <row r="163" spans="1:19" x14ac:dyDescent="0.3">
      <c r="A163" s="46">
        <v>148</v>
      </c>
      <c r="B163" s="4"/>
      <c r="C163" s="6" t="s">
        <v>121</v>
      </c>
      <c r="D163" s="5"/>
      <c r="E163" s="5" t="s">
        <v>208</v>
      </c>
      <c r="F163" s="5" t="s">
        <v>207</v>
      </c>
      <c r="G163" s="5" t="s">
        <v>58</v>
      </c>
      <c r="H163" s="5" t="s">
        <v>60</v>
      </c>
      <c r="I163" s="5" t="s">
        <v>67</v>
      </c>
      <c r="J163" s="5" t="s">
        <v>66</v>
      </c>
      <c r="K163" s="5" t="s">
        <v>62</v>
      </c>
      <c r="L163" s="5" t="s">
        <v>47</v>
      </c>
      <c r="M163" s="5" t="s">
        <v>75</v>
      </c>
      <c r="N163" s="5" t="s">
        <v>50</v>
      </c>
      <c r="O163" s="5" t="s">
        <v>210</v>
      </c>
      <c r="P163" s="5" t="s">
        <v>70</v>
      </c>
      <c r="Q163" s="1">
        <v>3</v>
      </c>
      <c r="R163" s="1">
        <v>105</v>
      </c>
      <c r="S163" s="1">
        <v>36</v>
      </c>
    </row>
    <row r="164" spans="1:19" ht="28.8" x14ac:dyDescent="0.3">
      <c r="A164" s="46">
        <v>149</v>
      </c>
      <c r="B164" s="4"/>
      <c r="C164" s="6" t="s">
        <v>8</v>
      </c>
      <c r="D164" s="5"/>
      <c r="E164" s="5" t="s">
        <v>208</v>
      </c>
      <c r="F164" s="5" t="s">
        <v>207</v>
      </c>
      <c r="G164" s="5" t="s">
        <v>58</v>
      </c>
      <c r="H164" s="5" t="s">
        <v>60</v>
      </c>
      <c r="I164" s="5" t="s">
        <v>61</v>
      </c>
      <c r="J164" s="5" t="s">
        <v>59</v>
      </c>
      <c r="K164" s="5" t="s">
        <v>62</v>
      </c>
      <c r="L164" s="5" t="s">
        <v>55</v>
      </c>
      <c r="M164" s="5" t="s">
        <v>75</v>
      </c>
      <c r="N164" s="5" t="s">
        <v>48</v>
      </c>
      <c r="O164" s="5" t="s">
        <v>210</v>
      </c>
      <c r="P164" s="5" t="s">
        <v>70</v>
      </c>
      <c r="Q164" s="1">
        <v>3</v>
      </c>
      <c r="R164" s="1">
        <v>98</v>
      </c>
      <c r="S164" s="1">
        <v>34</v>
      </c>
    </row>
    <row r="165" spans="1:19" ht="28.8" x14ac:dyDescent="0.3">
      <c r="A165" s="46">
        <v>150</v>
      </c>
      <c r="B165" s="4"/>
      <c r="C165" s="6" t="s">
        <v>6</v>
      </c>
      <c r="D165" s="5"/>
      <c r="E165" s="5" t="s">
        <v>208</v>
      </c>
      <c r="F165" s="5" t="s">
        <v>207</v>
      </c>
      <c r="G165" s="5" t="s">
        <v>58</v>
      </c>
      <c r="H165" s="5" t="s">
        <v>60</v>
      </c>
      <c r="I165" s="5" t="s">
        <v>67</v>
      </c>
      <c r="J165" s="5" t="s">
        <v>66</v>
      </c>
      <c r="K165" s="5" t="s">
        <v>62</v>
      </c>
      <c r="L165" s="5" t="s">
        <v>55</v>
      </c>
      <c r="M165" s="5" t="s">
        <v>75</v>
      </c>
      <c r="N165" s="5" t="s">
        <v>48</v>
      </c>
      <c r="O165" s="5" t="s">
        <v>210</v>
      </c>
      <c r="P165" s="5" t="s">
        <v>70</v>
      </c>
      <c r="Q165" s="1">
        <v>3</v>
      </c>
      <c r="R165" s="1">
        <v>91</v>
      </c>
      <c r="S165" s="1">
        <v>31</v>
      </c>
    </row>
    <row r="166" spans="1:19" x14ac:dyDescent="0.3">
      <c r="A166" s="46">
        <v>151</v>
      </c>
      <c r="B166" s="4"/>
      <c r="C166" s="6" t="s">
        <v>100</v>
      </c>
      <c r="D166" s="5"/>
      <c r="E166" s="5" t="s">
        <v>208</v>
      </c>
      <c r="F166" s="5" t="s">
        <v>69</v>
      </c>
      <c r="G166" s="5" t="s">
        <v>72</v>
      </c>
      <c r="H166" s="5" t="s">
        <v>60</v>
      </c>
      <c r="I166" s="5" t="s">
        <v>61</v>
      </c>
      <c r="J166" s="5" t="s">
        <v>66</v>
      </c>
      <c r="K166" s="5" t="s">
        <v>62</v>
      </c>
      <c r="L166" s="5" t="s">
        <v>55</v>
      </c>
      <c r="M166" s="5" t="s">
        <v>75</v>
      </c>
      <c r="N166" s="5" t="s">
        <v>50</v>
      </c>
      <c r="O166" s="5" t="s">
        <v>210</v>
      </c>
      <c r="P166" s="5" t="s">
        <v>73</v>
      </c>
      <c r="Q166" s="1">
        <v>2</v>
      </c>
      <c r="R166" s="1">
        <v>100</v>
      </c>
      <c r="S166" s="1">
        <v>45</v>
      </c>
    </row>
    <row r="167" spans="1:19" x14ac:dyDescent="0.3">
      <c r="A167" s="46">
        <v>152</v>
      </c>
      <c r="B167" s="4"/>
      <c r="C167" s="6" t="s">
        <v>84</v>
      </c>
      <c r="D167" s="5"/>
      <c r="E167" s="5" t="s">
        <v>208</v>
      </c>
      <c r="F167" s="5" t="s">
        <v>69</v>
      </c>
      <c r="G167" s="5" t="s">
        <v>58</v>
      </c>
      <c r="H167" s="5" t="s">
        <v>60</v>
      </c>
      <c r="I167" s="5" t="s">
        <v>67</v>
      </c>
      <c r="J167" s="5" t="s">
        <v>66</v>
      </c>
      <c r="K167" s="5" t="s">
        <v>62</v>
      </c>
      <c r="L167" s="5" t="s">
        <v>55</v>
      </c>
      <c r="M167" s="5" t="s">
        <v>75</v>
      </c>
      <c r="N167" s="5" t="s">
        <v>50</v>
      </c>
      <c r="O167" s="5" t="s">
        <v>210</v>
      </c>
      <c r="P167" s="5" t="s">
        <v>73</v>
      </c>
      <c r="Q167" s="1">
        <v>2</v>
      </c>
      <c r="R167" s="1">
        <v>93</v>
      </c>
      <c r="S167" s="1">
        <v>53</v>
      </c>
    </row>
    <row r="168" spans="1:19" ht="28.8" x14ac:dyDescent="0.3">
      <c r="A168" s="46">
        <v>153</v>
      </c>
      <c r="B168" s="4"/>
      <c r="C168" s="6" t="s">
        <v>104</v>
      </c>
      <c r="D168" s="5"/>
      <c r="E168" s="5" t="s">
        <v>208</v>
      </c>
      <c r="F168" s="5" t="s">
        <v>69</v>
      </c>
      <c r="G168" s="5" t="s">
        <v>58</v>
      </c>
      <c r="H168" s="5" t="s">
        <v>60</v>
      </c>
      <c r="I168" s="5" t="s">
        <v>67</v>
      </c>
      <c r="J168" s="5" t="s">
        <v>59</v>
      </c>
      <c r="K168" s="5" t="s">
        <v>62</v>
      </c>
      <c r="L168" s="5" t="s">
        <v>55</v>
      </c>
      <c r="M168" s="5" t="s">
        <v>75</v>
      </c>
      <c r="N168" s="5" t="s">
        <v>50</v>
      </c>
      <c r="O168" s="5" t="s">
        <v>210</v>
      </c>
      <c r="P168" s="5" t="s">
        <v>70</v>
      </c>
      <c r="Q168" s="1">
        <v>2</v>
      </c>
      <c r="R168" s="1">
        <v>92</v>
      </c>
      <c r="S168" s="1">
        <v>60</v>
      </c>
    </row>
    <row r="169" spans="1:19" x14ac:dyDescent="0.3">
      <c r="A169" s="46">
        <v>154</v>
      </c>
      <c r="B169" s="4"/>
      <c r="C169" s="6" t="s">
        <v>105</v>
      </c>
      <c r="D169" s="5"/>
      <c r="E169" s="5" t="s">
        <v>208</v>
      </c>
      <c r="F169" s="5" t="s">
        <v>69</v>
      </c>
      <c r="G169" s="5" t="s">
        <v>58</v>
      </c>
      <c r="H169" s="5" t="s">
        <v>60</v>
      </c>
      <c r="I169" s="5" t="s">
        <v>67</v>
      </c>
      <c r="J169" s="5" t="s">
        <v>66</v>
      </c>
      <c r="K169" s="5" t="s">
        <v>62</v>
      </c>
      <c r="L169" s="5" t="s">
        <v>55</v>
      </c>
      <c r="M169" s="5" t="s">
        <v>75</v>
      </c>
      <c r="N169" s="5" t="s">
        <v>50</v>
      </c>
      <c r="O169" s="5" t="s">
        <v>210</v>
      </c>
      <c r="P169" s="5" t="s">
        <v>70</v>
      </c>
      <c r="Q169" s="1">
        <v>1</v>
      </c>
      <c r="R169" s="1">
        <v>95</v>
      </c>
      <c r="S169" s="1">
        <v>42</v>
      </c>
    </row>
    <row r="170" spans="1:19" x14ac:dyDescent="0.3">
      <c r="A170" s="46">
        <v>155</v>
      </c>
      <c r="B170" s="4"/>
      <c r="C170" s="6" t="s">
        <v>199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1">
        <v>0</v>
      </c>
      <c r="R170" s="1">
        <v>78</v>
      </c>
      <c r="S170" s="1"/>
    </row>
    <row r="171" spans="1:19" x14ac:dyDescent="0.3">
      <c r="A171" s="46">
        <v>156</v>
      </c>
      <c r="B171" s="4"/>
      <c r="C171" s="6" t="s">
        <v>93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1">
        <v>0</v>
      </c>
      <c r="R171" s="1">
        <v>92</v>
      </c>
      <c r="S171" s="1"/>
    </row>
    <row r="172" spans="1:19" ht="28.8" x14ac:dyDescent="0.3">
      <c r="A172" s="46">
        <v>157</v>
      </c>
      <c r="B172" s="4"/>
      <c r="C172" s="6" t="s">
        <v>197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1">
        <v>0</v>
      </c>
      <c r="R172" s="1">
        <v>62</v>
      </c>
      <c r="S172" s="1"/>
    </row>
    <row r="173" spans="1:19" ht="28.8" x14ac:dyDescent="0.3">
      <c r="A173" s="46">
        <v>158</v>
      </c>
      <c r="B173" s="4"/>
      <c r="C173" s="6" t="s">
        <v>196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1">
        <v>0</v>
      </c>
      <c r="R173" s="1">
        <v>86</v>
      </c>
      <c r="S173" s="1"/>
    </row>
    <row r="174" spans="1:19" x14ac:dyDescent="0.3">
      <c r="A174" s="46">
        <v>159</v>
      </c>
      <c r="B174" s="4"/>
      <c r="C174" s="6" t="s">
        <v>201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1">
        <v>0</v>
      </c>
      <c r="R174" s="1">
        <v>78</v>
      </c>
      <c r="S174" s="1"/>
    </row>
    <row r="175" spans="1:19" x14ac:dyDescent="0.3">
      <c r="A175" s="46">
        <v>160</v>
      </c>
      <c r="B175" s="4"/>
      <c r="C175" s="6" t="s">
        <v>194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1">
        <v>0</v>
      </c>
      <c r="R175" s="1">
        <v>89</v>
      </c>
      <c r="S175" s="1"/>
    </row>
    <row r="176" spans="1:19" x14ac:dyDescent="0.3">
      <c r="A176" s="46">
        <v>161</v>
      </c>
      <c r="B176" s="4"/>
      <c r="C176" s="6" t="s">
        <v>145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1">
        <v>0</v>
      </c>
      <c r="R176" s="1">
        <v>74</v>
      </c>
      <c r="S176" s="1"/>
    </row>
    <row r="177" spans="1:19" ht="28.8" x14ac:dyDescent="0.3">
      <c r="A177" s="46">
        <v>162</v>
      </c>
      <c r="B177" s="4"/>
      <c r="C177" s="6" t="s">
        <v>92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1">
        <v>0</v>
      </c>
      <c r="R177" s="1">
        <v>89</v>
      </c>
      <c r="S177" s="1"/>
    </row>
    <row r="178" spans="1:19" x14ac:dyDescent="0.3">
      <c r="A178" s="46">
        <v>163</v>
      </c>
      <c r="B178" s="4"/>
      <c r="C178" s="6" t="s">
        <v>131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1">
        <v>0</v>
      </c>
      <c r="R178" s="1">
        <v>59</v>
      </c>
      <c r="S178" s="1"/>
    </row>
  </sheetData>
  <mergeCells count="4">
    <mergeCell ref="A9:A15"/>
    <mergeCell ref="B9:B15"/>
    <mergeCell ref="Q9:Q15"/>
    <mergeCell ref="R9:R15"/>
  </mergeCells>
  <conditionalFormatting sqref="P2:P3 P7 E2:N3 E7:N7">
    <cfRule type="cellIs" dxfId="17" priority="8" operator="equal">
      <formula>"Y"</formula>
    </cfRule>
    <cfRule type="cellIs" dxfId="16" priority="9" operator="equal">
      <formula>"N"</formula>
    </cfRule>
  </conditionalFormatting>
  <conditionalFormatting sqref="R7">
    <cfRule type="cellIs" dxfId="15" priority="6" operator="equal">
      <formula>"Y"</formula>
    </cfRule>
    <cfRule type="cellIs" dxfId="14" priority="7" operator="equal">
      <formula>"N"</formula>
    </cfRule>
  </conditionalFormatting>
  <conditionalFormatting sqref="O4">
    <cfRule type="colorScale" priority="5">
      <colorScale>
        <cfvo type="min"/>
        <cfvo type="max"/>
        <color rgb="FFFF7128"/>
        <color rgb="FFFFEF9C"/>
      </colorScale>
    </cfRule>
  </conditionalFormatting>
  <conditionalFormatting sqref="E4:N4 P4">
    <cfRule type="colorScale" priority="10">
      <colorScale>
        <cfvo type="min"/>
        <cfvo type="max"/>
        <color rgb="FFFF7128"/>
        <color rgb="FFFFEF9C"/>
      </colorScale>
    </cfRule>
  </conditionalFormatting>
  <conditionalFormatting sqref="O7">
    <cfRule type="cellIs" dxfId="13" priority="3" operator="equal">
      <formula>"Y"</formula>
    </cfRule>
    <cfRule type="cellIs" dxfId="12" priority="4" operator="equal">
      <formula>"N"</formula>
    </cfRule>
  </conditionalFormatting>
  <conditionalFormatting sqref="O2:O3">
    <cfRule type="cellIs" dxfId="11" priority="1" operator="equal">
      <formula>"Y"</formula>
    </cfRule>
    <cfRule type="cellIs" dxfId="10" priority="2" operator="equal">
      <formula>"N"</formula>
    </cfRule>
  </conditionalFormatting>
  <hyperlinks>
    <hyperlink ref="C16" r:id="rId1" display="https://www.poolhost.com/profootball/playerstats/1731690"/>
    <hyperlink ref="C17" r:id="rId2" display="https://www.poolhost.com/profootball/playerstats/1681958"/>
    <hyperlink ref="C18" r:id="rId3" display="https://www.poolhost.com/profootball/playerstats/1680041"/>
    <hyperlink ref="C19" r:id="rId4" display="https://www.poolhost.com/profootball/playerstats/1649126"/>
    <hyperlink ref="C20" r:id="rId5" display="https://www.poolhost.com/profootball/playerstats/1703435"/>
    <hyperlink ref="C21" r:id="rId6" display="https://www.poolhost.com/profootball/playerstats/1669212"/>
    <hyperlink ref="C22" r:id="rId7" display="https://www.poolhost.com/profootball/playerstats/1671837"/>
    <hyperlink ref="C23" r:id="rId8" display="https://www.poolhost.com/profootball/playerstats/1704294"/>
    <hyperlink ref="C24" r:id="rId9" display="https://www.poolhost.com/profootball/playerstats/1712780"/>
    <hyperlink ref="C25" r:id="rId10" display="https://www.poolhost.com/profootball/playerstats/1732411"/>
    <hyperlink ref="C26" r:id="rId11" display="https://www.poolhost.com/profootball/playerstats/1726326"/>
    <hyperlink ref="C27" r:id="rId12" display="https://www.poolhost.com/profootball/playerstats/1678632"/>
    <hyperlink ref="C28" r:id="rId13" display="https://www.poolhost.com/profootball/playerstats/1685256"/>
    <hyperlink ref="C29" r:id="rId14" display="https://www.poolhost.com/profootball/playerstats/1663641"/>
    <hyperlink ref="C30" r:id="rId15" display="https://www.poolhost.com/profootball/playerstats/1671748"/>
    <hyperlink ref="C31" r:id="rId16" display="https://www.poolhost.com/profootball/playerstats/1705049"/>
    <hyperlink ref="C32" r:id="rId17" display="https://www.poolhost.com/profootball/playerstats/1694017"/>
    <hyperlink ref="C33" r:id="rId18" display="https://www.poolhost.com/profootball/playerstats/1705029"/>
    <hyperlink ref="C34" r:id="rId19" display="https://www.poolhost.com/profootball/playerstats/1730347"/>
    <hyperlink ref="C35" r:id="rId20" display="https://www.poolhost.com/profootball/playerstats/1682523"/>
    <hyperlink ref="C36" r:id="rId21" display="https://www.poolhost.com/profootball/playerstats/1673248"/>
    <hyperlink ref="C37" r:id="rId22" display="https://www.poolhost.com/profootball/playerstats/1665614"/>
    <hyperlink ref="C38" r:id="rId23" display="https://www.poolhost.com/profootball/playerstats/1659875"/>
    <hyperlink ref="C39" r:id="rId24" display="https://www.poolhost.com/profootball/playerstats/1708312"/>
    <hyperlink ref="C40" r:id="rId25" display="https://www.poolhost.com/profootball/playerstats/1708505"/>
    <hyperlink ref="C41" r:id="rId26" display="https://www.poolhost.com/profootball/playerstats/1730676"/>
    <hyperlink ref="C42" r:id="rId27" display="https://www.poolhost.com/profootball/playerstats/1726632"/>
    <hyperlink ref="C43" r:id="rId28" display="https://www.poolhost.com/profootball/playerstats/1673222"/>
    <hyperlink ref="C44" r:id="rId29" display="https://www.poolhost.com/profootball/playerstats/1732788"/>
    <hyperlink ref="C45" r:id="rId30" display="https://www.poolhost.com/profootball/playerstats/1715552"/>
    <hyperlink ref="C46" r:id="rId31" display="https://www.poolhost.com/profootball/playerstats/1682884"/>
    <hyperlink ref="C47" r:id="rId32" display="https://www.poolhost.com/profootball/playerstats/1691673"/>
    <hyperlink ref="C48" r:id="rId33" display="https://www.poolhost.com/profootball/playerstats/1681946"/>
    <hyperlink ref="C49" r:id="rId34" display="https://www.poolhost.com/profootball/playerstats/1709552"/>
    <hyperlink ref="C50" r:id="rId35" display="https://www.poolhost.com/profootball/playerstats/1729262"/>
    <hyperlink ref="C51" r:id="rId36" display="https://www.poolhost.com/profootball/playerstats/1657103"/>
    <hyperlink ref="C52" r:id="rId37" display="https://www.poolhost.com/profootball/playerstats/1695492"/>
    <hyperlink ref="C53" r:id="rId38" display="https://www.poolhost.com/profootball/playerstats/1657024"/>
    <hyperlink ref="C54" r:id="rId39" display="https://www.poolhost.com/profootball/playerstats/1669323"/>
    <hyperlink ref="C55" r:id="rId40" display="https://www.poolhost.com/profootball/playerstats/1667866"/>
    <hyperlink ref="C56" r:id="rId41" display="https://www.poolhost.com/profootball/playerstats/1657583"/>
    <hyperlink ref="C57" r:id="rId42" display="https://www.poolhost.com/profootball/playerstats/1666092"/>
    <hyperlink ref="C58" r:id="rId43" display="https://www.poolhost.com/profootball/playerstats/1705272"/>
    <hyperlink ref="C59" r:id="rId44" display="https://www.poolhost.com/profootball/playerstats/1727817"/>
    <hyperlink ref="C60" r:id="rId45" display="https://www.poolhost.com/profootball/playerstats/1666449"/>
    <hyperlink ref="C61" r:id="rId46" display="https://www.poolhost.com/profootball/playerstats/1659558"/>
    <hyperlink ref="C62" r:id="rId47" display="https://www.poolhost.com/profootball/playerstats/1701354"/>
    <hyperlink ref="C63" r:id="rId48" display="https://www.poolhost.com/profootball/playerstats/1699660"/>
    <hyperlink ref="C64" r:id="rId49" display="https://www.poolhost.com/profootball/playerstats/1723980"/>
    <hyperlink ref="C65" r:id="rId50" display="https://www.poolhost.com/profootball/playerstats/1732254"/>
    <hyperlink ref="C66" r:id="rId51" display="https://www.poolhost.com/profootball/playerstats/1672298"/>
    <hyperlink ref="C67" r:id="rId52" display="https://www.poolhost.com/profootball/playerstats/1732851"/>
    <hyperlink ref="C68" r:id="rId53" display="https://www.poolhost.com/profootball/playerstats/1695716"/>
    <hyperlink ref="C69" r:id="rId54" display="https://www.poolhost.com/profootball/playerstats/1735486"/>
    <hyperlink ref="C70" r:id="rId55" display="https://www.poolhost.com/profootball/playerstats/1699295"/>
    <hyperlink ref="C71" r:id="rId56" display="https://www.poolhost.com/profootball/playerstats/1665631"/>
    <hyperlink ref="C72" r:id="rId57" display="https://www.poolhost.com/profootball/playerstats/1702449"/>
    <hyperlink ref="C73" r:id="rId58" display="https://www.poolhost.com/profootball/playerstats/1703401"/>
    <hyperlink ref="C74" r:id="rId59" display="https://www.poolhost.com/profootball/playerstats/1709781"/>
    <hyperlink ref="C75" r:id="rId60" display="https://www.poolhost.com/profootball/playerstats/1729491"/>
    <hyperlink ref="C76" r:id="rId61" display="https://www.poolhost.com/profootball/playerstats/1705346"/>
    <hyperlink ref="C77" r:id="rId62" display="https://www.poolhost.com/profootball/playerstats/1685066"/>
    <hyperlink ref="C78" r:id="rId63" display="https://www.poolhost.com/profootball/playerstats/1657241"/>
    <hyperlink ref="C79" r:id="rId64" display="https://www.poolhost.com/profootball/playerstats/1666027"/>
    <hyperlink ref="C80" r:id="rId65" display="https://www.poolhost.com/profootball/playerstats/1678377"/>
    <hyperlink ref="C81" r:id="rId66" display="https://www.poolhost.com/profootball/playerstats/1731755"/>
    <hyperlink ref="C82" r:id="rId67" display="https://www.poolhost.com/profootball/playerstats/1667376"/>
    <hyperlink ref="C83" r:id="rId68" display="https://www.poolhost.com/profootball/playerstats/1654500"/>
    <hyperlink ref="C84" r:id="rId69" display="https://www.poolhost.com/profootball/playerstats/1655447"/>
    <hyperlink ref="C85" r:id="rId70" display="https://www.poolhost.com/profootball/playerstats/1672167"/>
    <hyperlink ref="C86" r:id="rId71" display="https://www.poolhost.com/profootball/playerstats/1741250"/>
    <hyperlink ref="C87" r:id="rId72" display="https://www.poolhost.com/profootball/playerstats/1654448"/>
    <hyperlink ref="C88" r:id="rId73" display="https://www.poolhost.com/profootball/playerstats/1677049"/>
    <hyperlink ref="C89" r:id="rId74" display="https://www.poolhost.com/profootball/playerstats/1668682"/>
    <hyperlink ref="C90" r:id="rId75" display="https://www.poolhost.com/profootball/playerstats/1668628"/>
    <hyperlink ref="C91" r:id="rId76" display="https://www.poolhost.com/profootball/playerstats/1732290"/>
    <hyperlink ref="C92" r:id="rId77" display="https://www.poolhost.com/profootball/playerstats/1681897"/>
    <hyperlink ref="C93" r:id="rId78" display="https://www.poolhost.com/profootball/playerstats/1662606"/>
    <hyperlink ref="C94" r:id="rId79" display="https://www.poolhost.com/profootball/playerstats/1708805"/>
    <hyperlink ref="C95" r:id="rId80" display="https://www.poolhost.com/profootball/playerstats/1697912"/>
    <hyperlink ref="C96" r:id="rId81" display="https://www.poolhost.com/profootball/playerstats/1684290"/>
    <hyperlink ref="C97" r:id="rId82" display="https://www.poolhost.com/profootball/playerstats/1704026"/>
    <hyperlink ref="C98" r:id="rId83" display="https://www.poolhost.com/profootball/playerstats/1722206"/>
    <hyperlink ref="C99" r:id="rId84" display="https://www.poolhost.com/profootball/playerstats/1656464"/>
    <hyperlink ref="C100" r:id="rId85" display="https://www.poolhost.com/profootball/playerstats/1660811"/>
    <hyperlink ref="C101" r:id="rId86" display="https://www.poolhost.com/profootball/playerstats/1668687"/>
    <hyperlink ref="C102" r:id="rId87" display="https://www.poolhost.com/profootball/playerstats/1654485"/>
    <hyperlink ref="C103" r:id="rId88" display="https://www.poolhost.com/profootball/playerstats/1676654"/>
    <hyperlink ref="C104" r:id="rId89" display="https://www.poolhost.com/profootball/playerstats/1670226"/>
    <hyperlink ref="C105" r:id="rId90" display="https://www.poolhost.com/profootball/playerstats/1654623"/>
    <hyperlink ref="C106" r:id="rId91" display="https://www.poolhost.com/profootball/playerstats/1655488"/>
    <hyperlink ref="C107" r:id="rId92" display="https://www.poolhost.com/profootball/playerstats/1659846"/>
    <hyperlink ref="C108" r:id="rId93" display="https://www.poolhost.com/profootball/playerstats/1728787"/>
    <hyperlink ref="C109" r:id="rId94" display="https://www.poolhost.com/profootball/playerstats/1658459"/>
    <hyperlink ref="C110" r:id="rId95" display="https://www.poolhost.com/profootball/playerstats/1696717"/>
    <hyperlink ref="C111" r:id="rId96" display="https://www.poolhost.com/profootball/playerstats/1654603"/>
    <hyperlink ref="C112" r:id="rId97" display="https://www.poolhost.com/profootball/playerstats/1673234"/>
    <hyperlink ref="C113" r:id="rId98" display="https://www.poolhost.com/profootball/playerstats/1668461"/>
    <hyperlink ref="C114" r:id="rId99" display="https://www.poolhost.com/profootball/playerstats/1683531"/>
    <hyperlink ref="C115" r:id="rId100" display="https://www.poolhost.com/profootball/playerstats/1654484"/>
    <hyperlink ref="C116" r:id="rId101" display="https://www.poolhost.com/profootball/playerstats/1666473"/>
    <hyperlink ref="C117" r:id="rId102" display="https://www.poolhost.com/profootball/playerstats/1666034"/>
    <hyperlink ref="C118" r:id="rId103" display="https://www.poolhost.com/profootball/playerstats/1661711"/>
    <hyperlink ref="C119" r:id="rId104" display="https://www.poolhost.com/profootball/playerstats/1687892"/>
    <hyperlink ref="C120" r:id="rId105" display="https://www.poolhost.com/profootball/playerstats/1676125"/>
    <hyperlink ref="C121" r:id="rId106" display="https://www.poolhost.com/profootball/playerstats/1724223"/>
    <hyperlink ref="C122" r:id="rId107" display="https://www.poolhost.com/profootball/playerstats/1679156"/>
    <hyperlink ref="C123" r:id="rId108" display="https://www.poolhost.com/profootball/playerstats/1654791"/>
    <hyperlink ref="C124" r:id="rId109" display="https://www.poolhost.com/profootball/playerstats/1670025"/>
    <hyperlink ref="C125" r:id="rId110" display="https://www.poolhost.com/profootball/playerstats/1733218"/>
    <hyperlink ref="C126" r:id="rId111" display="https://www.poolhost.com/profootball/playerstats/1730270"/>
    <hyperlink ref="C127" r:id="rId112" display="https://www.poolhost.com/profootball/playerstats/1649341"/>
    <hyperlink ref="C128" r:id="rId113" display="https://www.poolhost.com/profootball/playerstats/1708448"/>
    <hyperlink ref="C129" r:id="rId114" display="https://www.poolhost.com/profootball/playerstats/1721401"/>
    <hyperlink ref="C130" r:id="rId115" display="https://www.poolhost.com/profootball/playerstats/1734363"/>
    <hyperlink ref="C131" r:id="rId116" display="https://www.poolhost.com/profootball/playerstats/1679300"/>
    <hyperlink ref="C132" r:id="rId117" display="https://www.poolhost.com/profootball/playerstats/1657214"/>
    <hyperlink ref="C133" r:id="rId118" display="https://www.poolhost.com/profootball/playerstats/1677370"/>
    <hyperlink ref="C134" r:id="rId119" display="https://www.poolhost.com/profootball/playerstats/1732953"/>
    <hyperlink ref="C135" r:id="rId120" display="https://www.poolhost.com/profootball/playerstats/1683389"/>
    <hyperlink ref="C136" r:id="rId121" display="https://www.poolhost.com/profootball/playerstats/1657801"/>
    <hyperlink ref="C137" r:id="rId122" display="https://www.poolhost.com/profootball/playerstats/1674086"/>
    <hyperlink ref="C138" r:id="rId123" display="https://www.poolhost.com/profootball/playerstats/1727170"/>
    <hyperlink ref="C139" r:id="rId124" display="https://www.poolhost.com/profootball/playerstats/1665910"/>
    <hyperlink ref="C140" r:id="rId125" display="https://www.poolhost.com/profootball/playerstats/1707988"/>
    <hyperlink ref="C141" r:id="rId126" display="https://www.poolhost.com/profootball/playerstats/1701053"/>
    <hyperlink ref="C142" r:id="rId127" display="https://www.poolhost.com/profootball/playerstats/1721307"/>
    <hyperlink ref="C143" r:id="rId128" display="https://www.poolhost.com/profootball/playerstats/1722286"/>
    <hyperlink ref="C144" r:id="rId129" display="https://www.poolhost.com/profootball/playerstats/1729617"/>
    <hyperlink ref="C145" r:id="rId130" display="https://www.poolhost.com/profootball/playerstats/1700155"/>
    <hyperlink ref="C146" r:id="rId131" display="https://www.poolhost.com/profootball/playerstats/1679009"/>
    <hyperlink ref="C147" r:id="rId132" display="https://www.poolhost.com/profootball/playerstats/1665810"/>
    <hyperlink ref="C148" r:id="rId133" display="https://www.poolhost.com/profootball/playerstats/1733415"/>
    <hyperlink ref="C149" r:id="rId134" display="https://www.poolhost.com/profootball/playerstats/1673761"/>
    <hyperlink ref="C150" r:id="rId135" display="https://www.poolhost.com/profootball/playerstats/1669305"/>
    <hyperlink ref="C151" r:id="rId136" display="https://www.poolhost.com/profootball/playerstats/1705249"/>
    <hyperlink ref="C152" r:id="rId137" display="https://www.poolhost.com/profootball/playerstats/1674022"/>
    <hyperlink ref="C153" r:id="rId138" display="https://www.poolhost.com/profootball/playerstats/1670484"/>
    <hyperlink ref="C154" r:id="rId139" display="https://www.poolhost.com/profootball/playerstats/1663101"/>
    <hyperlink ref="C155" r:id="rId140" display="https://www.poolhost.com/profootball/playerstats/1686915"/>
    <hyperlink ref="C156" r:id="rId141" display="https://www.poolhost.com/profootball/playerstats/1679667"/>
    <hyperlink ref="C157" r:id="rId142" display="https://www.poolhost.com/profootball/playerstats/1684491"/>
    <hyperlink ref="C158" r:id="rId143" display="https://www.poolhost.com/profootball/playerstats/1667937"/>
    <hyperlink ref="C159" r:id="rId144" display="https://www.poolhost.com/profootball/playerstats/1711169"/>
    <hyperlink ref="C160" r:id="rId145" display="https://www.poolhost.com/profootball/playerstats/1731780"/>
    <hyperlink ref="C161" r:id="rId146" display="https://www.poolhost.com/profootball/playerstats/1694354"/>
    <hyperlink ref="C162" r:id="rId147" display="https://www.poolhost.com/profootball/playerstats/1678667"/>
    <hyperlink ref="C163" r:id="rId148" display="https://www.poolhost.com/profootball/playerstats/1702170"/>
    <hyperlink ref="C164" r:id="rId149" display="https://www.poolhost.com/profootball/playerstats/1662306"/>
    <hyperlink ref="C165" r:id="rId150" display="https://www.poolhost.com/profootball/playerstats/1665979"/>
    <hyperlink ref="C166" r:id="rId151" display="https://www.poolhost.com/profootball/playerstats/1686727"/>
    <hyperlink ref="C167" r:id="rId152" display="https://www.poolhost.com/profootball/playerstats/1661981"/>
    <hyperlink ref="C168" r:id="rId153" display="https://www.poolhost.com/profootball/playerstats/1725535"/>
    <hyperlink ref="C169" r:id="rId154" display="https://www.poolhost.com/profootball/playerstats/1654634"/>
    <hyperlink ref="C170" r:id="rId155" display="https://www.poolhost.com/profootball/playerstats/1654649"/>
    <hyperlink ref="C171" r:id="rId156" display="https://www.poolhost.com/profootball/playerstats/1684266"/>
    <hyperlink ref="C172" r:id="rId157" display="https://www.poolhost.com/profootball/playerstats/1732996"/>
    <hyperlink ref="C173" r:id="rId158" display="https://www.poolhost.com/profootball/playerstats/1729314"/>
    <hyperlink ref="C174" r:id="rId159" display="https://www.poolhost.com/profootball/playerstats/1728782"/>
    <hyperlink ref="C175" r:id="rId160" display="https://www.poolhost.com/profootball/playerstats/1699810"/>
    <hyperlink ref="C176" r:id="rId161" display="https://www.poolhost.com/profootball/playerstats/1700157"/>
    <hyperlink ref="C177" r:id="rId162" display="https://www.poolhost.com/profootball/playerstats/1722233"/>
    <hyperlink ref="C178" r:id="rId163" display="https://www.poolhost.com/profootball/playerstats/173417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8"/>
  <sheetViews>
    <sheetView tabSelected="1" zoomScaleNormal="100" workbookViewId="0">
      <selection activeCell="R8" sqref="R8"/>
    </sheetView>
  </sheetViews>
  <sheetFormatPr defaultRowHeight="14.4" x14ac:dyDescent="0.3"/>
  <sheetData>
    <row r="1" spans="1:28" ht="15" thickBot="1" x14ac:dyDescent="0.35">
      <c r="A1" s="2" t="s">
        <v>0</v>
      </c>
      <c r="D1">
        <v>2</v>
      </c>
      <c r="E1">
        <f>D1+1</f>
        <v>3</v>
      </c>
      <c r="F1">
        <f t="shared" ref="F1:U1" si="0">E1+1</f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ref="M1" si="1">L1+1</f>
        <v>11</v>
      </c>
      <c r="N1">
        <f t="shared" ref="N1" si="2">M1+1</f>
        <v>12</v>
      </c>
      <c r="O1">
        <f t="shared" ref="O1:P1" si="3">N1+1</f>
        <v>13</v>
      </c>
      <c r="P1">
        <f t="shared" si="3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 t="s">
        <v>226</v>
      </c>
      <c r="W1" s="16">
        <v>0</v>
      </c>
      <c r="X1" s="11">
        <f>COUNTIF(T$16:T$200,W1)</f>
        <v>10</v>
      </c>
      <c r="Y1" s="20">
        <f t="shared" ref="Y1:Y14" si="4">X1/SUM(X$1:X$13)</f>
        <v>6.25E-2</v>
      </c>
      <c r="Z1" s="33"/>
      <c r="AA1" t="s">
        <v>227</v>
      </c>
    </row>
    <row r="2" spans="1:28" ht="15" thickBot="1" x14ac:dyDescent="0.35">
      <c r="A2" s="2" t="s">
        <v>1</v>
      </c>
      <c r="C2" t="s">
        <v>204</v>
      </c>
      <c r="E2" s="24" t="str">
        <f>IF(VLOOKUP($C2,$C$16:$AC$192,E$1,FALSE)=E$8,"Y","N")</f>
        <v>N</v>
      </c>
      <c r="F2" s="25" t="str">
        <f>IF(VLOOKUP($C2,$C$16:$AC$192,F$1,FALSE)=F$8,"Y","N")</f>
        <v>Y</v>
      </c>
      <c r="G2" s="25" t="str">
        <f>IF(VLOOKUP($C2,$C$16:$AC$192,G$1,FALSE)=G$8,"Y","N")</f>
        <v>Y</v>
      </c>
      <c r="H2" s="25" t="str">
        <f>IF(VLOOKUP($C2,$C$16:$AC$192,H$1,FALSE)=H$8,"Y","N")</f>
        <v>Y</v>
      </c>
      <c r="I2" s="25" t="str">
        <f>IF(VLOOKUP($C2,$C$16:$AC$192,I$1,FALSE)=I$8,"Y","N")</f>
        <v>N</v>
      </c>
      <c r="J2" s="25" t="str">
        <f>IF(VLOOKUP($C2,$C$16:$AC$192,J$1,FALSE)=J$8,"Y","N")</f>
        <v>Y</v>
      </c>
      <c r="K2" s="25" t="str">
        <f>IF(VLOOKUP($C2,$C$16:$AC$192,K$1,FALSE)=K$8,"Y","N")</f>
        <v>Y</v>
      </c>
      <c r="L2" s="25" t="str">
        <f>IF(VLOOKUP($C2,$C$16:$AC$192,L$1,FALSE)=L$8,"Y","N")</f>
        <v>N</v>
      </c>
      <c r="M2" s="25" t="str">
        <f t="shared" ref="M2:O3" si="5">IF(VLOOKUP($C2,$C$16:$AC$192,M$1,FALSE)=M$8,"Y","N")</f>
        <v>Y</v>
      </c>
      <c r="N2" s="25" t="str">
        <f t="shared" si="5"/>
        <v>N</v>
      </c>
      <c r="O2" s="25" t="str">
        <f t="shared" si="5"/>
        <v>Y</v>
      </c>
      <c r="P2" s="25" t="str">
        <f>IF(VLOOKUP($C2,$C$16:$AC$192,P$1,FALSE)=P$8,"Y","N")</f>
        <v>N</v>
      </c>
      <c r="Q2" s="25" t="str">
        <f>IF(VLOOKUP($C2,$C$16:$AC$192,Q$1,FALSE)=Q$8,"Y","N")</f>
        <v>N</v>
      </c>
      <c r="R2" s="25" t="str">
        <f>IF(VLOOKUP($C2,$C$16:$AC$192,R$1,FALSE)=R$8,"Y","N")</f>
        <v>Y</v>
      </c>
      <c r="S2" s="25" t="str">
        <f>IF(VLOOKUP($C2,$C$16:$AC$192,S$1,FALSE)=S$8,"Y","N")</f>
        <v>Y</v>
      </c>
      <c r="T2" s="19">
        <f>VLOOKUP($C2,$C$16:$AC$192,T$1,FALSE)</f>
        <v>9</v>
      </c>
      <c r="U2" s="19">
        <f>VLOOKUP($C2,$C$16:$AC$192,U$1,FALSE)</f>
        <v>113</v>
      </c>
      <c r="V2" s="44" t="str">
        <f>IF(COUNTIF($E2:S2,"Y")=T2,"","check")</f>
        <v/>
      </c>
      <c r="W2" s="23">
        <f>W1+1</f>
        <v>1</v>
      </c>
      <c r="X2" s="12">
        <f t="shared" ref="X2:X14" si="6">COUNTIF(T$16:T$200,W2)</f>
        <v>0</v>
      </c>
      <c r="Y2" s="21">
        <f t="shared" si="4"/>
        <v>0</v>
      </c>
      <c r="Z2" s="33"/>
      <c r="AA2">
        <v>0</v>
      </c>
      <c r="AB2">
        <f>COUNTIF(V$16:V$179,AA2)</f>
        <v>0</v>
      </c>
    </row>
    <row r="3" spans="1:28" ht="15" thickBot="1" x14ac:dyDescent="0.35">
      <c r="A3" s="2" t="s">
        <v>2</v>
      </c>
      <c r="C3" t="s">
        <v>162</v>
      </c>
      <c r="E3" s="13" t="str">
        <f>IF(VLOOKUP($C3,$C$16:$AC$192,E$1,FALSE)=E$8,"Y","N")</f>
        <v>N</v>
      </c>
      <c r="F3" s="14" t="str">
        <f>IF(VLOOKUP($C3,$C$16:$AC$192,F$1,FALSE)=F$8,"Y","N")</f>
        <v>Y</v>
      </c>
      <c r="G3" s="14" t="str">
        <f>IF(VLOOKUP($C3,$C$16:$AC$192,G$1,FALSE)=G$8,"Y","N")</f>
        <v>N</v>
      </c>
      <c r="H3" s="14" t="str">
        <f>IF(VLOOKUP($C3,$C$16:$AC$192,H$1,FALSE)=H$8,"Y","N")</f>
        <v>N</v>
      </c>
      <c r="I3" s="14" t="str">
        <f>IF(VLOOKUP($C3,$C$16:$AC$192,I$1,FALSE)=I$8,"Y","N")</f>
        <v>Y</v>
      </c>
      <c r="J3" s="14" t="str">
        <f>IF(VLOOKUP($C3,$C$16:$AC$192,J$1,FALSE)=J$8,"Y","N")</f>
        <v>N</v>
      </c>
      <c r="K3" s="14" t="str">
        <f>IF(VLOOKUP($C3,$C$16:$AC$192,K$1,FALSE)=K$8,"Y","N")</f>
        <v>Y</v>
      </c>
      <c r="L3" s="14" t="str">
        <f>IF(VLOOKUP($C3,$C$16:$AC$192,L$1,FALSE)=L$8,"Y","N")</f>
        <v>Y</v>
      </c>
      <c r="M3" s="14" t="str">
        <f t="shared" si="5"/>
        <v>Y</v>
      </c>
      <c r="N3" s="14" t="str">
        <f t="shared" si="5"/>
        <v>Y</v>
      </c>
      <c r="O3" s="14" t="str">
        <f t="shared" si="5"/>
        <v>N</v>
      </c>
      <c r="P3" s="14" t="str">
        <f>IF(VLOOKUP($C3,$C$16:$AC$192,P$1,FALSE)=P$8,"Y","N")</f>
        <v>Y</v>
      </c>
      <c r="Q3" s="14" t="str">
        <f>IF(VLOOKUP($C3,$C$16:$AC$192,Q$1,FALSE)=Q$8,"Y","N")</f>
        <v>Y</v>
      </c>
      <c r="R3" s="14" t="str">
        <f>IF(VLOOKUP($C3,$C$16:$AC$192,R$1,FALSE)=R$8,"Y","N")</f>
        <v>N</v>
      </c>
      <c r="S3" s="14" t="str">
        <f>IF(VLOOKUP($C3,$C$16:$AC$192,S$1,FALSE)=S$8,"Y","N")</f>
        <v>N</v>
      </c>
      <c r="T3" s="18">
        <f>VLOOKUP($C3,$C$16:$AC$192,T$1,FALSE)</f>
        <v>8</v>
      </c>
      <c r="U3" s="18">
        <f>VLOOKUP($C3,$C$16:$AC$192,U$1,FALSE)</f>
        <v>110</v>
      </c>
      <c r="V3" s="44" t="str">
        <f>IF(COUNTIF($E3:S3,"Y")=T3,"","check")</f>
        <v/>
      </c>
      <c r="W3" s="23">
        <f t="shared" ref="W3:W14" si="7">W2+1</f>
        <v>2</v>
      </c>
      <c r="X3" s="12">
        <f t="shared" si="6"/>
        <v>0</v>
      </c>
      <c r="Y3" s="21">
        <f t="shared" si="4"/>
        <v>0</v>
      </c>
      <c r="Z3" s="33"/>
      <c r="AA3">
        <v>1</v>
      </c>
      <c r="AB3">
        <f t="shared" ref="AB3:AB66" si="8">COUNTIF(V$16:V$179,AA3)</f>
        <v>0</v>
      </c>
    </row>
    <row r="4" spans="1:28" x14ac:dyDescent="0.3">
      <c r="A4" s="2" t="s">
        <v>3</v>
      </c>
      <c r="C4" t="s">
        <v>205</v>
      </c>
      <c r="E4" s="9">
        <f>E5/SUM(E5:E6)</f>
        <v>0.56862745098039214</v>
      </c>
      <c r="F4" s="9">
        <f t="shared" ref="F4:S4" si="9">F5/SUM(F5:F6)</f>
        <v>0.3202614379084967</v>
      </c>
      <c r="G4" s="9">
        <f t="shared" si="9"/>
        <v>0.43790849673202614</v>
      </c>
      <c r="H4" s="9">
        <f t="shared" si="9"/>
        <v>0.43137254901960786</v>
      </c>
      <c r="I4" s="9">
        <f t="shared" si="9"/>
        <v>0.31372549019607843</v>
      </c>
      <c r="J4" s="9">
        <f t="shared" si="9"/>
        <v>0.38562091503267976</v>
      </c>
      <c r="K4" s="9">
        <f t="shared" si="9"/>
        <v>0.17647058823529413</v>
      </c>
      <c r="L4" s="9">
        <f t="shared" si="9"/>
        <v>0.60130718954248363</v>
      </c>
      <c r="M4" s="9">
        <f t="shared" ref="M4:O4" si="10">M5/SUM(M5:M6)</f>
        <v>0.77124183006535951</v>
      </c>
      <c r="N4" s="9">
        <f t="shared" si="10"/>
        <v>0.62091503267973858</v>
      </c>
      <c r="O4" s="9">
        <f t="shared" si="10"/>
        <v>0.56209150326797386</v>
      </c>
      <c r="P4" s="9">
        <f t="shared" si="9"/>
        <v>0.40522875816993464</v>
      </c>
      <c r="Q4" s="9">
        <f t="shared" si="9"/>
        <v>0.43790849673202614</v>
      </c>
      <c r="R4" s="9">
        <f t="shared" si="9"/>
        <v>0.71241830065359479</v>
      </c>
      <c r="S4" s="9">
        <f t="shared" si="9"/>
        <v>0.29411764705882354</v>
      </c>
      <c r="T4" s="10" t="s">
        <v>217</v>
      </c>
      <c r="U4" s="10" t="s">
        <v>218</v>
      </c>
      <c r="W4" s="23">
        <f t="shared" si="7"/>
        <v>3</v>
      </c>
      <c r="X4" s="12">
        <f t="shared" si="6"/>
        <v>0</v>
      </c>
      <c r="Y4" s="21">
        <f t="shared" si="4"/>
        <v>0</v>
      </c>
      <c r="Z4" s="33"/>
      <c r="AA4">
        <v>2</v>
      </c>
      <c r="AB4">
        <f t="shared" si="8"/>
        <v>0</v>
      </c>
    </row>
    <row r="5" spans="1:28" x14ac:dyDescent="0.3">
      <c r="A5" s="2" t="s">
        <v>0</v>
      </c>
      <c r="C5" t="s">
        <v>202</v>
      </c>
      <c r="D5">
        <f t="shared" ref="D5:S5" si="11">COUNTIF(D$16:D$197,D10)</f>
        <v>0</v>
      </c>
      <c r="E5">
        <f t="shared" si="11"/>
        <v>87</v>
      </c>
      <c r="F5">
        <f t="shared" si="11"/>
        <v>49</v>
      </c>
      <c r="G5">
        <f t="shared" si="11"/>
        <v>67</v>
      </c>
      <c r="H5">
        <f t="shared" si="11"/>
        <v>66</v>
      </c>
      <c r="I5">
        <f t="shared" si="11"/>
        <v>48</v>
      </c>
      <c r="J5">
        <f t="shared" si="11"/>
        <v>59</v>
      </c>
      <c r="K5">
        <f t="shared" si="11"/>
        <v>27</v>
      </c>
      <c r="L5">
        <f t="shared" si="11"/>
        <v>92</v>
      </c>
      <c r="M5">
        <f t="shared" ref="M5:O5" si="12">COUNTIF(M$16:M$197,M10)</f>
        <v>118</v>
      </c>
      <c r="N5">
        <f t="shared" si="12"/>
        <v>95</v>
      </c>
      <c r="O5">
        <f t="shared" si="12"/>
        <v>86</v>
      </c>
      <c r="P5">
        <f t="shared" si="11"/>
        <v>62</v>
      </c>
      <c r="Q5">
        <f t="shared" si="11"/>
        <v>67</v>
      </c>
      <c r="R5">
        <f t="shared" si="11"/>
        <v>109</v>
      </c>
      <c r="S5">
        <f t="shared" si="11"/>
        <v>45</v>
      </c>
      <c r="W5" s="23">
        <f t="shared" si="7"/>
        <v>4</v>
      </c>
      <c r="X5" s="12">
        <f t="shared" si="6"/>
        <v>3</v>
      </c>
      <c r="Y5" s="21">
        <f t="shared" si="4"/>
        <v>1.8749999999999999E-2</v>
      </c>
      <c r="Z5" s="33"/>
      <c r="AA5">
        <v>3</v>
      </c>
      <c r="AB5">
        <f t="shared" si="8"/>
        <v>0</v>
      </c>
    </row>
    <row r="6" spans="1:28" ht="15" thickBot="1" x14ac:dyDescent="0.35">
      <c r="A6" s="2" t="s">
        <v>4</v>
      </c>
      <c r="C6" t="s">
        <v>203</v>
      </c>
      <c r="D6">
        <f t="shared" ref="D6:S6" si="13">COUNTIF(D$16:D$197,D12)</f>
        <v>0</v>
      </c>
      <c r="E6">
        <f t="shared" si="13"/>
        <v>66</v>
      </c>
      <c r="F6">
        <f t="shared" si="13"/>
        <v>104</v>
      </c>
      <c r="G6">
        <f t="shared" si="13"/>
        <v>86</v>
      </c>
      <c r="H6">
        <f t="shared" si="13"/>
        <v>87</v>
      </c>
      <c r="I6">
        <f t="shared" si="13"/>
        <v>105</v>
      </c>
      <c r="J6">
        <f t="shared" si="13"/>
        <v>94</v>
      </c>
      <c r="K6">
        <f t="shared" si="13"/>
        <v>126</v>
      </c>
      <c r="L6">
        <f t="shared" si="13"/>
        <v>61</v>
      </c>
      <c r="M6">
        <f t="shared" ref="M6:O6" si="14">COUNTIF(M$16:M$197,M12)</f>
        <v>35</v>
      </c>
      <c r="N6">
        <f t="shared" si="14"/>
        <v>58</v>
      </c>
      <c r="O6">
        <f t="shared" si="14"/>
        <v>67</v>
      </c>
      <c r="P6">
        <f t="shared" si="13"/>
        <v>91</v>
      </c>
      <c r="Q6">
        <f t="shared" si="13"/>
        <v>86</v>
      </c>
      <c r="R6">
        <f t="shared" si="13"/>
        <v>44</v>
      </c>
      <c r="S6">
        <f t="shared" si="13"/>
        <v>108</v>
      </c>
      <c r="W6" s="23">
        <f t="shared" si="7"/>
        <v>5</v>
      </c>
      <c r="X6" s="12">
        <f t="shared" si="6"/>
        <v>9</v>
      </c>
      <c r="Y6" s="21">
        <f t="shared" si="4"/>
        <v>5.6250000000000001E-2</v>
      </c>
      <c r="Z6" s="33"/>
      <c r="AA6">
        <f>AA5+1</f>
        <v>4</v>
      </c>
      <c r="AB6">
        <f t="shared" si="8"/>
        <v>0</v>
      </c>
    </row>
    <row r="7" spans="1:28" ht="15" thickBot="1" x14ac:dyDescent="0.35">
      <c r="A7" s="2"/>
      <c r="C7" t="s">
        <v>213</v>
      </c>
      <c r="E7" s="28" t="str">
        <f>IF(AND(E10=E8,E4&gt;0.5),"Y",IF(AND(E10=E8,E4&lt;0.5),"N",IF(E4&gt;0.5,"Y","N")))</f>
        <v>Y</v>
      </c>
      <c r="F7" s="11" t="str">
        <f>IF(AND(F10=F8,F4&gt;0.5),"Y",IF(AND(F10=F8,F4&lt;0.5),"N",IF(F4&gt;0.5,"Y","N")))</f>
        <v>N</v>
      </c>
      <c r="G7" s="11" t="str">
        <f t="shared" ref="G7:S7" si="15">IF(AND(G10=G8,G4&gt;0.5),"Y",IF(AND(G10=G8,G4&lt;0.5),"N",IF(G4&lt;0.5,"Y","N")))</f>
        <v>N</v>
      </c>
      <c r="H7" s="11" t="str">
        <f t="shared" si="15"/>
        <v>Y</v>
      </c>
      <c r="I7" s="11" t="str">
        <f t="shared" si="15"/>
        <v>N</v>
      </c>
      <c r="J7" s="11" t="str">
        <f t="shared" si="15"/>
        <v>Y</v>
      </c>
      <c r="K7" s="11" t="str">
        <f t="shared" si="15"/>
        <v>Y</v>
      </c>
      <c r="L7" s="11" t="str">
        <f t="shared" si="15"/>
        <v>Y</v>
      </c>
      <c r="M7" s="11" t="str">
        <f t="shared" ref="M7:O7" si="16">IF(AND(M10=M8,M4&gt;0.5),"Y",IF(AND(M10=M8,M4&lt;0.5),"N",IF(M4&lt;0.5,"Y","N")))</f>
        <v>Y</v>
      </c>
      <c r="N7" s="11" t="str">
        <f t="shared" si="16"/>
        <v>N</v>
      </c>
      <c r="O7" s="11" t="str">
        <f t="shared" si="16"/>
        <v>N</v>
      </c>
      <c r="P7" s="11" t="str">
        <f t="shared" si="15"/>
        <v>N</v>
      </c>
      <c r="Q7" s="11" t="str">
        <f t="shared" si="15"/>
        <v>Y</v>
      </c>
      <c r="R7" s="11" t="str">
        <f t="shared" si="15"/>
        <v>Y</v>
      </c>
      <c r="S7" s="29" t="str">
        <f t="shared" si="15"/>
        <v>Y</v>
      </c>
      <c r="T7" s="37" t="s">
        <v>220</v>
      </c>
      <c r="U7" s="38">
        <f>COUNTIF(C7:S7,"Y")</f>
        <v>9</v>
      </c>
      <c r="W7" s="34">
        <f t="shared" si="7"/>
        <v>6</v>
      </c>
      <c r="X7" s="35">
        <f t="shared" si="6"/>
        <v>12</v>
      </c>
      <c r="Y7" s="36">
        <f t="shared" si="4"/>
        <v>7.4999999999999997E-2</v>
      </c>
      <c r="Z7" s="33"/>
      <c r="AA7">
        <f t="shared" ref="AA7:AA70" si="17">AA6+1</f>
        <v>5</v>
      </c>
      <c r="AB7">
        <f t="shared" si="8"/>
        <v>0</v>
      </c>
    </row>
    <row r="8" spans="1:28" ht="15" thickBot="1" x14ac:dyDescent="0.35">
      <c r="A8" s="2"/>
      <c r="C8" t="s">
        <v>212</v>
      </c>
      <c r="E8" s="30" t="s">
        <v>70</v>
      </c>
      <c r="F8" s="31" t="s">
        <v>210</v>
      </c>
      <c r="G8" s="31" t="s">
        <v>57</v>
      </c>
      <c r="H8" s="31" t="s">
        <v>74</v>
      </c>
      <c r="I8" s="31" t="s">
        <v>58</v>
      </c>
      <c r="J8" s="31" t="s">
        <v>52</v>
      </c>
      <c r="K8" s="31" t="s">
        <v>73</v>
      </c>
      <c r="L8" s="31" t="s">
        <v>55</v>
      </c>
      <c r="M8" s="31" t="s">
        <v>64</v>
      </c>
      <c r="N8" s="31" t="s">
        <v>75</v>
      </c>
      <c r="O8" s="31" t="s">
        <v>59</v>
      </c>
      <c r="P8" s="31" t="s">
        <v>60</v>
      </c>
      <c r="Q8" s="31" t="s">
        <v>54</v>
      </c>
      <c r="R8" s="31" t="s">
        <v>207</v>
      </c>
      <c r="S8" s="32" t="s">
        <v>69</v>
      </c>
      <c r="W8" s="23">
        <f t="shared" si="7"/>
        <v>7</v>
      </c>
      <c r="X8" s="12">
        <f t="shared" si="6"/>
        <v>25</v>
      </c>
      <c r="Y8" s="21">
        <f t="shared" si="4"/>
        <v>0.15625</v>
      </c>
      <c r="Z8" s="33"/>
      <c r="AA8">
        <f t="shared" si="17"/>
        <v>6</v>
      </c>
      <c r="AB8">
        <f t="shared" si="8"/>
        <v>0</v>
      </c>
    </row>
    <row r="9" spans="1:28" x14ac:dyDescent="0.3">
      <c r="A9" s="47" t="s">
        <v>46</v>
      </c>
      <c r="B9" s="47"/>
      <c r="C9" s="2" t="s">
        <v>0</v>
      </c>
      <c r="D9" s="7">
        <v>6</v>
      </c>
      <c r="E9" s="7">
        <v>14</v>
      </c>
      <c r="F9" s="7">
        <v>7</v>
      </c>
      <c r="G9" s="7">
        <v>20</v>
      </c>
      <c r="H9" s="7">
        <v>25</v>
      </c>
      <c r="I9" s="7">
        <v>19</v>
      </c>
      <c r="J9" s="7">
        <v>14</v>
      </c>
      <c r="K9" s="7">
        <v>27</v>
      </c>
      <c r="L9" s="7">
        <v>30</v>
      </c>
      <c r="M9" s="7">
        <v>31</v>
      </c>
      <c r="N9" s="7">
        <v>42</v>
      </c>
      <c r="O9" s="7">
        <v>17</v>
      </c>
      <c r="P9" s="7">
        <v>27</v>
      </c>
      <c r="Q9" s="7">
        <v>13</v>
      </c>
      <c r="R9" s="7">
        <v>30</v>
      </c>
      <c r="S9" s="7">
        <v>9</v>
      </c>
      <c r="T9" s="47" t="s">
        <v>76</v>
      </c>
      <c r="U9" s="47" t="s">
        <v>77</v>
      </c>
      <c r="V9" s="8" t="s">
        <v>232</v>
      </c>
      <c r="W9" s="23">
        <f t="shared" si="7"/>
        <v>8</v>
      </c>
      <c r="X9" s="12">
        <f t="shared" si="6"/>
        <v>29</v>
      </c>
      <c r="Y9" s="21">
        <f t="shared" si="4"/>
        <v>0.18124999999999999</v>
      </c>
      <c r="Z9" s="33"/>
      <c r="AA9">
        <f t="shared" si="17"/>
        <v>7</v>
      </c>
      <c r="AB9">
        <f t="shared" si="8"/>
        <v>0</v>
      </c>
    </row>
    <row r="10" spans="1:28" x14ac:dyDescent="0.3">
      <c r="A10" s="47"/>
      <c r="B10" s="47"/>
      <c r="C10" s="2" t="s">
        <v>1</v>
      </c>
      <c r="D10" s="7" t="s">
        <v>48</v>
      </c>
      <c r="E10" s="7" t="s">
        <v>68</v>
      </c>
      <c r="F10" s="7" t="s">
        <v>61</v>
      </c>
      <c r="G10" s="7" t="s">
        <v>57</v>
      </c>
      <c r="H10" s="7" t="s">
        <v>51</v>
      </c>
      <c r="I10" s="7" t="s">
        <v>58</v>
      </c>
      <c r="J10" s="7" t="s">
        <v>72</v>
      </c>
      <c r="K10" s="7" t="s">
        <v>62</v>
      </c>
      <c r="L10" s="7" t="s">
        <v>55</v>
      </c>
      <c r="M10" s="7" t="s">
        <v>64</v>
      </c>
      <c r="N10" s="7" t="s">
        <v>71</v>
      </c>
      <c r="O10" s="7" t="s">
        <v>65</v>
      </c>
      <c r="P10" s="7" t="s">
        <v>60</v>
      </c>
      <c r="Q10" s="7" t="s">
        <v>47</v>
      </c>
      <c r="R10" s="7" t="s">
        <v>207</v>
      </c>
      <c r="S10" s="7" t="s">
        <v>66</v>
      </c>
      <c r="T10" s="47"/>
      <c r="U10" s="47"/>
      <c r="V10" s="8" t="s">
        <v>77</v>
      </c>
      <c r="W10" s="23">
        <f t="shared" si="7"/>
        <v>9</v>
      </c>
      <c r="X10" s="12">
        <f t="shared" si="6"/>
        <v>28</v>
      </c>
      <c r="Y10" s="21">
        <f t="shared" si="4"/>
        <v>0.17499999999999999</v>
      </c>
      <c r="Z10" s="33"/>
      <c r="AA10">
        <f t="shared" si="17"/>
        <v>8</v>
      </c>
      <c r="AB10">
        <f t="shared" si="8"/>
        <v>0</v>
      </c>
    </row>
    <row r="11" spans="1:28" x14ac:dyDescent="0.3">
      <c r="A11" s="47"/>
      <c r="B11" s="47"/>
      <c r="C11" s="2" t="s">
        <v>2</v>
      </c>
      <c r="D11" s="7">
        <v>-2.5</v>
      </c>
      <c r="E11" s="7">
        <v>-1</v>
      </c>
      <c r="F11" s="7">
        <v>4</v>
      </c>
      <c r="G11" s="7">
        <v>-3</v>
      </c>
      <c r="H11" s="7">
        <v>3.5</v>
      </c>
      <c r="I11" s="7">
        <v>7.5</v>
      </c>
      <c r="J11" s="7">
        <v>15</v>
      </c>
      <c r="K11" s="7">
        <v>4.5</v>
      </c>
      <c r="L11" s="7">
        <v>-6</v>
      </c>
      <c r="M11" s="7">
        <v>-4</v>
      </c>
      <c r="N11" s="7">
        <v>-1.5</v>
      </c>
      <c r="O11" s="7">
        <v>-3</v>
      </c>
      <c r="P11" s="7">
        <v>-5</v>
      </c>
      <c r="Q11" s="7">
        <v>3</v>
      </c>
      <c r="R11" s="7">
        <v>-7</v>
      </c>
      <c r="S11" s="7">
        <v>4.5</v>
      </c>
      <c r="T11" s="47"/>
      <c r="U11" s="47"/>
      <c r="V11" s="8">
        <v>-24</v>
      </c>
      <c r="W11" s="23">
        <f t="shared" si="7"/>
        <v>10</v>
      </c>
      <c r="X11" s="12">
        <f t="shared" si="6"/>
        <v>21</v>
      </c>
      <c r="Y11" s="21">
        <f t="shared" si="4"/>
        <v>0.13125000000000001</v>
      </c>
      <c r="Z11" s="33"/>
      <c r="AA11">
        <f t="shared" si="17"/>
        <v>9</v>
      </c>
      <c r="AB11">
        <f t="shared" si="8"/>
        <v>0</v>
      </c>
    </row>
    <row r="12" spans="1:28" x14ac:dyDescent="0.3">
      <c r="A12" s="47"/>
      <c r="B12" s="47"/>
      <c r="C12" s="2" t="s">
        <v>3</v>
      </c>
      <c r="D12" s="7" t="s">
        <v>209</v>
      </c>
      <c r="E12" s="7" t="s">
        <v>70</v>
      </c>
      <c r="F12" s="7" t="s">
        <v>210</v>
      </c>
      <c r="G12" s="7" t="s">
        <v>208</v>
      </c>
      <c r="H12" s="7" t="s">
        <v>74</v>
      </c>
      <c r="I12" s="7" t="s">
        <v>53</v>
      </c>
      <c r="J12" s="7" t="s">
        <v>52</v>
      </c>
      <c r="K12" s="7" t="s">
        <v>73</v>
      </c>
      <c r="L12" s="7" t="s">
        <v>56</v>
      </c>
      <c r="M12" s="7" t="s">
        <v>63</v>
      </c>
      <c r="N12" s="7" t="s">
        <v>75</v>
      </c>
      <c r="O12" s="7" t="s">
        <v>59</v>
      </c>
      <c r="P12" s="7" t="s">
        <v>67</v>
      </c>
      <c r="Q12" s="7" t="s">
        <v>54</v>
      </c>
      <c r="R12" s="7" t="s">
        <v>50</v>
      </c>
      <c r="S12" s="7" t="s">
        <v>69</v>
      </c>
      <c r="T12" s="47"/>
      <c r="U12" s="47"/>
      <c r="V12" s="8"/>
      <c r="W12" s="23">
        <f t="shared" si="7"/>
        <v>11</v>
      </c>
      <c r="X12" s="12">
        <f t="shared" si="6"/>
        <v>21</v>
      </c>
      <c r="Y12" s="21">
        <f t="shared" si="4"/>
        <v>0.13125000000000001</v>
      </c>
      <c r="Z12" s="33"/>
      <c r="AA12">
        <f t="shared" si="17"/>
        <v>10</v>
      </c>
      <c r="AB12">
        <f t="shared" si="8"/>
        <v>0</v>
      </c>
    </row>
    <row r="13" spans="1:28" x14ac:dyDescent="0.3">
      <c r="A13" s="47"/>
      <c r="B13" s="47"/>
      <c r="C13" s="2" t="s">
        <v>0</v>
      </c>
      <c r="D13" s="7">
        <v>12</v>
      </c>
      <c r="E13" s="7">
        <v>30</v>
      </c>
      <c r="F13" s="7">
        <v>21</v>
      </c>
      <c r="G13" s="7">
        <v>12</v>
      </c>
      <c r="H13" s="7">
        <v>32</v>
      </c>
      <c r="I13" s="7">
        <v>20</v>
      </c>
      <c r="J13" s="7">
        <v>35</v>
      </c>
      <c r="K13" s="7">
        <v>37</v>
      </c>
      <c r="L13" s="7">
        <v>17</v>
      </c>
      <c r="M13" s="7">
        <v>13</v>
      </c>
      <c r="N13" s="7">
        <v>48</v>
      </c>
      <c r="O13" s="7">
        <v>40</v>
      </c>
      <c r="P13" s="7">
        <v>13</v>
      </c>
      <c r="Q13" s="7">
        <v>30</v>
      </c>
      <c r="R13" s="7">
        <v>12</v>
      </c>
      <c r="S13" s="7">
        <v>15</v>
      </c>
      <c r="T13" s="47"/>
      <c r="U13" s="47"/>
      <c r="V13" s="8"/>
      <c r="W13" s="23">
        <f t="shared" si="7"/>
        <v>12</v>
      </c>
      <c r="X13" s="12">
        <f t="shared" si="6"/>
        <v>2</v>
      </c>
      <c r="Y13" s="21">
        <f t="shared" si="4"/>
        <v>1.2500000000000001E-2</v>
      </c>
      <c r="Z13" s="33"/>
      <c r="AA13">
        <f t="shared" si="17"/>
        <v>11</v>
      </c>
      <c r="AB13">
        <f t="shared" si="8"/>
        <v>0</v>
      </c>
    </row>
    <row r="14" spans="1:28" ht="15" thickBot="1" x14ac:dyDescent="0.35">
      <c r="A14" s="47"/>
      <c r="B14" s="47"/>
      <c r="C14" s="2" t="s">
        <v>4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47"/>
      <c r="U14" s="47"/>
      <c r="V14" s="8"/>
      <c r="W14" s="17">
        <f t="shared" si="7"/>
        <v>13</v>
      </c>
      <c r="X14" s="14">
        <f t="shared" si="6"/>
        <v>3</v>
      </c>
      <c r="Y14" s="22">
        <f t="shared" si="4"/>
        <v>1.8749999999999999E-2</v>
      </c>
      <c r="Z14" s="33"/>
      <c r="AA14">
        <f t="shared" si="17"/>
        <v>12</v>
      </c>
      <c r="AB14">
        <f t="shared" si="8"/>
        <v>0</v>
      </c>
    </row>
    <row r="15" spans="1:28" ht="28.8" x14ac:dyDescent="0.3">
      <c r="A15" s="47"/>
      <c r="B15" s="47"/>
      <c r="C15" s="2" t="s">
        <v>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47"/>
      <c r="U15" s="47"/>
      <c r="V15" s="8"/>
      <c r="AA15">
        <f t="shared" si="17"/>
        <v>13</v>
      </c>
      <c r="AB15">
        <f t="shared" si="8"/>
        <v>0</v>
      </c>
    </row>
    <row r="16" spans="1:28" x14ac:dyDescent="0.3">
      <c r="A16" s="48">
        <v>1</v>
      </c>
      <c r="B16" s="4"/>
      <c r="C16" s="6" t="s">
        <v>129</v>
      </c>
      <c r="D16" s="5"/>
      <c r="E16" s="5" t="s">
        <v>70</v>
      </c>
      <c r="F16" s="5" t="s">
        <v>210</v>
      </c>
      <c r="G16" s="5" t="s">
        <v>208</v>
      </c>
      <c r="H16" s="5" t="s">
        <v>74</v>
      </c>
      <c r="I16" s="5" t="s">
        <v>58</v>
      </c>
      <c r="J16" s="5" t="s">
        <v>52</v>
      </c>
      <c r="K16" s="5" t="s">
        <v>73</v>
      </c>
      <c r="L16" s="5" t="s">
        <v>55</v>
      </c>
      <c r="M16" s="5" t="s">
        <v>64</v>
      </c>
      <c r="N16" s="5" t="s">
        <v>75</v>
      </c>
      <c r="O16" s="5" t="s">
        <v>59</v>
      </c>
      <c r="P16" s="5" t="s">
        <v>60</v>
      </c>
      <c r="Q16" s="5" t="s">
        <v>54</v>
      </c>
      <c r="R16" s="5" t="s">
        <v>50</v>
      </c>
      <c r="S16" s="5" t="s">
        <v>69</v>
      </c>
      <c r="T16" s="1">
        <v>13</v>
      </c>
      <c r="U16" s="1">
        <v>123</v>
      </c>
      <c r="V16" s="1">
        <v>32</v>
      </c>
      <c r="AA16">
        <f t="shared" si="17"/>
        <v>14</v>
      </c>
      <c r="AB16">
        <f t="shared" si="8"/>
        <v>0</v>
      </c>
    </row>
    <row r="17" spans="1:28" x14ac:dyDescent="0.3">
      <c r="A17" s="48">
        <v>2</v>
      </c>
      <c r="B17" s="4"/>
      <c r="C17" s="6" t="s">
        <v>161</v>
      </c>
      <c r="D17" s="5"/>
      <c r="E17" s="5" t="s">
        <v>68</v>
      </c>
      <c r="F17" s="5" t="s">
        <v>210</v>
      </c>
      <c r="G17" s="5" t="s">
        <v>57</v>
      </c>
      <c r="H17" s="5" t="s">
        <v>74</v>
      </c>
      <c r="I17" s="5" t="s">
        <v>58</v>
      </c>
      <c r="J17" s="5" t="s">
        <v>52</v>
      </c>
      <c r="K17" s="5" t="s">
        <v>73</v>
      </c>
      <c r="L17" s="5" t="s">
        <v>55</v>
      </c>
      <c r="M17" s="5" t="s">
        <v>64</v>
      </c>
      <c r="N17" s="5" t="s">
        <v>75</v>
      </c>
      <c r="O17" s="5" t="s">
        <v>59</v>
      </c>
      <c r="P17" s="5" t="s">
        <v>67</v>
      </c>
      <c r="Q17" s="5" t="s">
        <v>54</v>
      </c>
      <c r="R17" s="5" t="s">
        <v>207</v>
      </c>
      <c r="S17" s="5" t="s">
        <v>69</v>
      </c>
      <c r="T17" s="1">
        <v>13</v>
      </c>
      <c r="U17" s="1">
        <v>111</v>
      </c>
      <c r="V17" s="1">
        <v>42</v>
      </c>
      <c r="AA17">
        <f t="shared" si="17"/>
        <v>15</v>
      </c>
      <c r="AB17">
        <f t="shared" si="8"/>
        <v>0</v>
      </c>
    </row>
    <row r="18" spans="1:28" x14ac:dyDescent="0.3">
      <c r="A18" s="48">
        <v>3</v>
      </c>
      <c r="B18" s="4"/>
      <c r="C18" s="6" t="s">
        <v>83</v>
      </c>
      <c r="D18" s="5"/>
      <c r="E18" s="5" t="s">
        <v>70</v>
      </c>
      <c r="F18" s="5" t="s">
        <v>210</v>
      </c>
      <c r="G18" s="5" t="s">
        <v>57</v>
      </c>
      <c r="H18" s="5" t="s">
        <v>74</v>
      </c>
      <c r="I18" s="5" t="s">
        <v>53</v>
      </c>
      <c r="J18" s="5" t="s">
        <v>52</v>
      </c>
      <c r="K18" s="5" t="s">
        <v>73</v>
      </c>
      <c r="L18" s="5" t="s">
        <v>55</v>
      </c>
      <c r="M18" s="5" t="s">
        <v>64</v>
      </c>
      <c r="N18" s="5" t="s">
        <v>75</v>
      </c>
      <c r="O18" s="5" t="s">
        <v>65</v>
      </c>
      <c r="P18" s="5" t="s">
        <v>60</v>
      </c>
      <c r="Q18" s="5" t="s">
        <v>54</v>
      </c>
      <c r="R18" s="5" t="s">
        <v>207</v>
      </c>
      <c r="S18" s="5" t="s">
        <v>69</v>
      </c>
      <c r="T18" s="1">
        <v>13</v>
      </c>
      <c r="U18" s="1">
        <v>120</v>
      </c>
      <c r="V18" s="1">
        <v>43</v>
      </c>
      <c r="AA18">
        <f t="shared" si="17"/>
        <v>16</v>
      </c>
      <c r="AB18">
        <f t="shared" si="8"/>
        <v>0</v>
      </c>
    </row>
    <row r="19" spans="1:28" ht="28.8" x14ac:dyDescent="0.3">
      <c r="A19" s="48">
        <v>4</v>
      </c>
      <c r="B19" s="4"/>
      <c r="C19" s="6" t="s">
        <v>8</v>
      </c>
      <c r="D19" s="5"/>
      <c r="E19" s="5" t="s">
        <v>70</v>
      </c>
      <c r="F19" s="5" t="s">
        <v>210</v>
      </c>
      <c r="G19" s="5" t="s">
        <v>57</v>
      </c>
      <c r="H19" s="5" t="s">
        <v>51</v>
      </c>
      <c r="I19" s="5" t="s">
        <v>53</v>
      </c>
      <c r="J19" s="5" t="s">
        <v>52</v>
      </c>
      <c r="K19" s="5" t="s">
        <v>73</v>
      </c>
      <c r="L19" s="5" t="s">
        <v>55</v>
      </c>
      <c r="M19" s="5" t="s">
        <v>64</v>
      </c>
      <c r="N19" s="5" t="s">
        <v>75</v>
      </c>
      <c r="O19" s="5" t="s">
        <v>65</v>
      </c>
      <c r="P19" s="5" t="s">
        <v>60</v>
      </c>
      <c r="Q19" s="5" t="s">
        <v>54</v>
      </c>
      <c r="R19" s="5" t="s">
        <v>207</v>
      </c>
      <c r="S19" s="5" t="s">
        <v>69</v>
      </c>
      <c r="T19" s="1">
        <v>12</v>
      </c>
      <c r="U19" s="1">
        <v>110</v>
      </c>
      <c r="V19" s="1">
        <v>34</v>
      </c>
      <c r="AA19">
        <f t="shared" si="17"/>
        <v>17</v>
      </c>
      <c r="AB19">
        <f t="shared" si="8"/>
        <v>0</v>
      </c>
    </row>
    <row r="20" spans="1:28" ht="28.8" x14ac:dyDescent="0.3">
      <c r="A20" s="48">
        <v>5</v>
      </c>
      <c r="B20" s="4"/>
      <c r="C20" s="6" t="s">
        <v>185</v>
      </c>
      <c r="D20" s="5"/>
      <c r="E20" s="5" t="s">
        <v>68</v>
      </c>
      <c r="F20" s="5" t="s">
        <v>210</v>
      </c>
      <c r="G20" s="5" t="s">
        <v>57</v>
      </c>
      <c r="H20" s="5" t="s">
        <v>74</v>
      </c>
      <c r="I20" s="5" t="s">
        <v>58</v>
      </c>
      <c r="J20" s="5" t="s">
        <v>52</v>
      </c>
      <c r="K20" s="5" t="s">
        <v>73</v>
      </c>
      <c r="L20" s="5" t="s">
        <v>55</v>
      </c>
      <c r="M20" s="5" t="s">
        <v>63</v>
      </c>
      <c r="N20" s="5" t="s">
        <v>71</v>
      </c>
      <c r="O20" s="5" t="s">
        <v>59</v>
      </c>
      <c r="P20" s="5" t="s">
        <v>60</v>
      </c>
      <c r="Q20" s="5" t="s">
        <v>54</v>
      </c>
      <c r="R20" s="5" t="s">
        <v>207</v>
      </c>
      <c r="S20" s="5" t="s">
        <v>69</v>
      </c>
      <c r="T20" s="1">
        <v>12</v>
      </c>
      <c r="U20" s="1">
        <v>110</v>
      </c>
      <c r="V20" s="1">
        <v>46</v>
      </c>
      <c r="AA20">
        <f t="shared" si="17"/>
        <v>18</v>
      </c>
      <c r="AB20">
        <f t="shared" si="8"/>
        <v>1</v>
      </c>
    </row>
    <row r="21" spans="1:28" x14ac:dyDescent="0.3">
      <c r="A21" s="48">
        <v>6</v>
      </c>
      <c r="B21" s="4"/>
      <c r="C21" s="6" t="s">
        <v>42</v>
      </c>
      <c r="D21" s="5"/>
      <c r="E21" s="5" t="s">
        <v>68</v>
      </c>
      <c r="F21" s="5" t="s">
        <v>210</v>
      </c>
      <c r="G21" s="5" t="s">
        <v>57</v>
      </c>
      <c r="H21" s="5" t="s">
        <v>74</v>
      </c>
      <c r="I21" s="5" t="s">
        <v>53</v>
      </c>
      <c r="J21" s="5" t="s">
        <v>52</v>
      </c>
      <c r="K21" s="5" t="s">
        <v>73</v>
      </c>
      <c r="L21" s="5" t="s">
        <v>55</v>
      </c>
      <c r="M21" s="5" t="s">
        <v>64</v>
      </c>
      <c r="N21" s="5" t="s">
        <v>71</v>
      </c>
      <c r="O21" s="5" t="s">
        <v>59</v>
      </c>
      <c r="P21" s="5" t="s">
        <v>60</v>
      </c>
      <c r="Q21" s="5" t="s">
        <v>47</v>
      </c>
      <c r="R21" s="5" t="s">
        <v>207</v>
      </c>
      <c r="S21" s="5" t="s">
        <v>69</v>
      </c>
      <c r="T21" s="1">
        <v>11</v>
      </c>
      <c r="U21" s="1">
        <v>109</v>
      </c>
      <c r="V21" s="1">
        <v>32</v>
      </c>
      <c r="AA21">
        <f t="shared" si="17"/>
        <v>19</v>
      </c>
      <c r="AB21">
        <f t="shared" si="8"/>
        <v>0</v>
      </c>
    </row>
    <row r="22" spans="1:28" x14ac:dyDescent="0.3">
      <c r="A22" s="48">
        <v>7</v>
      </c>
      <c r="B22" s="4"/>
      <c r="C22" s="6" t="s">
        <v>37</v>
      </c>
      <c r="D22" s="5"/>
      <c r="E22" s="5" t="s">
        <v>70</v>
      </c>
      <c r="F22" s="5" t="s">
        <v>210</v>
      </c>
      <c r="G22" s="5" t="s">
        <v>57</v>
      </c>
      <c r="H22" s="5" t="s">
        <v>74</v>
      </c>
      <c r="I22" s="5" t="s">
        <v>58</v>
      </c>
      <c r="J22" s="5" t="s">
        <v>72</v>
      </c>
      <c r="K22" s="5" t="s">
        <v>73</v>
      </c>
      <c r="L22" s="5" t="s">
        <v>56</v>
      </c>
      <c r="M22" s="5" t="s">
        <v>64</v>
      </c>
      <c r="N22" s="5" t="s">
        <v>71</v>
      </c>
      <c r="O22" s="5" t="s">
        <v>65</v>
      </c>
      <c r="P22" s="5" t="s">
        <v>60</v>
      </c>
      <c r="Q22" s="5" t="s">
        <v>54</v>
      </c>
      <c r="R22" s="5" t="s">
        <v>207</v>
      </c>
      <c r="S22" s="5" t="s">
        <v>69</v>
      </c>
      <c r="T22" s="1">
        <v>11</v>
      </c>
      <c r="U22" s="1">
        <v>114</v>
      </c>
      <c r="V22" s="1">
        <v>34</v>
      </c>
      <c r="AA22">
        <f t="shared" si="17"/>
        <v>20</v>
      </c>
      <c r="AB22">
        <f t="shared" si="8"/>
        <v>0</v>
      </c>
    </row>
    <row r="23" spans="1:28" ht="28.8" x14ac:dyDescent="0.3">
      <c r="A23" s="48">
        <v>8</v>
      </c>
      <c r="B23" s="4"/>
      <c r="C23" s="6" t="s">
        <v>198</v>
      </c>
      <c r="D23" s="5"/>
      <c r="E23" s="5" t="s">
        <v>70</v>
      </c>
      <c r="F23" s="5" t="s">
        <v>210</v>
      </c>
      <c r="G23" s="5" t="s">
        <v>208</v>
      </c>
      <c r="H23" s="5" t="s">
        <v>51</v>
      </c>
      <c r="I23" s="5" t="s">
        <v>53</v>
      </c>
      <c r="J23" s="5" t="s">
        <v>52</v>
      </c>
      <c r="K23" s="5" t="s">
        <v>73</v>
      </c>
      <c r="L23" s="5" t="s">
        <v>55</v>
      </c>
      <c r="M23" s="5" t="s">
        <v>64</v>
      </c>
      <c r="N23" s="5" t="s">
        <v>75</v>
      </c>
      <c r="O23" s="5" t="s">
        <v>65</v>
      </c>
      <c r="P23" s="5" t="s">
        <v>60</v>
      </c>
      <c r="Q23" s="5" t="s">
        <v>54</v>
      </c>
      <c r="R23" s="5" t="s">
        <v>207</v>
      </c>
      <c r="S23" s="5" t="s">
        <v>69</v>
      </c>
      <c r="T23" s="1">
        <v>11</v>
      </c>
      <c r="U23" s="1">
        <v>98</v>
      </c>
      <c r="V23" s="1">
        <v>35</v>
      </c>
      <c r="AA23">
        <f t="shared" si="17"/>
        <v>21</v>
      </c>
      <c r="AB23">
        <f t="shared" si="8"/>
        <v>0</v>
      </c>
    </row>
    <row r="24" spans="1:28" x14ac:dyDescent="0.3">
      <c r="A24" s="48">
        <v>9</v>
      </c>
      <c r="B24" s="4"/>
      <c r="C24" s="6" t="s">
        <v>23</v>
      </c>
      <c r="D24" s="5"/>
      <c r="E24" s="5" t="s">
        <v>70</v>
      </c>
      <c r="F24" s="5" t="s">
        <v>210</v>
      </c>
      <c r="G24" s="5" t="s">
        <v>208</v>
      </c>
      <c r="H24" s="5" t="s">
        <v>74</v>
      </c>
      <c r="I24" s="5" t="s">
        <v>53</v>
      </c>
      <c r="J24" s="5" t="s">
        <v>52</v>
      </c>
      <c r="K24" s="5" t="s">
        <v>73</v>
      </c>
      <c r="L24" s="5" t="s">
        <v>55</v>
      </c>
      <c r="M24" s="5" t="s">
        <v>64</v>
      </c>
      <c r="N24" s="5" t="s">
        <v>71</v>
      </c>
      <c r="O24" s="5" t="s">
        <v>59</v>
      </c>
      <c r="P24" s="5" t="s">
        <v>67</v>
      </c>
      <c r="Q24" s="5" t="s">
        <v>54</v>
      </c>
      <c r="R24" s="5" t="s">
        <v>207</v>
      </c>
      <c r="S24" s="5" t="s">
        <v>69</v>
      </c>
      <c r="T24" s="1">
        <v>11</v>
      </c>
      <c r="U24" s="1">
        <v>108</v>
      </c>
      <c r="V24" s="1">
        <v>37</v>
      </c>
      <c r="AA24">
        <f t="shared" si="17"/>
        <v>22</v>
      </c>
      <c r="AB24">
        <f t="shared" si="8"/>
        <v>0</v>
      </c>
    </row>
    <row r="25" spans="1:28" ht="28.8" x14ac:dyDescent="0.3">
      <c r="A25" s="48">
        <v>10</v>
      </c>
      <c r="B25" s="4"/>
      <c r="C25" s="6" t="s">
        <v>115</v>
      </c>
      <c r="D25" s="5"/>
      <c r="E25" s="5" t="s">
        <v>70</v>
      </c>
      <c r="F25" s="5" t="s">
        <v>210</v>
      </c>
      <c r="G25" s="5" t="s">
        <v>208</v>
      </c>
      <c r="H25" s="5" t="s">
        <v>74</v>
      </c>
      <c r="I25" s="5" t="s">
        <v>53</v>
      </c>
      <c r="J25" s="5" t="s">
        <v>72</v>
      </c>
      <c r="K25" s="5" t="s">
        <v>73</v>
      </c>
      <c r="L25" s="5" t="s">
        <v>55</v>
      </c>
      <c r="M25" s="5" t="s">
        <v>64</v>
      </c>
      <c r="N25" s="5" t="s">
        <v>75</v>
      </c>
      <c r="O25" s="5" t="s">
        <v>59</v>
      </c>
      <c r="P25" s="5" t="s">
        <v>60</v>
      </c>
      <c r="Q25" s="5" t="s">
        <v>54</v>
      </c>
      <c r="R25" s="5" t="s">
        <v>207</v>
      </c>
      <c r="S25" s="5" t="s">
        <v>66</v>
      </c>
      <c r="T25" s="1">
        <v>11</v>
      </c>
      <c r="U25" s="1">
        <v>98</v>
      </c>
      <c r="V25" s="1">
        <v>39</v>
      </c>
      <c r="AA25">
        <f t="shared" si="17"/>
        <v>23</v>
      </c>
      <c r="AB25">
        <f t="shared" si="8"/>
        <v>0</v>
      </c>
    </row>
    <row r="26" spans="1:28" ht="28.8" x14ac:dyDescent="0.3">
      <c r="A26" s="48">
        <v>11</v>
      </c>
      <c r="B26" s="4"/>
      <c r="C26" s="6" t="s">
        <v>29</v>
      </c>
      <c r="D26" s="5"/>
      <c r="E26" s="5" t="s">
        <v>70</v>
      </c>
      <c r="F26" s="5" t="s">
        <v>210</v>
      </c>
      <c r="G26" s="5" t="s">
        <v>208</v>
      </c>
      <c r="H26" s="5" t="s">
        <v>74</v>
      </c>
      <c r="I26" s="5" t="s">
        <v>53</v>
      </c>
      <c r="J26" s="5" t="s">
        <v>52</v>
      </c>
      <c r="K26" s="5" t="s">
        <v>73</v>
      </c>
      <c r="L26" s="5" t="s">
        <v>56</v>
      </c>
      <c r="M26" s="5" t="s">
        <v>64</v>
      </c>
      <c r="N26" s="5" t="s">
        <v>75</v>
      </c>
      <c r="O26" s="5" t="s">
        <v>59</v>
      </c>
      <c r="P26" s="5" t="s">
        <v>67</v>
      </c>
      <c r="Q26" s="5" t="s">
        <v>54</v>
      </c>
      <c r="R26" s="5" t="s">
        <v>207</v>
      </c>
      <c r="S26" s="5" t="s">
        <v>69</v>
      </c>
      <c r="T26" s="1">
        <v>11</v>
      </c>
      <c r="U26" s="1">
        <v>110</v>
      </c>
      <c r="V26" s="1">
        <v>40</v>
      </c>
      <c r="AA26">
        <f t="shared" si="17"/>
        <v>24</v>
      </c>
      <c r="AB26">
        <f t="shared" si="8"/>
        <v>0</v>
      </c>
    </row>
    <row r="27" spans="1:28" x14ac:dyDescent="0.3">
      <c r="A27" s="48">
        <v>12</v>
      </c>
      <c r="B27" s="4"/>
      <c r="C27" s="6" t="s">
        <v>121</v>
      </c>
      <c r="D27" s="5"/>
      <c r="E27" s="5" t="s">
        <v>70</v>
      </c>
      <c r="F27" s="5" t="s">
        <v>210</v>
      </c>
      <c r="G27" s="5" t="s">
        <v>57</v>
      </c>
      <c r="H27" s="5" t="s">
        <v>74</v>
      </c>
      <c r="I27" s="5" t="s">
        <v>58</v>
      </c>
      <c r="J27" s="5" t="s">
        <v>52</v>
      </c>
      <c r="K27" s="5" t="s">
        <v>73</v>
      </c>
      <c r="L27" s="5" t="s">
        <v>55</v>
      </c>
      <c r="M27" s="5" t="s">
        <v>64</v>
      </c>
      <c r="N27" s="5" t="s">
        <v>71</v>
      </c>
      <c r="O27" s="5" t="s">
        <v>65</v>
      </c>
      <c r="P27" s="5" t="s">
        <v>67</v>
      </c>
      <c r="Q27" s="5" t="s">
        <v>47</v>
      </c>
      <c r="R27" s="5" t="s">
        <v>207</v>
      </c>
      <c r="S27" s="5" t="s">
        <v>69</v>
      </c>
      <c r="T27" s="1">
        <v>11</v>
      </c>
      <c r="U27" s="1">
        <v>116</v>
      </c>
      <c r="V27" s="1">
        <v>40</v>
      </c>
      <c r="AA27">
        <f t="shared" si="17"/>
        <v>25</v>
      </c>
      <c r="AB27">
        <f t="shared" si="8"/>
        <v>0</v>
      </c>
    </row>
    <row r="28" spans="1:28" x14ac:dyDescent="0.3">
      <c r="A28" s="48">
        <v>13</v>
      </c>
      <c r="B28" s="4"/>
      <c r="C28" s="6" t="s">
        <v>138</v>
      </c>
      <c r="D28" s="5"/>
      <c r="E28" s="5" t="s">
        <v>68</v>
      </c>
      <c r="F28" s="5" t="s">
        <v>210</v>
      </c>
      <c r="G28" s="5" t="s">
        <v>57</v>
      </c>
      <c r="H28" s="5" t="s">
        <v>74</v>
      </c>
      <c r="I28" s="5" t="s">
        <v>58</v>
      </c>
      <c r="J28" s="5" t="s">
        <v>52</v>
      </c>
      <c r="K28" s="5" t="s">
        <v>73</v>
      </c>
      <c r="L28" s="5" t="s">
        <v>56</v>
      </c>
      <c r="M28" s="5" t="s">
        <v>64</v>
      </c>
      <c r="N28" s="5" t="s">
        <v>71</v>
      </c>
      <c r="O28" s="5" t="s">
        <v>65</v>
      </c>
      <c r="P28" s="5" t="s">
        <v>60</v>
      </c>
      <c r="Q28" s="5" t="s">
        <v>54</v>
      </c>
      <c r="R28" s="5" t="s">
        <v>207</v>
      </c>
      <c r="S28" s="5" t="s">
        <v>69</v>
      </c>
      <c r="T28" s="1">
        <v>11</v>
      </c>
      <c r="U28" s="1">
        <v>114</v>
      </c>
      <c r="V28" s="1">
        <v>41</v>
      </c>
      <c r="AA28">
        <f t="shared" si="17"/>
        <v>26</v>
      </c>
      <c r="AB28">
        <f t="shared" si="8"/>
        <v>0</v>
      </c>
    </row>
    <row r="29" spans="1:28" ht="28.8" x14ac:dyDescent="0.3">
      <c r="A29" s="48">
        <v>14</v>
      </c>
      <c r="B29" s="4"/>
      <c r="C29" s="6" t="s">
        <v>153</v>
      </c>
      <c r="D29" s="5"/>
      <c r="E29" s="5" t="s">
        <v>68</v>
      </c>
      <c r="F29" s="5" t="s">
        <v>210</v>
      </c>
      <c r="G29" s="5" t="s">
        <v>57</v>
      </c>
      <c r="H29" s="5" t="s">
        <v>51</v>
      </c>
      <c r="I29" s="5" t="s">
        <v>58</v>
      </c>
      <c r="J29" s="5" t="s">
        <v>52</v>
      </c>
      <c r="K29" s="5" t="s">
        <v>73</v>
      </c>
      <c r="L29" s="5" t="s">
        <v>56</v>
      </c>
      <c r="M29" s="5" t="s">
        <v>64</v>
      </c>
      <c r="N29" s="5" t="s">
        <v>75</v>
      </c>
      <c r="O29" s="5" t="s">
        <v>59</v>
      </c>
      <c r="P29" s="5" t="s">
        <v>67</v>
      </c>
      <c r="Q29" s="5" t="s">
        <v>54</v>
      </c>
      <c r="R29" s="5" t="s">
        <v>207</v>
      </c>
      <c r="S29" s="5" t="s">
        <v>69</v>
      </c>
      <c r="T29" s="1">
        <v>11</v>
      </c>
      <c r="U29" s="1">
        <v>107</v>
      </c>
      <c r="V29" s="1">
        <v>41</v>
      </c>
      <c r="AA29">
        <f t="shared" si="17"/>
        <v>27</v>
      </c>
      <c r="AB29">
        <f t="shared" si="8"/>
        <v>1</v>
      </c>
    </row>
    <row r="30" spans="1:28" x14ac:dyDescent="0.3">
      <c r="A30" s="48">
        <v>15</v>
      </c>
      <c r="B30" s="4"/>
      <c r="C30" s="6" t="s">
        <v>95</v>
      </c>
      <c r="D30" s="5"/>
      <c r="E30" s="5" t="s">
        <v>68</v>
      </c>
      <c r="F30" s="5" t="s">
        <v>210</v>
      </c>
      <c r="G30" s="5" t="s">
        <v>57</v>
      </c>
      <c r="H30" s="5" t="s">
        <v>51</v>
      </c>
      <c r="I30" s="5" t="s">
        <v>53</v>
      </c>
      <c r="J30" s="5" t="s">
        <v>52</v>
      </c>
      <c r="K30" s="5" t="s">
        <v>73</v>
      </c>
      <c r="L30" s="5" t="s">
        <v>55</v>
      </c>
      <c r="M30" s="5" t="s">
        <v>64</v>
      </c>
      <c r="N30" s="5" t="s">
        <v>75</v>
      </c>
      <c r="O30" s="5" t="s">
        <v>59</v>
      </c>
      <c r="P30" s="5" t="s">
        <v>67</v>
      </c>
      <c r="Q30" s="5" t="s">
        <v>54</v>
      </c>
      <c r="R30" s="5" t="s">
        <v>207</v>
      </c>
      <c r="S30" s="5" t="s">
        <v>69</v>
      </c>
      <c r="T30" s="1">
        <v>11</v>
      </c>
      <c r="U30" s="1">
        <v>111</v>
      </c>
      <c r="V30" s="1">
        <v>41</v>
      </c>
      <c r="AA30">
        <f t="shared" si="17"/>
        <v>28</v>
      </c>
      <c r="AB30">
        <f t="shared" si="8"/>
        <v>0</v>
      </c>
    </row>
    <row r="31" spans="1:28" ht="28.8" x14ac:dyDescent="0.3">
      <c r="A31" s="48">
        <v>16</v>
      </c>
      <c r="B31" s="4"/>
      <c r="C31" s="6" t="s">
        <v>193</v>
      </c>
      <c r="D31" s="5"/>
      <c r="E31" s="5" t="s">
        <v>70</v>
      </c>
      <c r="F31" s="5" t="s">
        <v>61</v>
      </c>
      <c r="G31" s="5" t="s">
        <v>57</v>
      </c>
      <c r="H31" s="5" t="s">
        <v>74</v>
      </c>
      <c r="I31" s="5" t="s">
        <v>53</v>
      </c>
      <c r="J31" s="5" t="s">
        <v>52</v>
      </c>
      <c r="K31" s="5" t="s">
        <v>73</v>
      </c>
      <c r="L31" s="5" t="s">
        <v>55</v>
      </c>
      <c r="M31" s="5" t="s">
        <v>64</v>
      </c>
      <c r="N31" s="5" t="s">
        <v>71</v>
      </c>
      <c r="O31" s="5" t="s">
        <v>65</v>
      </c>
      <c r="P31" s="5" t="s">
        <v>60</v>
      </c>
      <c r="Q31" s="5" t="s">
        <v>54</v>
      </c>
      <c r="R31" s="5" t="s">
        <v>207</v>
      </c>
      <c r="S31" s="5" t="s">
        <v>69</v>
      </c>
      <c r="T31" s="1">
        <v>11</v>
      </c>
      <c r="U31" s="1">
        <v>104</v>
      </c>
      <c r="V31" s="1">
        <v>42</v>
      </c>
      <c r="AA31">
        <f t="shared" si="17"/>
        <v>29</v>
      </c>
      <c r="AB31">
        <f t="shared" si="8"/>
        <v>0</v>
      </c>
    </row>
    <row r="32" spans="1:28" x14ac:dyDescent="0.3">
      <c r="A32" s="48">
        <v>17</v>
      </c>
      <c r="B32" s="4"/>
      <c r="C32" s="6" t="s">
        <v>190</v>
      </c>
      <c r="D32" s="5"/>
      <c r="E32" s="5" t="s">
        <v>68</v>
      </c>
      <c r="F32" s="5" t="s">
        <v>210</v>
      </c>
      <c r="G32" s="5" t="s">
        <v>57</v>
      </c>
      <c r="H32" s="5" t="s">
        <v>74</v>
      </c>
      <c r="I32" s="5" t="s">
        <v>53</v>
      </c>
      <c r="J32" s="5" t="s">
        <v>52</v>
      </c>
      <c r="K32" s="5" t="s">
        <v>73</v>
      </c>
      <c r="L32" s="5" t="s">
        <v>55</v>
      </c>
      <c r="M32" s="5" t="s">
        <v>64</v>
      </c>
      <c r="N32" s="5" t="s">
        <v>71</v>
      </c>
      <c r="O32" s="5" t="s">
        <v>59</v>
      </c>
      <c r="P32" s="5" t="s">
        <v>67</v>
      </c>
      <c r="Q32" s="5" t="s">
        <v>54</v>
      </c>
      <c r="R32" s="5" t="s">
        <v>207</v>
      </c>
      <c r="S32" s="5" t="s">
        <v>69</v>
      </c>
      <c r="T32" s="1">
        <v>11</v>
      </c>
      <c r="U32" s="1">
        <v>115</v>
      </c>
      <c r="V32" s="1">
        <v>42</v>
      </c>
      <c r="AA32">
        <f t="shared" si="17"/>
        <v>30</v>
      </c>
      <c r="AB32">
        <f t="shared" si="8"/>
        <v>0</v>
      </c>
    </row>
    <row r="33" spans="1:28" ht="28.8" x14ac:dyDescent="0.3">
      <c r="A33" s="48">
        <v>18</v>
      </c>
      <c r="B33" s="4"/>
      <c r="C33" s="6" t="s">
        <v>135</v>
      </c>
      <c r="D33" s="5"/>
      <c r="E33" s="5" t="s">
        <v>70</v>
      </c>
      <c r="F33" s="5" t="s">
        <v>61</v>
      </c>
      <c r="G33" s="5" t="s">
        <v>57</v>
      </c>
      <c r="H33" s="5" t="s">
        <v>51</v>
      </c>
      <c r="I33" s="5" t="s">
        <v>58</v>
      </c>
      <c r="J33" s="5" t="s">
        <v>72</v>
      </c>
      <c r="K33" s="5" t="s">
        <v>62</v>
      </c>
      <c r="L33" s="5" t="s">
        <v>55</v>
      </c>
      <c r="M33" s="5" t="s">
        <v>64</v>
      </c>
      <c r="N33" s="5" t="s">
        <v>75</v>
      </c>
      <c r="O33" s="5" t="s">
        <v>59</v>
      </c>
      <c r="P33" s="5" t="s">
        <v>60</v>
      </c>
      <c r="Q33" s="5" t="s">
        <v>54</v>
      </c>
      <c r="R33" s="5" t="s">
        <v>207</v>
      </c>
      <c r="S33" s="5" t="s">
        <v>69</v>
      </c>
      <c r="T33" s="1">
        <v>11</v>
      </c>
      <c r="U33" s="1">
        <v>111</v>
      </c>
      <c r="V33" s="1">
        <v>43</v>
      </c>
      <c r="AA33">
        <f t="shared" si="17"/>
        <v>31</v>
      </c>
      <c r="AB33">
        <f t="shared" si="8"/>
        <v>2</v>
      </c>
    </row>
    <row r="34" spans="1:28" x14ac:dyDescent="0.3">
      <c r="A34" s="48">
        <v>19</v>
      </c>
      <c r="B34" s="4"/>
      <c r="C34" s="6" t="s">
        <v>84</v>
      </c>
      <c r="D34" s="5"/>
      <c r="E34" s="5" t="s">
        <v>70</v>
      </c>
      <c r="F34" s="5" t="s">
        <v>210</v>
      </c>
      <c r="G34" s="5" t="s">
        <v>208</v>
      </c>
      <c r="H34" s="5" t="s">
        <v>51</v>
      </c>
      <c r="I34" s="5" t="s">
        <v>58</v>
      </c>
      <c r="J34" s="5" t="s">
        <v>52</v>
      </c>
      <c r="K34" s="5" t="s">
        <v>73</v>
      </c>
      <c r="L34" s="5" t="s">
        <v>55</v>
      </c>
      <c r="M34" s="5" t="s">
        <v>64</v>
      </c>
      <c r="N34" s="5" t="s">
        <v>75</v>
      </c>
      <c r="O34" s="5" t="s">
        <v>65</v>
      </c>
      <c r="P34" s="5" t="s">
        <v>60</v>
      </c>
      <c r="Q34" s="5" t="s">
        <v>54</v>
      </c>
      <c r="R34" s="5" t="s">
        <v>207</v>
      </c>
      <c r="S34" s="5" t="s">
        <v>66</v>
      </c>
      <c r="T34" s="1">
        <v>11</v>
      </c>
      <c r="U34" s="1">
        <v>104</v>
      </c>
      <c r="V34" s="1">
        <v>43</v>
      </c>
      <c r="AA34">
        <f t="shared" si="17"/>
        <v>32</v>
      </c>
      <c r="AB34">
        <f t="shared" si="8"/>
        <v>2</v>
      </c>
    </row>
    <row r="35" spans="1:28" ht="28.8" x14ac:dyDescent="0.3">
      <c r="A35" s="48">
        <v>20</v>
      </c>
      <c r="B35" s="4"/>
      <c r="C35" s="6" t="s">
        <v>148</v>
      </c>
      <c r="D35" s="5"/>
      <c r="E35" s="5" t="s">
        <v>70</v>
      </c>
      <c r="F35" s="5" t="s">
        <v>210</v>
      </c>
      <c r="G35" s="5" t="s">
        <v>208</v>
      </c>
      <c r="H35" s="5" t="s">
        <v>51</v>
      </c>
      <c r="I35" s="5" t="s">
        <v>58</v>
      </c>
      <c r="J35" s="5" t="s">
        <v>52</v>
      </c>
      <c r="K35" s="5" t="s">
        <v>62</v>
      </c>
      <c r="L35" s="5" t="s">
        <v>55</v>
      </c>
      <c r="M35" s="5" t="s">
        <v>64</v>
      </c>
      <c r="N35" s="5" t="s">
        <v>71</v>
      </c>
      <c r="O35" s="5" t="s">
        <v>59</v>
      </c>
      <c r="P35" s="5" t="s">
        <v>60</v>
      </c>
      <c r="Q35" s="5" t="s">
        <v>54</v>
      </c>
      <c r="R35" s="5" t="s">
        <v>207</v>
      </c>
      <c r="S35" s="5" t="s">
        <v>69</v>
      </c>
      <c r="T35" s="1">
        <v>11</v>
      </c>
      <c r="U35" s="1">
        <v>112</v>
      </c>
      <c r="V35" s="1">
        <v>43</v>
      </c>
      <c r="AA35">
        <f t="shared" si="17"/>
        <v>33</v>
      </c>
      <c r="AB35">
        <f t="shared" si="8"/>
        <v>0</v>
      </c>
    </row>
    <row r="36" spans="1:28" x14ac:dyDescent="0.3">
      <c r="A36" s="48">
        <v>21</v>
      </c>
      <c r="B36" s="4"/>
      <c r="C36" s="6" t="s">
        <v>31</v>
      </c>
      <c r="D36" s="5"/>
      <c r="E36" s="5" t="s">
        <v>70</v>
      </c>
      <c r="F36" s="5" t="s">
        <v>210</v>
      </c>
      <c r="G36" s="5" t="s">
        <v>57</v>
      </c>
      <c r="H36" s="5" t="s">
        <v>51</v>
      </c>
      <c r="I36" s="5" t="s">
        <v>53</v>
      </c>
      <c r="J36" s="5" t="s">
        <v>52</v>
      </c>
      <c r="K36" s="5" t="s">
        <v>73</v>
      </c>
      <c r="L36" s="5" t="s">
        <v>55</v>
      </c>
      <c r="M36" s="5" t="s">
        <v>63</v>
      </c>
      <c r="N36" s="5" t="s">
        <v>75</v>
      </c>
      <c r="O36" s="5" t="s">
        <v>65</v>
      </c>
      <c r="P36" s="5" t="s">
        <v>60</v>
      </c>
      <c r="Q36" s="5" t="s">
        <v>54</v>
      </c>
      <c r="R36" s="5" t="s">
        <v>207</v>
      </c>
      <c r="S36" s="5" t="s">
        <v>69</v>
      </c>
      <c r="T36" s="1">
        <v>11</v>
      </c>
      <c r="U36" s="1">
        <v>100</v>
      </c>
      <c r="V36" s="1">
        <v>44</v>
      </c>
      <c r="AA36">
        <f t="shared" si="17"/>
        <v>34</v>
      </c>
      <c r="AB36">
        <f t="shared" si="8"/>
        <v>3</v>
      </c>
    </row>
    <row r="37" spans="1:28" ht="28.8" x14ac:dyDescent="0.3">
      <c r="A37" s="48">
        <v>22</v>
      </c>
      <c r="B37" s="4"/>
      <c r="C37" s="6" t="s">
        <v>140</v>
      </c>
      <c r="D37" s="5"/>
      <c r="E37" s="5" t="s">
        <v>70</v>
      </c>
      <c r="F37" s="5" t="s">
        <v>210</v>
      </c>
      <c r="G37" s="5" t="s">
        <v>57</v>
      </c>
      <c r="H37" s="5" t="s">
        <v>74</v>
      </c>
      <c r="I37" s="5" t="s">
        <v>53</v>
      </c>
      <c r="J37" s="5" t="s">
        <v>52</v>
      </c>
      <c r="K37" s="5" t="s">
        <v>73</v>
      </c>
      <c r="L37" s="5" t="s">
        <v>55</v>
      </c>
      <c r="M37" s="5" t="s">
        <v>64</v>
      </c>
      <c r="N37" s="5" t="s">
        <v>71</v>
      </c>
      <c r="O37" s="5" t="s">
        <v>59</v>
      </c>
      <c r="P37" s="5" t="s">
        <v>60</v>
      </c>
      <c r="Q37" s="5" t="s">
        <v>47</v>
      </c>
      <c r="R37" s="5" t="s">
        <v>50</v>
      </c>
      <c r="S37" s="5" t="s">
        <v>69</v>
      </c>
      <c r="T37" s="1">
        <v>11</v>
      </c>
      <c r="U37" s="1">
        <v>107</v>
      </c>
      <c r="V37" s="1">
        <v>44</v>
      </c>
      <c r="AA37">
        <f t="shared" si="17"/>
        <v>35</v>
      </c>
      <c r="AB37">
        <f t="shared" si="8"/>
        <v>5</v>
      </c>
    </row>
    <row r="38" spans="1:28" x14ac:dyDescent="0.3">
      <c r="A38" s="48">
        <v>23</v>
      </c>
      <c r="B38" s="4"/>
      <c r="C38" s="6" t="s">
        <v>97</v>
      </c>
      <c r="D38" s="5"/>
      <c r="E38" s="5" t="s">
        <v>68</v>
      </c>
      <c r="F38" s="5" t="s">
        <v>210</v>
      </c>
      <c r="G38" s="5" t="s">
        <v>57</v>
      </c>
      <c r="H38" s="5" t="s">
        <v>74</v>
      </c>
      <c r="I38" s="5" t="s">
        <v>53</v>
      </c>
      <c r="J38" s="5" t="s">
        <v>52</v>
      </c>
      <c r="K38" s="5" t="s">
        <v>73</v>
      </c>
      <c r="L38" s="5" t="s">
        <v>55</v>
      </c>
      <c r="M38" s="5" t="s">
        <v>64</v>
      </c>
      <c r="N38" s="5" t="s">
        <v>71</v>
      </c>
      <c r="O38" s="5" t="s">
        <v>59</v>
      </c>
      <c r="P38" s="5" t="s">
        <v>67</v>
      </c>
      <c r="Q38" s="5" t="s">
        <v>54</v>
      </c>
      <c r="R38" s="5" t="s">
        <v>207</v>
      </c>
      <c r="S38" s="5" t="s">
        <v>69</v>
      </c>
      <c r="T38" s="1">
        <v>11</v>
      </c>
      <c r="U38" s="1">
        <v>99</v>
      </c>
      <c r="V38" s="1">
        <v>47</v>
      </c>
      <c r="AA38">
        <f t="shared" si="17"/>
        <v>36</v>
      </c>
      <c r="AB38">
        <f t="shared" si="8"/>
        <v>1</v>
      </c>
    </row>
    <row r="39" spans="1:28" ht="28.8" x14ac:dyDescent="0.3">
      <c r="A39" s="48">
        <v>24</v>
      </c>
      <c r="B39" s="4"/>
      <c r="C39" s="6" t="s">
        <v>113</v>
      </c>
      <c r="D39" s="5"/>
      <c r="E39" s="5" t="s">
        <v>70</v>
      </c>
      <c r="F39" s="5" t="s">
        <v>210</v>
      </c>
      <c r="G39" s="5" t="s">
        <v>208</v>
      </c>
      <c r="H39" s="5" t="s">
        <v>51</v>
      </c>
      <c r="I39" s="5" t="s">
        <v>53</v>
      </c>
      <c r="J39" s="5" t="s">
        <v>52</v>
      </c>
      <c r="K39" s="5" t="s">
        <v>73</v>
      </c>
      <c r="L39" s="5" t="s">
        <v>55</v>
      </c>
      <c r="M39" s="5" t="s">
        <v>64</v>
      </c>
      <c r="N39" s="5" t="s">
        <v>75</v>
      </c>
      <c r="O39" s="5" t="s">
        <v>65</v>
      </c>
      <c r="P39" s="5" t="s">
        <v>60</v>
      </c>
      <c r="Q39" s="5" t="s">
        <v>54</v>
      </c>
      <c r="R39" s="5" t="s">
        <v>207</v>
      </c>
      <c r="S39" s="5" t="s">
        <v>69</v>
      </c>
      <c r="T39" s="1">
        <v>11</v>
      </c>
      <c r="U39" s="1">
        <v>111</v>
      </c>
      <c r="V39" s="1">
        <v>48</v>
      </c>
      <c r="AA39">
        <f t="shared" si="17"/>
        <v>37</v>
      </c>
      <c r="AB39">
        <f t="shared" si="8"/>
        <v>6</v>
      </c>
    </row>
    <row r="40" spans="1:28" ht="28.8" x14ac:dyDescent="0.3">
      <c r="A40" s="48">
        <v>25</v>
      </c>
      <c r="B40" s="4"/>
      <c r="C40" s="6" t="s">
        <v>27</v>
      </c>
      <c r="D40" s="5"/>
      <c r="E40" s="5" t="s">
        <v>70</v>
      </c>
      <c r="F40" s="5" t="s">
        <v>210</v>
      </c>
      <c r="G40" s="5" t="s">
        <v>208</v>
      </c>
      <c r="H40" s="5" t="s">
        <v>74</v>
      </c>
      <c r="I40" s="5" t="s">
        <v>53</v>
      </c>
      <c r="J40" s="5" t="s">
        <v>72</v>
      </c>
      <c r="K40" s="5" t="s">
        <v>73</v>
      </c>
      <c r="L40" s="5" t="s">
        <v>55</v>
      </c>
      <c r="M40" s="5" t="s">
        <v>64</v>
      </c>
      <c r="N40" s="5" t="s">
        <v>75</v>
      </c>
      <c r="O40" s="5" t="s">
        <v>65</v>
      </c>
      <c r="P40" s="5" t="s">
        <v>60</v>
      </c>
      <c r="Q40" s="5" t="s">
        <v>54</v>
      </c>
      <c r="R40" s="5" t="s">
        <v>207</v>
      </c>
      <c r="S40" s="5" t="s">
        <v>69</v>
      </c>
      <c r="T40" s="1">
        <v>11</v>
      </c>
      <c r="U40" s="1">
        <v>123</v>
      </c>
      <c r="V40" s="1">
        <v>49</v>
      </c>
      <c r="AA40">
        <f t="shared" si="17"/>
        <v>38</v>
      </c>
      <c r="AB40">
        <f t="shared" si="8"/>
        <v>3</v>
      </c>
    </row>
    <row r="41" spans="1:28" ht="28.8" x14ac:dyDescent="0.3">
      <c r="A41" s="48">
        <v>26</v>
      </c>
      <c r="B41" s="4"/>
      <c r="C41" s="6" t="s">
        <v>123</v>
      </c>
      <c r="D41" s="5"/>
      <c r="E41" s="5" t="s">
        <v>70</v>
      </c>
      <c r="F41" s="5" t="s">
        <v>210</v>
      </c>
      <c r="G41" s="5" t="s">
        <v>57</v>
      </c>
      <c r="H41" s="5" t="s">
        <v>74</v>
      </c>
      <c r="I41" s="5" t="s">
        <v>53</v>
      </c>
      <c r="J41" s="5" t="s">
        <v>52</v>
      </c>
      <c r="K41" s="5" t="s">
        <v>73</v>
      </c>
      <c r="L41" s="5" t="s">
        <v>56</v>
      </c>
      <c r="M41" s="5" t="s">
        <v>63</v>
      </c>
      <c r="N41" s="5" t="s">
        <v>75</v>
      </c>
      <c r="O41" s="5" t="s">
        <v>59</v>
      </c>
      <c r="P41" s="5" t="s">
        <v>60</v>
      </c>
      <c r="Q41" s="5" t="s">
        <v>54</v>
      </c>
      <c r="R41" s="5" t="s">
        <v>207</v>
      </c>
      <c r="S41" s="5" t="s">
        <v>66</v>
      </c>
      <c r="T41" s="1">
        <v>11</v>
      </c>
      <c r="U41" s="1">
        <v>110</v>
      </c>
      <c r="V41" s="1">
        <v>53</v>
      </c>
      <c r="AA41">
        <f t="shared" si="17"/>
        <v>39</v>
      </c>
      <c r="AB41">
        <f t="shared" si="8"/>
        <v>4</v>
      </c>
    </row>
    <row r="42" spans="1:28" ht="28.8" x14ac:dyDescent="0.3">
      <c r="A42" s="48">
        <v>27</v>
      </c>
      <c r="B42" s="4"/>
      <c r="C42" s="6" t="s">
        <v>34</v>
      </c>
      <c r="D42" s="5"/>
      <c r="E42" s="5" t="s">
        <v>68</v>
      </c>
      <c r="F42" s="5" t="s">
        <v>61</v>
      </c>
      <c r="G42" s="5" t="s">
        <v>57</v>
      </c>
      <c r="H42" s="5" t="s">
        <v>74</v>
      </c>
      <c r="I42" s="5" t="s">
        <v>53</v>
      </c>
      <c r="J42" s="5" t="s">
        <v>52</v>
      </c>
      <c r="K42" s="5" t="s">
        <v>73</v>
      </c>
      <c r="L42" s="5" t="s">
        <v>55</v>
      </c>
      <c r="M42" s="5" t="s">
        <v>64</v>
      </c>
      <c r="N42" s="5" t="s">
        <v>75</v>
      </c>
      <c r="O42" s="5" t="s">
        <v>65</v>
      </c>
      <c r="P42" s="5" t="s">
        <v>67</v>
      </c>
      <c r="Q42" s="5" t="s">
        <v>54</v>
      </c>
      <c r="R42" s="5" t="s">
        <v>207</v>
      </c>
      <c r="S42" s="5" t="s">
        <v>69</v>
      </c>
      <c r="T42" s="1">
        <v>10</v>
      </c>
      <c r="U42" s="1">
        <v>104</v>
      </c>
      <c r="V42" s="1">
        <v>27</v>
      </c>
      <c r="AA42">
        <f t="shared" si="17"/>
        <v>40</v>
      </c>
      <c r="AB42">
        <f t="shared" si="8"/>
        <v>9</v>
      </c>
    </row>
    <row r="43" spans="1:28" ht="28.8" x14ac:dyDescent="0.3">
      <c r="A43" s="48">
        <v>28</v>
      </c>
      <c r="B43" s="4"/>
      <c r="C43" s="6" t="s">
        <v>6</v>
      </c>
      <c r="D43" s="5"/>
      <c r="E43" s="5" t="s">
        <v>70</v>
      </c>
      <c r="F43" s="5" t="s">
        <v>210</v>
      </c>
      <c r="G43" s="5" t="s">
        <v>57</v>
      </c>
      <c r="H43" s="5" t="s">
        <v>51</v>
      </c>
      <c r="I43" s="5" t="s">
        <v>53</v>
      </c>
      <c r="J43" s="5" t="s">
        <v>52</v>
      </c>
      <c r="K43" s="5" t="s">
        <v>73</v>
      </c>
      <c r="L43" s="5" t="s">
        <v>55</v>
      </c>
      <c r="M43" s="5" t="s">
        <v>64</v>
      </c>
      <c r="N43" s="5" t="s">
        <v>71</v>
      </c>
      <c r="O43" s="5" t="s">
        <v>65</v>
      </c>
      <c r="P43" s="5" t="s">
        <v>60</v>
      </c>
      <c r="Q43" s="5" t="s">
        <v>47</v>
      </c>
      <c r="R43" s="5" t="s">
        <v>207</v>
      </c>
      <c r="S43" s="5" t="s">
        <v>69</v>
      </c>
      <c r="T43" s="1">
        <v>10</v>
      </c>
      <c r="U43" s="1">
        <v>101</v>
      </c>
      <c r="V43" s="1">
        <v>31</v>
      </c>
      <c r="AA43">
        <f t="shared" si="17"/>
        <v>41</v>
      </c>
      <c r="AB43">
        <f t="shared" si="8"/>
        <v>13</v>
      </c>
    </row>
    <row r="44" spans="1:28" x14ac:dyDescent="0.3">
      <c r="A44" s="48">
        <v>29</v>
      </c>
      <c r="B44" s="4"/>
      <c r="C44" s="6" t="s">
        <v>14</v>
      </c>
      <c r="D44" s="5"/>
      <c r="E44" s="5" t="s">
        <v>68</v>
      </c>
      <c r="F44" s="5" t="s">
        <v>210</v>
      </c>
      <c r="G44" s="5" t="s">
        <v>208</v>
      </c>
      <c r="H44" s="5" t="s">
        <v>74</v>
      </c>
      <c r="I44" s="5" t="s">
        <v>53</v>
      </c>
      <c r="J44" s="5" t="s">
        <v>52</v>
      </c>
      <c r="K44" s="5" t="s">
        <v>73</v>
      </c>
      <c r="L44" s="5" t="s">
        <v>55</v>
      </c>
      <c r="M44" s="5" t="s">
        <v>64</v>
      </c>
      <c r="N44" s="5" t="s">
        <v>71</v>
      </c>
      <c r="O44" s="5" t="s">
        <v>59</v>
      </c>
      <c r="P44" s="5" t="s">
        <v>60</v>
      </c>
      <c r="Q44" s="5" t="s">
        <v>47</v>
      </c>
      <c r="R44" s="5" t="s">
        <v>207</v>
      </c>
      <c r="S44" s="5" t="s">
        <v>69</v>
      </c>
      <c r="T44" s="1">
        <v>10</v>
      </c>
      <c r="U44" s="1">
        <v>113</v>
      </c>
      <c r="V44" s="1">
        <v>34</v>
      </c>
      <c r="AA44">
        <f t="shared" si="17"/>
        <v>42</v>
      </c>
      <c r="AB44">
        <f t="shared" si="8"/>
        <v>23</v>
      </c>
    </row>
    <row r="45" spans="1:28" ht="28.8" x14ac:dyDescent="0.3">
      <c r="A45" s="48">
        <v>30</v>
      </c>
      <c r="B45" s="4"/>
      <c r="C45" s="6" t="s">
        <v>158</v>
      </c>
      <c r="D45" s="5"/>
      <c r="E45" s="5" t="s">
        <v>70</v>
      </c>
      <c r="F45" s="5" t="s">
        <v>210</v>
      </c>
      <c r="G45" s="5" t="s">
        <v>208</v>
      </c>
      <c r="H45" s="5" t="s">
        <v>74</v>
      </c>
      <c r="I45" s="5" t="s">
        <v>53</v>
      </c>
      <c r="J45" s="5" t="s">
        <v>52</v>
      </c>
      <c r="K45" s="5" t="s">
        <v>73</v>
      </c>
      <c r="L45" s="5" t="s">
        <v>55</v>
      </c>
      <c r="M45" s="5" t="s">
        <v>64</v>
      </c>
      <c r="N45" s="5" t="s">
        <v>75</v>
      </c>
      <c r="O45" s="5" t="s">
        <v>65</v>
      </c>
      <c r="P45" s="5" t="s">
        <v>67</v>
      </c>
      <c r="Q45" s="5" t="s">
        <v>54</v>
      </c>
      <c r="R45" s="5" t="s">
        <v>50</v>
      </c>
      <c r="S45" s="5" t="s">
        <v>69</v>
      </c>
      <c r="T45" s="1">
        <v>10</v>
      </c>
      <c r="U45" s="1">
        <v>97</v>
      </c>
      <c r="V45" s="1">
        <v>38</v>
      </c>
      <c r="AA45">
        <f t="shared" si="17"/>
        <v>43</v>
      </c>
      <c r="AB45">
        <f t="shared" si="8"/>
        <v>10</v>
      </c>
    </row>
    <row r="46" spans="1:28" x14ac:dyDescent="0.3">
      <c r="A46" s="48">
        <v>31</v>
      </c>
      <c r="B46" s="4"/>
      <c r="C46" s="6" t="s">
        <v>35</v>
      </c>
      <c r="D46" s="5"/>
      <c r="E46" s="5" t="s">
        <v>68</v>
      </c>
      <c r="F46" s="5" t="s">
        <v>210</v>
      </c>
      <c r="G46" s="5" t="s">
        <v>57</v>
      </c>
      <c r="H46" s="5" t="s">
        <v>74</v>
      </c>
      <c r="I46" s="5" t="s">
        <v>53</v>
      </c>
      <c r="J46" s="5" t="s">
        <v>72</v>
      </c>
      <c r="K46" s="5" t="s">
        <v>73</v>
      </c>
      <c r="L46" s="5" t="s">
        <v>55</v>
      </c>
      <c r="M46" s="5" t="s">
        <v>64</v>
      </c>
      <c r="N46" s="5" t="s">
        <v>71</v>
      </c>
      <c r="O46" s="5" t="s">
        <v>65</v>
      </c>
      <c r="P46" s="5" t="s">
        <v>60</v>
      </c>
      <c r="Q46" s="5" t="s">
        <v>54</v>
      </c>
      <c r="R46" s="5" t="s">
        <v>207</v>
      </c>
      <c r="S46" s="5" t="s">
        <v>69</v>
      </c>
      <c r="T46" s="1">
        <v>10</v>
      </c>
      <c r="U46" s="1">
        <v>107</v>
      </c>
      <c r="V46" s="1">
        <v>40</v>
      </c>
      <c r="AA46">
        <f t="shared" si="17"/>
        <v>44</v>
      </c>
      <c r="AB46">
        <f t="shared" si="8"/>
        <v>15</v>
      </c>
    </row>
    <row r="47" spans="1:28" ht="28.8" x14ac:dyDescent="0.3">
      <c r="A47" s="48">
        <v>32</v>
      </c>
      <c r="B47" s="4"/>
      <c r="C47" s="6" t="s">
        <v>160</v>
      </c>
      <c r="D47" s="5"/>
      <c r="E47" s="5" t="s">
        <v>70</v>
      </c>
      <c r="F47" s="5" t="s">
        <v>61</v>
      </c>
      <c r="G47" s="5" t="s">
        <v>208</v>
      </c>
      <c r="H47" s="5" t="s">
        <v>74</v>
      </c>
      <c r="I47" s="5" t="s">
        <v>58</v>
      </c>
      <c r="J47" s="5" t="s">
        <v>52</v>
      </c>
      <c r="K47" s="5" t="s">
        <v>62</v>
      </c>
      <c r="L47" s="5" t="s">
        <v>55</v>
      </c>
      <c r="M47" s="5" t="s">
        <v>64</v>
      </c>
      <c r="N47" s="5" t="s">
        <v>75</v>
      </c>
      <c r="O47" s="5" t="s">
        <v>65</v>
      </c>
      <c r="P47" s="5" t="s">
        <v>67</v>
      </c>
      <c r="Q47" s="5" t="s">
        <v>54</v>
      </c>
      <c r="R47" s="5" t="s">
        <v>207</v>
      </c>
      <c r="S47" s="5" t="s">
        <v>69</v>
      </c>
      <c r="T47" s="1">
        <v>10</v>
      </c>
      <c r="U47" s="1">
        <v>72</v>
      </c>
      <c r="V47" s="1">
        <v>41</v>
      </c>
      <c r="AA47">
        <f t="shared" si="17"/>
        <v>45</v>
      </c>
      <c r="AB47">
        <f t="shared" si="8"/>
        <v>22</v>
      </c>
    </row>
    <row r="48" spans="1:28" ht="28.8" x14ac:dyDescent="0.3">
      <c r="A48" s="48">
        <v>33</v>
      </c>
      <c r="B48" s="4"/>
      <c r="C48" s="6" t="s">
        <v>159</v>
      </c>
      <c r="D48" s="5"/>
      <c r="E48" s="5" t="s">
        <v>68</v>
      </c>
      <c r="F48" s="5" t="s">
        <v>210</v>
      </c>
      <c r="G48" s="5" t="s">
        <v>208</v>
      </c>
      <c r="H48" s="5" t="s">
        <v>74</v>
      </c>
      <c r="I48" s="5" t="s">
        <v>53</v>
      </c>
      <c r="J48" s="5" t="s">
        <v>52</v>
      </c>
      <c r="K48" s="5" t="s">
        <v>73</v>
      </c>
      <c r="L48" s="5" t="s">
        <v>56</v>
      </c>
      <c r="M48" s="5" t="s">
        <v>64</v>
      </c>
      <c r="N48" s="5" t="s">
        <v>75</v>
      </c>
      <c r="O48" s="5" t="s">
        <v>59</v>
      </c>
      <c r="P48" s="5" t="s">
        <v>67</v>
      </c>
      <c r="Q48" s="5" t="s">
        <v>54</v>
      </c>
      <c r="R48" s="5" t="s">
        <v>207</v>
      </c>
      <c r="S48" s="5" t="s">
        <v>69</v>
      </c>
      <c r="T48" s="1">
        <v>10</v>
      </c>
      <c r="U48" s="1">
        <v>97</v>
      </c>
      <c r="V48" s="1">
        <v>41</v>
      </c>
      <c r="AA48">
        <f t="shared" si="17"/>
        <v>46</v>
      </c>
      <c r="AB48">
        <f t="shared" si="8"/>
        <v>3</v>
      </c>
    </row>
    <row r="49" spans="1:28" ht="28.8" x14ac:dyDescent="0.3">
      <c r="A49" s="48">
        <v>34</v>
      </c>
      <c r="B49" s="4"/>
      <c r="C49" s="6" t="s">
        <v>146</v>
      </c>
      <c r="D49" s="5"/>
      <c r="E49" s="5" t="s">
        <v>70</v>
      </c>
      <c r="F49" s="5" t="s">
        <v>210</v>
      </c>
      <c r="G49" s="5" t="s">
        <v>208</v>
      </c>
      <c r="H49" s="5" t="s">
        <v>74</v>
      </c>
      <c r="I49" s="5" t="s">
        <v>58</v>
      </c>
      <c r="J49" s="5" t="s">
        <v>52</v>
      </c>
      <c r="K49" s="5" t="s">
        <v>73</v>
      </c>
      <c r="L49" s="5" t="s">
        <v>56</v>
      </c>
      <c r="M49" s="5" t="s">
        <v>64</v>
      </c>
      <c r="N49" s="5" t="s">
        <v>75</v>
      </c>
      <c r="O49" s="5" t="s">
        <v>65</v>
      </c>
      <c r="P49" s="5" t="s">
        <v>67</v>
      </c>
      <c r="Q49" s="5" t="s">
        <v>47</v>
      </c>
      <c r="R49" s="5" t="s">
        <v>207</v>
      </c>
      <c r="S49" s="5" t="s">
        <v>69</v>
      </c>
      <c r="T49" s="1">
        <v>10</v>
      </c>
      <c r="U49" s="1">
        <v>111</v>
      </c>
      <c r="V49" s="1">
        <v>41</v>
      </c>
      <c r="AA49">
        <f t="shared" si="17"/>
        <v>47</v>
      </c>
      <c r="AB49">
        <f t="shared" si="8"/>
        <v>9</v>
      </c>
    </row>
    <row r="50" spans="1:28" ht="28.8" x14ac:dyDescent="0.3">
      <c r="A50" s="48">
        <v>35</v>
      </c>
      <c r="B50" s="4"/>
      <c r="C50" s="6" t="s">
        <v>20</v>
      </c>
      <c r="D50" s="5"/>
      <c r="E50" s="5" t="s">
        <v>68</v>
      </c>
      <c r="F50" s="5" t="s">
        <v>210</v>
      </c>
      <c r="G50" s="5" t="s">
        <v>57</v>
      </c>
      <c r="H50" s="5" t="s">
        <v>74</v>
      </c>
      <c r="I50" s="5" t="s">
        <v>53</v>
      </c>
      <c r="J50" s="5" t="s">
        <v>72</v>
      </c>
      <c r="K50" s="5" t="s">
        <v>73</v>
      </c>
      <c r="L50" s="5" t="s">
        <v>55</v>
      </c>
      <c r="M50" s="5" t="s">
        <v>64</v>
      </c>
      <c r="N50" s="5" t="s">
        <v>71</v>
      </c>
      <c r="O50" s="5" t="s">
        <v>59</v>
      </c>
      <c r="P50" s="5" t="s">
        <v>67</v>
      </c>
      <c r="Q50" s="5" t="s">
        <v>54</v>
      </c>
      <c r="R50" s="5" t="s">
        <v>207</v>
      </c>
      <c r="S50" s="5" t="s">
        <v>69</v>
      </c>
      <c r="T50" s="1">
        <v>10</v>
      </c>
      <c r="U50" s="1">
        <v>109</v>
      </c>
      <c r="V50" s="1">
        <v>42</v>
      </c>
      <c r="AA50">
        <f t="shared" si="17"/>
        <v>48</v>
      </c>
      <c r="AB50">
        <f t="shared" si="8"/>
        <v>8</v>
      </c>
    </row>
    <row r="51" spans="1:28" ht="28.8" x14ac:dyDescent="0.3">
      <c r="A51" s="48">
        <v>36</v>
      </c>
      <c r="B51" s="4"/>
      <c r="C51" s="6" t="s">
        <v>17</v>
      </c>
      <c r="D51" s="5"/>
      <c r="E51" s="5" t="s">
        <v>70</v>
      </c>
      <c r="F51" s="5" t="s">
        <v>210</v>
      </c>
      <c r="G51" s="5" t="s">
        <v>208</v>
      </c>
      <c r="H51" s="5" t="s">
        <v>74</v>
      </c>
      <c r="I51" s="5" t="s">
        <v>58</v>
      </c>
      <c r="J51" s="5" t="s">
        <v>72</v>
      </c>
      <c r="K51" s="5" t="s">
        <v>73</v>
      </c>
      <c r="L51" s="5" t="s">
        <v>56</v>
      </c>
      <c r="M51" s="5" t="s">
        <v>64</v>
      </c>
      <c r="N51" s="5" t="s">
        <v>71</v>
      </c>
      <c r="O51" s="5" t="s">
        <v>59</v>
      </c>
      <c r="P51" s="5" t="s">
        <v>60</v>
      </c>
      <c r="Q51" s="5" t="s">
        <v>47</v>
      </c>
      <c r="R51" s="5" t="s">
        <v>207</v>
      </c>
      <c r="S51" s="5" t="s">
        <v>69</v>
      </c>
      <c r="T51" s="1">
        <v>10</v>
      </c>
      <c r="U51" s="1">
        <v>112</v>
      </c>
      <c r="V51" s="1">
        <v>42</v>
      </c>
      <c r="AA51">
        <f t="shared" si="17"/>
        <v>49</v>
      </c>
      <c r="AB51">
        <f t="shared" si="8"/>
        <v>1</v>
      </c>
    </row>
    <row r="52" spans="1:28" x14ac:dyDescent="0.3">
      <c r="A52" s="48">
        <v>37</v>
      </c>
      <c r="B52" s="4"/>
      <c r="C52" s="6" t="s">
        <v>16</v>
      </c>
      <c r="D52" s="5"/>
      <c r="E52" s="5" t="s">
        <v>68</v>
      </c>
      <c r="F52" s="5" t="s">
        <v>210</v>
      </c>
      <c r="G52" s="5" t="s">
        <v>208</v>
      </c>
      <c r="H52" s="5" t="s">
        <v>74</v>
      </c>
      <c r="I52" s="5" t="s">
        <v>58</v>
      </c>
      <c r="J52" s="5" t="s">
        <v>72</v>
      </c>
      <c r="K52" s="5" t="s">
        <v>73</v>
      </c>
      <c r="L52" s="5" t="s">
        <v>55</v>
      </c>
      <c r="M52" s="5" t="s">
        <v>64</v>
      </c>
      <c r="N52" s="5" t="s">
        <v>71</v>
      </c>
      <c r="O52" s="5" t="s">
        <v>59</v>
      </c>
      <c r="P52" s="5" t="s">
        <v>67</v>
      </c>
      <c r="Q52" s="5" t="s">
        <v>54</v>
      </c>
      <c r="R52" s="5" t="s">
        <v>207</v>
      </c>
      <c r="S52" s="5" t="s">
        <v>69</v>
      </c>
      <c r="T52" s="1">
        <v>10</v>
      </c>
      <c r="U52" s="1">
        <v>116</v>
      </c>
      <c r="V52" s="1">
        <v>42</v>
      </c>
      <c r="AA52">
        <f t="shared" si="17"/>
        <v>50</v>
      </c>
      <c r="AB52">
        <f t="shared" si="8"/>
        <v>0</v>
      </c>
    </row>
    <row r="53" spans="1:28" ht="28.8" x14ac:dyDescent="0.3">
      <c r="A53" s="48">
        <v>38</v>
      </c>
      <c r="B53" s="4"/>
      <c r="C53" s="6" t="s">
        <v>125</v>
      </c>
      <c r="D53" s="5"/>
      <c r="E53" s="5" t="s">
        <v>68</v>
      </c>
      <c r="F53" s="5" t="s">
        <v>210</v>
      </c>
      <c r="G53" s="5" t="s">
        <v>57</v>
      </c>
      <c r="H53" s="5" t="s">
        <v>74</v>
      </c>
      <c r="I53" s="5" t="s">
        <v>58</v>
      </c>
      <c r="J53" s="5" t="s">
        <v>72</v>
      </c>
      <c r="K53" s="5" t="s">
        <v>73</v>
      </c>
      <c r="L53" s="5" t="s">
        <v>55</v>
      </c>
      <c r="M53" s="5" t="s">
        <v>64</v>
      </c>
      <c r="N53" s="5" t="s">
        <v>75</v>
      </c>
      <c r="O53" s="5" t="s">
        <v>65</v>
      </c>
      <c r="P53" s="5" t="s">
        <v>67</v>
      </c>
      <c r="Q53" s="5" t="s">
        <v>54</v>
      </c>
      <c r="R53" s="5" t="s">
        <v>50</v>
      </c>
      <c r="S53" s="5" t="s">
        <v>69</v>
      </c>
      <c r="T53" s="1">
        <v>10</v>
      </c>
      <c r="U53" s="1">
        <v>111</v>
      </c>
      <c r="V53" s="1">
        <v>42</v>
      </c>
      <c r="AA53">
        <f t="shared" si="17"/>
        <v>51</v>
      </c>
      <c r="AB53">
        <f t="shared" si="8"/>
        <v>1</v>
      </c>
    </row>
    <row r="54" spans="1:28" ht="28.8" x14ac:dyDescent="0.3">
      <c r="A54" s="48">
        <v>39</v>
      </c>
      <c r="B54" s="4"/>
      <c r="C54" s="6" t="s">
        <v>174</v>
      </c>
      <c r="D54" s="5"/>
      <c r="E54" s="5" t="s">
        <v>70</v>
      </c>
      <c r="F54" s="5" t="s">
        <v>210</v>
      </c>
      <c r="G54" s="5" t="s">
        <v>57</v>
      </c>
      <c r="H54" s="5" t="s">
        <v>74</v>
      </c>
      <c r="I54" s="5" t="s">
        <v>53</v>
      </c>
      <c r="J54" s="5" t="s">
        <v>72</v>
      </c>
      <c r="K54" s="5" t="s">
        <v>73</v>
      </c>
      <c r="L54" s="5" t="s">
        <v>56</v>
      </c>
      <c r="M54" s="5" t="s">
        <v>64</v>
      </c>
      <c r="N54" s="5" t="s">
        <v>71</v>
      </c>
      <c r="O54" s="5" t="s">
        <v>59</v>
      </c>
      <c r="P54" s="5" t="s">
        <v>60</v>
      </c>
      <c r="Q54" s="5" t="s">
        <v>47</v>
      </c>
      <c r="R54" s="5" t="s">
        <v>207</v>
      </c>
      <c r="S54" s="5" t="s">
        <v>69</v>
      </c>
      <c r="T54" s="1">
        <v>10</v>
      </c>
      <c r="U54" s="1">
        <v>112</v>
      </c>
      <c r="V54" s="1">
        <v>45</v>
      </c>
      <c r="AA54">
        <f t="shared" si="17"/>
        <v>52</v>
      </c>
      <c r="AB54">
        <f t="shared" si="8"/>
        <v>5</v>
      </c>
    </row>
    <row r="55" spans="1:28" ht="28.8" x14ac:dyDescent="0.3">
      <c r="A55" s="48">
        <v>40</v>
      </c>
      <c r="B55" s="4"/>
      <c r="C55" s="6" t="s">
        <v>30</v>
      </c>
      <c r="D55" s="5"/>
      <c r="E55" s="5" t="s">
        <v>70</v>
      </c>
      <c r="F55" s="5" t="s">
        <v>210</v>
      </c>
      <c r="G55" s="5" t="s">
        <v>57</v>
      </c>
      <c r="H55" s="5" t="s">
        <v>74</v>
      </c>
      <c r="I55" s="5" t="s">
        <v>53</v>
      </c>
      <c r="J55" s="5" t="s">
        <v>72</v>
      </c>
      <c r="K55" s="5" t="s">
        <v>73</v>
      </c>
      <c r="L55" s="5" t="s">
        <v>56</v>
      </c>
      <c r="M55" s="5" t="s">
        <v>64</v>
      </c>
      <c r="N55" s="5" t="s">
        <v>71</v>
      </c>
      <c r="O55" s="5" t="s">
        <v>65</v>
      </c>
      <c r="P55" s="5" t="s">
        <v>60</v>
      </c>
      <c r="Q55" s="5" t="s">
        <v>54</v>
      </c>
      <c r="R55" s="5" t="s">
        <v>207</v>
      </c>
      <c r="S55" s="5" t="s">
        <v>69</v>
      </c>
      <c r="T55" s="1">
        <v>10</v>
      </c>
      <c r="U55" s="1">
        <v>109</v>
      </c>
      <c r="V55" s="1">
        <v>45</v>
      </c>
      <c r="AA55">
        <f t="shared" si="17"/>
        <v>53</v>
      </c>
      <c r="AB55">
        <f t="shared" si="8"/>
        <v>2</v>
      </c>
    </row>
    <row r="56" spans="1:28" x14ac:dyDescent="0.3">
      <c r="A56" s="48">
        <v>41</v>
      </c>
      <c r="B56" s="4"/>
      <c r="C56" s="6" t="s">
        <v>120</v>
      </c>
      <c r="D56" s="5"/>
      <c r="E56" s="5" t="s">
        <v>68</v>
      </c>
      <c r="F56" s="5" t="s">
        <v>210</v>
      </c>
      <c r="G56" s="5" t="s">
        <v>208</v>
      </c>
      <c r="H56" s="5" t="s">
        <v>51</v>
      </c>
      <c r="I56" s="5" t="s">
        <v>53</v>
      </c>
      <c r="J56" s="5" t="s">
        <v>72</v>
      </c>
      <c r="K56" s="5" t="s">
        <v>73</v>
      </c>
      <c r="L56" s="5" t="s">
        <v>55</v>
      </c>
      <c r="M56" s="5" t="s">
        <v>64</v>
      </c>
      <c r="N56" s="5" t="s">
        <v>75</v>
      </c>
      <c r="O56" s="5" t="s">
        <v>59</v>
      </c>
      <c r="P56" s="5" t="s">
        <v>60</v>
      </c>
      <c r="Q56" s="5" t="s">
        <v>54</v>
      </c>
      <c r="R56" s="5" t="s">
        <v>207</v>
      </c>
      <c r="S56" s="5" t="s">
        <v>69</v>
      </c>
      <c r="T56" s="1">
        <v>10</v>
      </c>
      <c r="U56" s="1">
        <v>103</v>
      </c>
      <c r="V56" s="1">
        <v>45</v>
      </c>
      <c r="AA56">
        <f t="shared" si="17"/>
        <v>54</v>
      </c>
      <c r="AB56">
        <f t="shared" si="8"/>
        <v>0</v>
      </c>
    </row>
    <row r="57" spans="1:28" x14ac:dyDescent="0.3">
      <c r="A57" s="48">
        <v>42</v>
      </c>
      <c r="B57" s="4"/>
      <c r="C57" s="6" t="s">
        <v>181</v>
      </c>
      <c r="D57" s="5"/>
      <c r="E57" s="5" t="s">
        <v>70</v>
      </c>
      <c r="F57" s="5" t="s">
        <v>210</v>
      </c>
      <c r="G57" s="5" t="s">
        <v>57</v>
      </c>
      <c r="H57" s="5" t="s">
        <v>74</v>
      </c>
      <c r="I57" s="5" t="s">
        <v>53</v>
      </c>
      <c r="J57" s="5" t="s">
        <v>52</v>
      </c>
      <c r="K57" s="5" t="s">
        <v>73</v>
      </c>
      <c r="L57" s="5" t="s">
        <v>55</v>
      </c>
      <c r="M57" s="5" t="s">
        <v>64</v>
      </c>
      <c r="N57" s="5" t="s">
        <v>71</v>
      </c>
      <c r="O57" s="5" t="s">
        <v>65</v>
      </c>
      <c r="P57" s="5" t="s">
        <v>67</v>
      </c>
      <c r="Q57" s="5" t="s">
        <v>47</v>
      </c>
      <c r="R57" s="5" t="s">
        <v>207</v>
      </c>
      <c r="S57" s="5" t="s">
        <v>69</v>
      </c>
      <c r="T57" s="1">
        <v>10</v>
      </c>
      <c r="U57" s="1">
        <v>105</v>
      </c>
      <c r="V57" s="1">
        <v>45</v>
      </c>
      <c r="AA57">
        <f t="shared" si="17"/>
        <v>55</v>
      </c>
      <c r="AB57">
        <f t="shared" si="8"/>
        <v>2</v>
      </c>
    </row>
    <row r="58" spans="1:28" ht="43.2" x14ac:dyDescent="0.3">
      <c r="A58" s="48">
        <v>43</v>
      </c>
      <c r="B58" s="4"/>
      <c r="C58" s="6" t="s">
        <v>171</v>
      </c>
      <c r="D58" s="5"/>
      <c r="E58" s="5" t="s">
        <v>70</v>
      </c>
      <c r="F58" s="5" t="s">
        <v>210</v>
      </c>
      <c r="G58" s="5" t="s">
        <v>208</v>
      </c>
      <c r="H58" s="5" t="s">
        <v>74</v>
      </c>
      <c r="I58" s="5" t="s">
        <v>58</v>
      </c>
      <c r="J58" s="5" t="s">
        <v>52</v>
      </c>
      <c r="K58" s="5" t="s">
        <v>62</v>
      </c>
      <c r="L58" s="5" t="s">
        <v>55</v>
      </c>
      <c r="M58" s="5" t="s">
        <v>64</v>
      </c>
      <c r="N58" s="5" t="s">
        <v>75</v>
      </c>
      <c r="O58" s="5" t="s">
        <v>65</v>
      </c>
      <c r="P58" s="5" t="s">
        <v>67</v>
      </c>
      <c r="Q58" s="5" t="s">
        <v>54</v>
      </c>
      <c r="R58" s="5" t="s">
        <v>207</v>
      </c>
      <c r="S58" s="5" t="s">
        <v>66</v>
      </c>
      <c r="T58" s="1">
        <v>10</v>
      </c>
      <c r="U58" s="1">
        <v>105</v>
      </c>
      <c r="V58" s="1">
        <v>45</v>
      </c>
      <c r="AA58">
        <f t="shared" si="17"/>
        <v>56</v>
      </c>
      <c r="AB58">
        <f t="shared" si="8"/>
        <v>0</v>
      </c>
    </row>
    <row r="59" spans="1:28" x14ac:dyDescent="0.3">
      <c r="A59" s="48">
        <v>44</v>
      </c>
      <c r="B59" s="4"/>
      <c r="C59" s="6" t="s">
        <v>94</v>
      </c>
      <c r="D59" s="5"/>
      <c r="E59" s="5" t="s">
        <v>68</v>
      </c>
      <c r="F59" s="5" t="s">
        <v>210</v>
      </c>
      <c r="G59" s="5" t="s">
        <v>208</v>
      </c>
      <c r="H59" s="5" t="s">
        <v>74</v>
      </c>
      <c r="I59" s="5" t="s">
        <v>53</v>
      </c>
      <c r="J59" s="5" t="s">
        <v>52</v>
      </c>
      <c r="K59" s="5" t="s">
        <v>73</v>
      </c>
      <c r="L59" s="5" t="s">
        <v>55</v>
      </c>
      <c r="M59" s="5" t="s">
        <v>64</v>
      </c>
      <c r="N59" s="5" t="s">
        <v>75</v>
      </c>
      <c r="O59" s="5" t="s">
        <v>59</v>
      </c>
      <c r="P59" s="5" t="s">
        <v>67</v>
      </c>
      <c r="Q59" s="5" t="s">
        <v>54</v>
      </c>
      <c r="R59" s="5" t="s">
        <v>50</v>
      </c>
      <c r="S59" s="5" t="s">
        <v>69</v>
      </c>
      <c r="T59" s="1">
        <v>10</v>
      </c>
      <c r="U59" s="1">
        <v>120</v>
      </c>
      <c r="V59" s="1">
        <v>48</v>
      </c>
      <c r="AA59">
        <f t="shared" si="17"/>
        <v>57</v>
      </c>
      <c r="AB59">
        <f t="shared" si="8"/>
        <v>0</v>
      </c>
    </row>
    <row r="60" spans="1:28" ht="28.8" x14ac:dyDescent="0.3">
      <c r="A60" s="48">
        <v>45</v>
      </c>
      <c r="B60" s="4"/>
      <c r="C60" s="6" t="s">
        <v>107</v>
      </c>
      <c r="D60" s="5"/>
      <c r="E60" s="5" t="s">
        <v>70</v>
      </c>
      <c r="F60" s="5" t="s">
        <v>210</v>
      </c>
      <c r="G60" s="5" t="s">
        <v>57</v>
      </c>
      <c r="H60" s="5" t="s">
        <v>74</v>
      </c>
      <c r="I60" s="5" t="s">
        <v>53</v>
      </c>
      <c r="J60" s="5" t="s">
        <v>52</v>
      </c>
      <c r="K60" s="5" t="s">
        <v>73</v>
      </c>
      <c r="L60" s="5" t="s">
        <v>56</v>
      </c>
      <c r="M60" s="5" t="s">
        <v>64</v>
      </c>
      <c r="N60" s="5" t="s">
        <v>71</v>
      </c>
      <c r="O60" s="5" t="s">
        <v>65</v>
      </c>
      <c r="P60" s="5" t="s">
        <v>67</v>
      </c>
      <c r="Q60" s="5" t="s">
        <v>54</v>
      </c>
      <c r="R60" s="5" t="s">
        <v>207</v>
      </c>
      <c r="S60" s="5" t="s">
        <v>69</v>
      </c>
      <c r="T60" s="1">
        <v>10</v>
      </c>
      <c r="U60" s="1">
        <v>105</v>
      </c>
      <c r="V60" s="1">
        <v>48</v>
      </c>
      <c r="AA60">
        <f t="shared" si="17"/>
        <v>58</v>
      </c>
      <c r="AB60">
        <f t="shared" si="8"/>
        <v>1</v>
      </c>
    </row>
    <row r="61" spans="1:28" ht="43.2" x14ac:dyDescent="0.3">
      <c r="A61" s="48">
        <v>46</v>
      </c>
      <c r="B61" s="4"/>
      <c r="C61" s="6" t="s">
        <v>188</v>
      </c>
      <c r="D61" s="5"/>
      <c r="E61" s="5" t="s">
        <v>70</v>
      </c>
      <c r="F61" s="5" t="s">
        <v>210</v>
      </c>
      <c r="G61" s="5" t="s">
        <v>57</v>
      </c>
      <c r="H61" s="5" t="s">
        <v>74</v>
      </c>
      <c r="I61" s="5" t="s">
        <v>53</v>
      </c>
      <c r="J61" s="5" t="s">
        <v>52</v>
      </c>
      <c r="K61" s="5" t="s">
        <v>73</v>
      </c>
      <c r="L61" s="5" t="s">
        <v>56</v>
      </c>
      <c r="M61" s="5" t="s">
        <v>64</v>
      </c>
      <c r="N61" s="5" t="s">
        <v>75</v>
      </c>
      <c r="O61" s="5" t="s">
        <v>65</v>
      </c>
      <c r="P61" s="5" t="s">
        <v>67</v>
      </c>
      <c r="Q61" s="5" t="s">
        <v>47</v>
      </c>
      <c r="R61" s="5" t="s">
        <v>207</v>
      </c>
      <c r="S61" s="5" t="s">
        <v>69</v>
      </c>
      <c r="T61" s="1">
        <v>10</v>
      </c>
      <c r="U61" s="1">
        <v>105</v>
      </c>
      <c r="V61" s="1">
        <v>52</v>
      </c>
      <c r="AA61">
        <f t="shared" si="17"/>
        <v>59</v>
      </c>
      <c r="AB61">
        <f t="shared" si="8"/>
        <v>0</v>
      </c>
    </row>
    <row r="62" spans="1:28" ht="28.8" x14ac:dyDescent="0.3">
      <c r="A62" s="48">
        <v>47</v>
      </c>
      <c r="B62" s="4"/>
      <c r="C62" s="6" t="s">
        <v>200</v>
      </c>
      <c r="D62" s="5"/>
      <c r="E62" s="5" t="s">
        <v>70</v>
      </c>
      <c r="F62" s="5" t="s">
        <v>61</v>
      </c>
      <c r="G62" s="5" t="s">
        <v>208</v>
      </c>
      <c r="H62" s="5" t="s">
        <v>74</v>
      </c>
      <c r="I62" s="5" t="s">
        <v>53</v>
      </c>
      <c r="J62" s="5" t="s">
        <v>52</v>
      </c>
      <c r="K62" s="5" t="s">
        <v>73</v>
      </c>
      <c r="L62" s="5" t="s">
        <v>55</v>
      </c>
      <c r="M62" s="5" t="s">
        <v>64</v>
      </c>
      <c r="N62" s="5" t="s">
        <v>71</v>
      </c>
      <c r="O62" s="5" t="s">
        <v>59</v>
      </c>
      <c r="P62" s="5" t="s">
        <v>67</v>
      </c>
      <c r="Q62" s="5" t="s">
        <v>54</v>
      </c>
      <c r="R62" s="5" t="s">
        <v>207</v>
      </c>
      <c r="S62" s="5" t="s">
        <v>69</v>
      </c>
      <c r="T62" s="1">
        <v>10</v>
      </c>
      <c r="U62" s="1">
        <v>92</v>
      </c>
      <c r="V62" s="1">
        <v>58</v>
      </c>
      <c r="AA62">
        <f t="shared" si="17"/>
        <v>60</v>
      </c>
      <c r="AB62">
        <f t="shared" si="8"/>
        <v>0</v>
      </c>
    </row>
    <row r="63" spans="1:28" ht="28.8" x14ac:dyDescent="0.3">
      <c r="A63" s="48">
        <v>48</v>
      </c>
      <c r="B63" s="4"/>
      <c r="C63" s="6" t="s">
        <v>196</v>
      </c>
      <c r="D63" s="5"/>
      <c r="E63" s="5" t="s">
        <v>70</v>
      </c>
      <c r="F63" s="5" t="s">
        <v>210</v>
      </c>
      <c r="G63" s="5" t="s">
        <v>208</v>
      </c>
      <c r="H63" s="5" t="s">
        <v>51</v>
      </c>
      <c r="I63" s="5" t="s">
        <v>58</v>
      </c>
      <c r="J63" s="5" t="s">
        <v>52</v>
      </c>
      <c r="K63" s="5" t="s">
        <v>73</v>
      </c>
      <c r="L63" s="5" t="s">
        <v>55</v>
      </c>
      <c r="M63" s="5" t="s">
        <v>63</v>
      </c>
      <c r="N63" s="5" t="s">
        <v>75</v>
      </c>
      <c r="O63" s="5" t="s">
        <v>59</v>
      </c>
      <c r="P63" s="5" t="s">
        <v>67</v>
      </c>
      <c r="Q63" s="5" t="s">
        <v>47</v>
      </c>
      <c r="R63" s="5" t="s">
        <v>50</v>
      </c>
      <c r="S63" s="5" t="s">
        <v>69</v>
      </c>
      <c r="T63" s="1">
        <v>9</v>
      </c>
      <c r="U63" s="1">
        <v>95</v>
      </c>
      <c r="V63" s="1">
        <v>35</v>
      </c>
      <c r="AA63">
        <f t="shared" si="17"/>
        <v>61</v>
      </c>
      <c r="AB63">
        <f t="shared" si="8"/>
        <v>0</v>
      </c>
    </row>
    <row r="64" spans="1:28" ht="28.8" x14ac:dyDescent="0.3">
      <c r="A64" s="48">
        <v>49</v>
      </c>
      <c r="B64" s="4"/>
      <c r="C64" s="6" t="s">
        <v>137</v>
      </c>
      <c r="D64" s="5"/>
      <c r="E64" s="5" t="s">
        <v>68</v>
      </c>
      <c r="F64" s="5" t="s">
        <v>210</v>
      </c>
      <c r="G64" s="5" t="s">
        <v>208</v>
      </c>
      <c r="H64" s="5" t="s">
        <v>74</v>
      </c>
      <c r="I64" s="5" t="s">
        <v>53</v>
      </c>
      <c r="J64" s="5" t="s">
        <v>52</v>
      </c>
      <c r="K64" s="5" t="s">
        <v>73</v>
      </c>
      <c r="L64" s="5" t="s">
        <v>55</v>
      </c>
      <c r="M64" s="5" t="s">
        <v>64</v>
      </c>
      <c r="N64" s="5" t="s">
        <v>75</v>
      </c>
      <c r="O64" s="5" t="s">
        <v>65</v>
      </c>
      <c r="P64" s="5" t="s">
        <v>67</v>
      </c>
      <c r="Q64" s="5" t="s">
        <v>54</v>
      </c>
      <c r="R64" s="5" t="s">
        <v>50</v>
      </c>
      <c r="S64" s="5" t="s">
        <v>69</v>
      </c>
      <c r="T64" s="1">
        <v>9</v>
      </c>
      <c r="U64" s="1">
        <v>102</v>
      </c>
      <c r="V64" s="1">
        <v>35</v>
      </c>
      <c r="AA64">
        <f t="shared" si="17"/>
        <v>62</v>
      </c>
      <c r="AB64">
        <f t="shared" si="8"/>
        <v>0</v>
      </c>
    </row>
    <row r="65" spans="1:28" x14ac:dyDescent="0.3">
      <c r="A65" s="48">
        <v>50</v>
      </c>
      <c r="B65" s="4"/>
      <c r="C65" s="6" t="s">
        <v>18</v>
      </c>
      <c r="D65" s="5"/>
      <c r="E65" s="5" t="s">
        <v>68</v>
      </c>
      <c r="F65" s="5" t="s">
        <v>61</v>
      </c>
      <c r="G65" s="5" t="s">
        <v>57</v>
      </c>
      <c r="H65" s="5" t="s">
        <v>51</v>
      </c>
      <c r="I65" s="5" t="s">
        <v>58</v>
      </c>
      <c r="J65" s="5" t="s">
        <v>72</v>
      </c>
      <c r="K65" s="5" t="s">
        <v>73</v>
      </c>
      <c r="L65" s="5" t="s">
        <v>56</v>
      </c>
      <c r="M65" s="5" t="s">
        <v>64</v>
      </c>
      <c r="N65" s="5" t="s">
        <v>75</v>
      </c>
      <c r="O65" s="5" t="s">
        <v>65</v>
      </c>
      <c r="P65" s="5" t="s">
        <v>60</v>
      </c>
      <c r="Q65" s="5" t="s">
        <v>54</v>
      </c>
      <c r="R65" s="5" t="s">
        <v>207</v>
      </c>
      <c r="S65" s="5" t="s">
        <v>69</v>
      </c>
      <c r="T65" s="1">
        <v>9</v>
      </c>
      <c r="U65" s="1">
        <v>94</v>
      </c>
      <c r="V65" s="1">
        <v>40</v>
      </c>
      <c r="AA65">
        <f t="shared" si="17"/>
        <v>63</v>
      </c>
      <c r="AB65">
        <f t="shared" si="8"/>
        <v>0</v>
      </c>
    </row>
    <row r="66" spans="1:28" ht="28.8" x14ac:dyDescent="0.3">
      <c r="A66" s="48">
        <v>51</v>
      </c>
      <c r="B66" s="4"/>
      <c r="C66" s="6" t="s">
        <v>104</v>
      </c>
      <c r="D66" s="5"/>
      <c r="E66" s="5" t="s">
        <v>68</v>
      </c>
      <c r="F66" s="5" t="s">
        <v>61</v>
      </c>
      <c r="G66" s="5" t="s">
        <v>57</v>
      </c>
      <c r="H66" s="5" t="s">
        <v>51</v>
      </c>
      <c r="I66" s="5" t="s">
        <v>53</v>
      </c>
      <c r="J66" s="5" t="s">
        <v>52</v>
      </c>
      <c r="K66" s="5" t="s">
        <v>73</v>
      </c>
      <c r="L66" s="5" t="s">
        <v>55</v>
      </c>
      <c r="M66" s="5" t="s">
        <v>64</v>
      </c>
      <c r="N66" s="5" t="s">
        <v>71</v>
      </c>
      <c r="O66" s="5" t="s">
        <v>59</v>
      </c>
      <c r="P66" s="5" t="s">
        <v>60</v>
      </c>
      <c r="Q66" s="5" t="s">
        <v>54</v>
      </c>
      <c r="R66" s="5" t="s">
        <v>207</v>
      </c>
      <c r="S66" s="5" t="s">
        <v>66</v>
      </c>
      <c r="T66" s="1">
        <v>9</v>
      </c>
      <c r="U66" s="1">
        <v>101</v>
      </c>
      <c r="V66" s="1">
        <v>40</v>
      </c>
      <c r="AA66">
        <f t="shared" si="17"/>
        <v>64</v>
      </c>
      <c r="AB66">
        <f t="shared" si="8"/>
        <v>0</v>
      </c>
    </row>
    <row r="67" spans="1:28" x14ac:dyDescent="0.3">
      <c r="A67" s="48">
        <v>52</v>
      </c>
      <c r="B67" s="4"/>
      <c r="C67" s="6" t="s">
        <v>19</v>
      </c>
      <c r="D67" s="5"/>
      <c r="E67" s="5" t="s">
        <v>68</v>
      </c>
      <c r="F67" s="5" t="s">
        <v>210</v>
      </c>
      <c r="G67" s="5" t="s">
        <v>208</v>
      </c>
      <c r="H67" s="5" t="s">
        <v>74</v>
      </c>
      <c r="I67" s="5" t="s">
        <v>53</v>
      </c>
      <c r="J67" s="5" t="s">
        <v>52</v>
      </c>
      <c r="K67" s="5" t="s">
        <v>73</v>
      </c>
      <c r="L67" s="5" t="s">
        <v>55</v>
      </c>
      <c r="M67" s="5" t="s">
        <v>64</v>
      </c>
      <c r="N67" s="5" t="s">
        <v>71</v>
      </c>
      <c r="O67" s="5" t="s">
        <v>65</v>
      </c>
      <c r="P67" s="5" t="s">
        <v>67</v>
      </c>
      <c r="Q67" s="5" t="s">
        <v>54</v>
      </c>
      <c r="R67" s="5" t="s">
        <v>207</v>
      </c>
      <c r="S67" s="5" t="s">
        <v>69</v>
      </c>
      <c r="T67" s="1">
        <v>9</v>
      </c>
      <c r="U67" s="1">
        <v>115</v>
      </c>
      <c r="V67" s="1">
        <v>42</v>
      </c>
      <c r="AA67">
        <f t="shared" si="17"/>
        <v>65</v>
      </c>
      <c r="AB67">
        <f t="shared" ref="AB67:AB120" si="18">COUNTIF(V$16:V$179,AA67)</f>
        <v>1</v>
      </c>
    </row>
    <row r="68" spans="1:28" x14ac:dyDescent="0.3">
      <c r="A68" s="48">
        <v>53</v>
      </c>
      <c r="B68" s="4"/>
      <c r="C68" s="6" t="s">
        <v>88</v>
      </c>
      <c r="D68" s="5"/>
      <c r="E68" s="5" t="s">
        <v>70</v>
      </c>
      <c r="F68" s="5" t="s">
        <v>61</v>
      </c>
      <c r="G68" s="5" t="s">
        <v>57</v>
      </c>
      <c r="H68" s="5" t="s">
        <v>74</v>
      </c>
      <c r="I68" s="5" t="s">
        <v>58</v>
      </c>
      <c r="J68" s="5" t="s">
        <v>72</v>
      </c>
      <c r="K68" s="5" t="s">
        <v>73</v>
      </c>
      <c r="L68" s="5" t="s">
        <v>56</v>
      </c>
      <c r="M68" s="5" t="s">
        <v>64</v>
      </c>
      <c r="N68" s="5" t="s">
        <v>71</v>
      </c>
      <c r="O68" s="5" t="s">
        <v>59</v>
      </c>
      <c r="P68" s="5" t="s">
        <v>67</v>
      </c>
      <c r="Q68" s="5" t="s">
        <v>47</v>
      </c>
      <c r="R68" s="5" t="s">
        <v>207</v>
      </c>
      <c r="S68" s="5" t="s">
        <v>69</v>
      </c>
      <c r="T68" s="1">
        <v>9</v>
      </c>
      <c r="U68" s="1">
        <v>112</v>
      </c>
      <c r="V68" s="1">
        <v>42</v>
      </c>
      <c r="AA68">
        <f t="shared" si="17"/>
        <v>66</v>
      </c>
      <c r="AB68">
        <f t="shared" si="18"/>
        <v>0</v>
      </c>
    </row>
    <row r="69" spans="1:28" ht="28.8" x14ac:dyDescent="0.3">
      <c r="A69" s="48">
        <v>54</v>
      </c>
      <c r="B69" s="4"/>
      <c r="C69" s="6" t="s">
        <v>133</v>
      </c>
      <c r="D69" s="5"/>
      <c r="E69" s="5" t="s">
        <v>68</v>
      </c>
      <c r="F69" s="5" t="s">
        <v>210</v>
      </c>
      <c r="G69" s="5" t="s">
        <v>57</v>
      </c>
      <c r="H69" s="5" t="s">
        <v>74</v>
      </c>
      <c r="I69" s="5" t="s">
        <v>53</v>
      </c>
      <c r="J69" s="5" t="s">
        <v>52</v>
      </c>
      <c r="K69" s="5" t="s">
        <v>73</v>
      </c>
      <c r="L69" s="5" t="s">
        <v>56</v>
      </c>
      <c r="M69" s="5" t="s">
        <v>64</v>
      </c>
      <c r="N69" s="5" t="s">
        <v>75</v>
      </c>
      <c r="O69" s="5" t="s">
        <v>65</v>
      </c>
      <c r="P69" s="5" t="s">
        <v>67</v>
      </c>
      <c r="Q69" s="5" t="s">
        <v>47</v>
      </c>
      <c r="R69" s="5" t="s">
        <v>207</v>
      </c>
      <c r="S69" s="5" t="s">
        <v>69</v>
      </c>
      <c r="T69" s="1">
        <v>9</v>
      </c>
      <c r="U69" s="1">
        <v>100</v>
      </c>
      <c r="V69" s="1">
        <v>42</v>
      </c>
      <c r="AA69">
        <f t="shared" si="17"/>
        <v>67</v>
      </c>
      <c r="AB69">
        <f t="shared" si="18"/>
        <v>0</v>
      </c>
    </row>
    <row r="70" spans="1:28" x14ac:dyDescent="0.3">
      <c r="A70" s="48">
        <v>55</v>
      </c>
      <c r="B70" s="4"/>
      <c r="C70" s="6" t="s">
        <v>33</v>
      </c>
      <c r="D70" s="5"/>
      <c r="E70" s="5" t="s">
        <v>70</v>
      </c>
      <c r="F70" s="5" t="s">
        <v>61</v>
      </c>
      <c r="G70" s="5" t="s">
        <v>208</v>
      </c>
      <c r="H70" s="5" t="s">
        <v>51</v>
      </c>
      <c r="I70" s="5" t="s">
        <v>53</v>
      </c>
      <c r="J70" s="5" t="s">
        <v>72</v>
      </c>
      <c r="K70" s="5" t="s">
        <v>73</v>
      </c>
      <c r="L70" s="5" t="s">
        <v>55</v>
      </c>
      <c r="M70" s="5" t="s">
        <v>64</v>
      </c>
      <c r="N70" s="5" t="s">
        <v>75</v>
      </c>
      <c r="O70" s="5" t="s">
        <v>65</v>
      </c>
      <c r="P70" s="5" t="s">
        <v>60</v>
      </c>
      <c r="Q70" s="5" t="s">
        <v>54</v>
      </c>
      <c r="R70" s="5" t="s">
        <v>207</v>
      </c>
      <c r="S70" s="5" t="s">
        <v>69</v>
      </c>
      <c r="T70" s="1">
        <v>9</v>
      </c>
      <c r="U70" s="1">
        <v>103</v>
      </c>
      <c r="V70" s="1">
        <v>42</v>
      </c>
      <c r="AA70">
        <f t="shared" si="17"/>
        <v>68</v>
      </c>
      <c r="AB70">
        <f t="shared" si="18"/>
        <v>0</v>
      </c>
    </row>
    <row r="71" spans="1:28" x14ac:dyDescent="0.3">
      <c r="A71" s="48">
        <v>56</v>
      </c>
      <c r="B71" s="4"/>
      <c r="C71" s="6" t="s">
        <v>157</v>
      </c>
      <c r="D71" s="5"/>
      <c r="E71" s="5" t="s">
        <v>68</v>
      </c>
      <c r="F71" s="5" t="s">
        <v>210</v>
      </c>
      <c r="G71" s="5" t="s">
        <v>208</v>
      </c>
      <c r="H71" s="5" t="s">
        <v>51</v>
      </c>
      <c r="I71" s="5" t="s">
        <v>53</v>
      </c>
      <c r="J71" s="5" t="s">
        <v>52</v>
      </c>
      <c r="K71" s="5" t="s">
        <v>73</v>
      </c>
      <c r="L71" s="5" t="s">
        <v>55</v>
      </c>
      <c r="M71" s="5" t="s">
        <v>64</v>
      </c>
      <c r="N71" s="5" t="s">
        <v>71</v>
      </c>
      <c r="O71" s="5" t="s">
        <v>59</v>
      </c>
      <c r="P71" s="5" t="s">
        <v>60</v>
      </c>
      <c r="Q71" s="5" t="s">
        <v>54</v>
      </c>
      <c r="R71" s="5" t="s">
        <v>207</v>
      </c>
      <c r="S71" s="5" t="s">
        <v>66</v>
      </c>
      <c r="T71" s="1">
        <v>9</v>
      </c>
      <c r="U71" s="1">
        <v>102</v>
      </c>
      <c r="V71" s="1">
        <v>42</v>
      </c>
      <c r="AA71">
        <f t="shared" ref="AA71:AA120" si="19">AA70+1</f>
        <v>69</v>
      </c>
      <c r="AB71">
        <f t="shared" si="18"/>
        <v>0</v>
      </c>
    </row>
    <row r="72" spans="1:28" x14ac:dyDescent="0.3">
      <c r="A72" s="48">
        <v>57</v>
      </c>
      <c r="B72" s="4"/>
      <c r="C72" s="6" t="s">
        <v>183</v>
      </c>
      <c r="D72" s="5"/>
      <c r="E72" s="5" t="s">
        <v>68</v>
      </c>
      <c r="F72" s="5" t="s">
        <v>210</v>
      </c>
      <c r="G72" s="5" t="s">
        <v>57</v>
      </c>
      <c r="H72" s="5" t="s">
        <v>74</v>
      </c>
      <c r="I72" s="5" t="s">
        <v>53</v>
      </c>
      <c r="J72" s="5" t="s">
        <v>52</v>
      </c>
      <c r="K72" s="5" t="s">
        <v>73</v>
      </c>
      <c r="L72" s="5" t="s">
        <v>55</v>
      </c>
      <c r="M72" s="5" t="s">
        <v>64</v>
      </c>
      <c r="N72" s="5" t="s">
        <v>71</v>
      </c>
      <c r="O72" s="5" t="s">
        <v>65</v>
      </c>
      <c r="P72" s="5" t="s">
        <v>67</v>
      </c>
      <c r="Q72" s="5" t="s">
        <v>47</v>
      </c>
      <c r="R72" s="5" t="s">
        <v>207</v>
      </c>
      <c r="S72" s="5" t="s">
        <v>69</v>
      </c>
      <c r="T72" s="1">
        <v>9</v>
      </c>
      <c r="U72" s="1">
        <v>101</v>
      </c>
      <c r="V72" s="1">
        <v>42</v>
      </c>
      <c r="AA72">
        <f t="shared" si="19"/>
        <v>70</v>
      </c>
      <c r="AB72">
        <f t="shared" si="18"/>
        <v>0</v>
      </c>
    </row>
    <row r="73" spans="1:28" ht="28.8" x14ac:dyDescent="0.3">
      <c r="A73" s="48">
        <v>58</v>
      </c>
      <c r="B73" s="4"/>
      <c r="C73" s="6" t="s">
        <v>9</v>
      </c>
      <c r="D73" s="5"/>
      <c r="E73" s="5" t="s">
        <v>68</v>
      </c>
      <c r="F73" s="5" t="s">
        <v>210</v>
      </c>
      <c r="G73" s="5" t="s">
        <v>57</v>
      </c>
      <c r="H73" s="5" t="s">
        <v>74</v>
      </c>
      <c r="I73" s="5" t="s">
        <v>53</v>
      </c>
      <c r="J73" s="5" t="s">
        <v>52</v>
      </c>
      <c r="K73" s="5" t="s">
        <v>73</v>
      </c>
      <c r="L73" s="5" t="s">
        <v>55</v>
      </c>
      <c r="M73" s="5" t="s">
        <v>64</v>
      </c>
      <c r="N73" s="5" t="s">
        <v>71</v>
      </c>
      <c r="O73" s="5" t="s">
        <v>65</v>
      </c>
      <c r="P73" s="5" t="s">
        <v>60</v>
      </c>
      <c r="Q73" s="5" t="s">
        <v>47</v>
      </c>
      <c r="R73" s="5" t="s">
        <v>207</v>
      </c>
      <c r="S73" s="5" t="s">
        <v>66</v>
      </c>
      <c r="T73" s="1">
        <v>9</v>
      </c>
      <c r="U73" s="1">
        <v>116</v>
      </c>
      <c r="V73" s="1">
        <v>42</v>
      </c>
      <c r="AA73">
        <f t="shared" si="19"/>
        <v>71</v>
      </c>
      <c r="AB73">
        <f t="shared" si="18"/>
        <v>0</v>
      </c>
    </row>
    <row r="74" spans="1:28" ht="28.8" x14ac:dyDescent="0.3">
      <c r="A74" s="48">
        <v>59</v>
      </c>
      <c r="B74" s="4"/>
      <c r="C74" s="6" t="s">
        <v>182</v>
      </c>
      <c r="D74" s="5"/>
      <c r="E74" s="5" t="s">
        <v>70</v>
      </c>
      <c r="F74" s="5" t="s">
        <v>210</v>
      </c>
      <c r="G74" s="5" t="s">
        <v>57</v>
      </c>
      <c r="H74" s="5" t="s">
        <v>74</v>
      </c>
      <c r="I74" s="5" t="s">
        <v>58</v>
      </c>
      <c r="J74" s="5" t="s">
        <v>72</v>
      </c>
      <c r="K74" s="5" t="s">
        <v>73</v>
      </c>
      <c r="L74" s="5" t="s">
        <v>55</v>
      </c>
      <c r="M74" s="5" t="s">
        <v>64</v>
      </c>
      <c r="N74" s="5" t="s">
        <v>71</v>
      </c>
      <c r="O74" s="5" t="s">
        <v>65</v>
      </c>
      <c r="P74" s="5" t="s">
        <v>67</v>
      </c>
      <c r="Q74" s="5" t="s">
        <v>54</v>
      </c>
      <c r="R74" s="5" t="s">
        <v>50</v>
      </c>
      <c r="S74" s="5" t="s">
        <v>66</v>
      </c>
      <c r="T74" s="1">
        <v>9</v>
      </c>
      <c r="U74" s="1">
        <v>81</v>
      </c>
      <c r="V74" s="1">
        <v>42</v>
      </c>
      <c r="AA74">
        <f t="shared" si="19"/>
        <v>72</v>
      </c>
      <c r="AB74">
        <f t="shared" si="18"/>
        <v>0</v>
      </c>
    </row>
    <row r="75" spans="1:28" x14ac:dyDescent="0.3">
      <c r="A75" s="48">
        <v>60</v>
      </c>
      <c r="B75" s="4"/>
      <c r="C75" s="6" t="s">
        <v>45</v>
      </c>
      <c r="D75" s="5"/>
      <c r="E75" s="5" t="s">
        <v>70</v>
      </c>
      <c r="F75" s="5" t="s">
        <v>210</v>
      </c>
      <c r="G75" s="5" t="s">
        <v>208</v>
      </c>
      <c r="H75" s="5" t="s">
        <v>74</v>
      </c>
      <c r="I75" s="5" t="s">
        <v>53</v>
      </c>
      <c r="J75" s="5" t="s">
        <v>52</v>
      </c>
      <c r="K75" s="5" t="s">
        <v>62</v>
      </c>
      <c r="L75" s="5" t="s">
        <v>55</v>
      </c>
      <c r="M75" s="5" t="s">
        <v>64</v>
      </c>
      <c r="N75" s="5" t="s">
        <v>71</v>
      </c>
      <c r="O75" s="5" t="s">
        <v>65</v>
      </c>
      <c r="P75" s="5" t="s">
        <v>67</v>
      </c>
      <c r="Q75" s="5" t="s">
        <v>54</v>
      </c>
      <c r="R75" s="5" t="s">
        <v>207</v>
      </c>
      <c r="S75" s="5" t="s">
        <v>69</v>
      </c>
      <c r="T75" s="1">
        <v>9</v>
      </c>
      <c r="U75" s="1">
        <v>94</v>
      </c>
      <c r="V75" s="1">
        <v>44</v>
      </c>
      <c r="AA75">
        <f t="shared" si="19"/>
        <v>73</v>
      </c>
      <c r="AB75">
        <f t="shared" si="18"/>
        <v>0</v>
      </c>
    </row>
    <row r="76" spans="1:28" ht="28.8" x14ac:dyDescent="0.3">
      <c r="A76" s="48">
        <v>61</v>
      </c>
      <c r="B76" s="4"/>
      <c r="C76" s="6" t="s">
        <v>117</v>
      </c>
      <c r="D76" s="5"/>
      <c r="E76" s="5" t="s">
        <v>68</v>
      </c>
      <c r="F76" s="5" t="s">
        <v>210</v>
      </c>
      <c r="G76" s="5" t="s">
        <v>57</v>
      </c>
      <c r="H76" s="5" t="s">
        <v>74</v>
      </c>
      <c r="I76" s="5" t="s">
        <v>53</v>
      </c>
      <c r="J76" s="5" t="s">
        <v>52</v>
      </c>
      <c r="K76" s="5" t="s">
        <v>73</v>
      </c>
      <c r="L76" s="5" t="s">
        <v>56</v>
      </c>
      <c r="M76" s="5" t="s">
        <v>64</v>
      </c>
      <c r="N76" s="5" t="s">
        <v>71</v>
      </c>
      <c r="O76" s="5" t="s">
        <v>59</v>
      </c>
      <c r="P76" s="5" t="s">
        <v>67</v>
      </c>
      <c r="Q76" s="5" t="s">
        <v>47</v>
      </c>
      <c r="R76" s="5" t="s">
        <v>207</v>
      </c>
      <c r="S76" s="5" t="s">
        <v>69</v>
      </c>
      <c r="T76" s="1">
        <v>9</v>
      </c>
      <c r="U76" s="1">
        <v>113</v>
      </c>
      <c r="V76" s="1">
        <v>44</v>
      </c>
      <c r="AA76">
        <f t="shared" si="19"/>
        <v>74</v>
      </c>
      <c r="AB76">
        <f t="shared" si="18"/>
        <v>0</v>
      </c>
    </row>
    <row r="77" spans="1:28" x14ac:dyDescent="0.3">
      <c r="A77" s="48">
        <v>62</v>
      </c>
      <c r="B77" s="4"/>
      <c r="C77" s="6" t="s">
        <v>43</v>
      </c>
      <c r="D77" s="5"/>
      <c r="E77" s="5" t="s">
        <v>68</v>
      </c>
      <c r="F77" s="5" t="s">
        <v>61</v>
      </c>
      <c r="G77" s="5" t="s">
        <v>208</v>
      </c>
      <c r="H77" s="5" t="s">
        <v>74</v>
      </c>
      <c r="I77" s="5" t="s">
        <v>53</v>
      </c>
      <c r="J77" s="5" t="s">
        <v>52</v>
      </c>
      <c r="K77" s="5" t="s">
        <v>73</v>
      </c>
      <c r="L77" s="5" t="s">
        <v>55</v>
      </c>
      <c r="M77" s="5" t="s">
        <v>63</v>
      </c>
      <c r="N77" s="5" t="s">
        <v>71</v>
      </c>
      <c r="O77" s="5" t="s">
        <v>59</v>
      </c>
      <c r="P77" s="5" t="s">
        <v>60</v>
      </c>
      <c r="Q77" s="5" t="s">
        <v>54</v>
      </c>
      <c r="R77" s="5" t="s">
        <v>207</v>
      </c>
      <c r="S77" s="5" t="s">
        <v>69</v>
      </c>
      <c r="T77" s="1">
        <v>9</v>
      </c>
      <c r="U77" s="1">
        <v>109</v>
      </c>
      <c r="V77" s="1">
        <v>44</v>
      </c>
      <c r="AA77">
        <f t="shared" si="19"/>
        <v>75</v>
      </c>
      <c r="AB77">
        <f t="shared" si="18"/>
        <v>0</v>
      </c>
    </row>
    <row r="78" spans="1:28" ht="28.8" x14ac:dyDescent="0.3">
      <c r="A78" s="48">
        <v>63</v>
      </c>
      <c r="B78" s="4"/>
      <c r="C78" s="6" t="s">
        <v>28</v>
      </c>
      <c r="D78" s="5"/>
      <c r="E78" s="5" t="s">
        <v>70</v>
      </c>
      <c r="F78" s="5" t="s">
        <v>210</v>
      </c>
      <c r="G78" s="5" t="s">
        <v>57</v>
      </c>
      <c r="H78" s="5" t="s">
        <v>74</v>
      </c>
      <c r="I78" s="5" t="s">
        <v>53</v>
      </c>
      <c r="J78" s="5" t="s">
        <v>72</v>
      </c>
      <c r="K78" s="5" t="s">
        <v>73</v>
      </c>
      <c r="L78" s="5" t="s">
        <v>55</v>
      </c>
      <c r="M78" s="5" t="s">
        <v>63</v>
      </c>
      <c r="N78" s="5" t="s">
        <v>71</v>
      </c>
      <c r="O78" s="5" t="s">
        <v>65</v>
      </c>
      <c r="P78" s="5" t="s">
        <v>60</v>
      </c>
      <c r="Q78" s="5" t="s">
        <v>54</v>
      </c>
      <c r="R78" s="5" t="s">
        <v>50</v>
      </c>
      <c r="S78" s="5" t="s">
        <v>69</v>
      </c>
      <c r="T78" s="1">
        <v>9</v>
      </c>
      <c r="U78" s="1">
        <v>97</v>
      </c>
      <c r="V78" s="1">
        <v>45</v>
      </c>
      <c r="AA78">
        <f t="shared" si="19"/>
        <v>76</v>
      </c>
      <c r="AB78">
        <f t="shared" si="18"/>
        <v>0</v>
      </c>
    </row>
    <row r="79" spans="1:28" x14ac:dyDescent="0.3">
      <c r="A79" s="48">
        <v>64</v>
      </c>
      <c r="B79" s="4"/>
      <c r="C79" s="6" t="s">
        <v>79</v>
      </c>
      <c r="D79" s="5"/>
      <c r="E79" s="5" t="s">
        <v>70</v>
      </c>
      <c r="F79" s="5" t="s">
        <v>210</v>
      </c>
      <c r="G79" s="5" t="s">
        <v>208</v>
      </c>
      <c r="H79" s="5" t="s">
        <v>74</v>
      </c>
      <c r="I79" s="5" t="s">
        <v>53</v>
      </c>
      <c r="J79" s="5" t="s">
        <v>52</v>
      </c>
      <c r="K79" s="5" t="s">
        <v>73</v>
      </c>
      <c r="L79" s="5" t="s">
        <v>55</v>
      </c>
      <c r="M79" s="5" t="s">
        <v>64</v>
      </c>
      <c r="N79" s="5" t="s">
        <v>71</v>
      </c>
      <c r="O79" s="5" t="s">
        <v>65</v>
      </c>
      <c r="P79" s="5" t="s">
        <v>67</v>
      </c>
      <c r="Q79" s="5" t="s">
        <v>54</v>
      </c>
      <c r="R79" s="5" t="s">
        <v>50</v>
      </c>
      <c r="S79" s="5" t="s">
        <v>69</v>
      </c>
      <c r="T79" s="1">
        <v>9</v>
      </c>
      <c r="U79" s="1">
        <v>104</v>
      </c>
      <c r="V79" s="1">
        <v>45</v>
      </c>
      <c r="AA79">
        <f t="shared" si="19"/>
        <v>77</v>
      </c>
      <c r="AB79">
        <f t="shared" si="18"/>
        <v>0</v>
      </c>
    </row>
    <row r="80" spans="1:28" x14ac:dyDescent="0.3">
      <c r="A80" s="48">
        <v>65</v>
      </c>
      <c r="B80" s="4"/>
      <c r="C80" s="6" t="s">
        <v>180</v>
      </c>
      <c r="D80" s="5"/>
      <c r="E80" s="5" t="s">
        <v>70</v>
      </c>
      <c r="F80" s="5" t="s">
        <v>61</v>
      </c>
      <c r="G80" s="5" t="s">
        <v>57</v>
      </c>
      <c r="H80" s="5" t="s">
        <v>74</v>
      </c>
      <c r="I80" s="5" t="s">
        <v>53</v>
      </c>
      <c r="J80" s="5" t="s">
        <v>52</v>
      </c>
      <c r="K80" s="5" t="s">
        <v>73</v>
      </c>
      <c r="L80" s="5" t="s">
        <v>55</v>
      </c>
      <c r="M80" s="5" t="s">
        <v>63</v>
      </c>
      <c r="N80" s="5" t="s">
        <v>71</v>
      </c>
      <c r="O80" s="5" t="s">
        <v>65</v>
      </c>
      <c r="P80" s="5" t="s">
        <v>60</v>
      </c>
      <c r="Q80" s="5" t="s">
        <v>47</v>
      </c>
      <c r="R80" s="5" t="s">
        <v>207</v>
      </c>
      <c r="S80" s="5" t="s">
        <v>69</v>
      </c>
      <c r="T80" s="1">
        <v>9</v>
      </c>
      <c r="U80" s="1">
        <v>112</v>
      </c>
      <c r="V80" s="1">
        <v>45</v>
      </c>
      <c r="AA80">
        <f t="shared" si="19"/>
        <v>78</v>
      </c>
      <c r="AB80">
        <f t="shared" si="18"/>
        <v>0</v>
      </c>
    </row>
    <row r="81" spans="1:28" ht="28.8" x14ac:dyDescent="0.3">
      <c r="A81" s="48">
        <v>66</v>
      </c>
      <c r="B81" s="4"/>
      <c r="C81" s="6" t="s">
        <v>177</v>
      </c>
      <c r="D81" s="5"/>
      <c r="E81" s="5" t="s">
        <v>68</v>
      </c>
      <c r="F81" s="5" t="s">
        <v>210</v>
      </c>
      <c r="G81" s="5" t="s">
        <v>57</v>
      </c>
      <c r="H81" s="5" t="s">
        <v>74</v>
      </c>
      <c r="I81" s="5" t="s">
        <v>53</v>
      </c>
      <c r="J81" s="5" t="s">
        <v>52</v>
      </c>
      <c r="K81" s="5" t="s">
        <v>73</v>
      </c>
      <c r="L81" s="5" t="s">
        <v>55</v>
      </c>
      <c r="M81" s="5" t="s">
        <v>63</v>
      </c>
      <c r="N81" s="5" t="s">
        <v>71</v>
      </c>
      <c r="O81" s="5" t="s">
        <v>65</v>
      </c>
      <c r="P81" s="5" t="s">
        <v>60</v>
      </c>
      <c r="Q81" s="5" t="s">
        <v>47</v>
      </c>
      <c r="R81" s="5" t="s">
        <v>207</v>
      </c>
      <c r="S81" s="5" t="s">
        <v>69</v>
      </c>
      <c r="T81" s="1">
        <v>9</v>
      </c>
      <c r="U81" s="1">
        <v>114</v>
      </c>
      <c r="V81" s="1">
        <v>45</v>
      </c>
      <c r="AA81">
        <f t="shared" si="19"/>
        <v>79</v>
      </c>
      <c r="AB81">
        <f t="shared" si="18"/>
        <v>0</v>
      </c>
    </row>
    <row r="82" spans="1:28" ht="28.8" x14ac:dyDescent="0.3">
      <c r="A82" s="48">
        <v>67</v>
      </c>
      <c r="B82" s="4"/>
      <c r="C82" s="6" t="s">
        <v>103</v>
      </c>
      <c r="D82" s="5"/>
      <c r="E82" s="5" t="s">
        <v>68</v>
      </c>
      <c r="F82" s="5" t="s">
        <v>210</v>
      </c>
      <c r="G82" s="5" t="s">
        <v>208</v>
      </c>
      <c r="H82" s="5" t="s">
        <v>74</v>
      </c>
      <c r="I82" s="5" t="s">
        <v>53</v>
      </c>
      <c r="J82" s="5" t="s">
        <v>52</v>
      </c>
      <c r="K82" s="5" t="s">
        <v>73</v>
      </c>
      <c r="L82" s="5" t="s">
        <v>55</v>
      </c>
      <c r="M82" s="5" t="s">
        <v>64</v>
      </c>
      <c r="N82" s="5" t="s">
        <v>75</v>
      </c>
      <c r="O82" s="5" t="s">
        <v>59</v>
      </c>
      <c r="P82" s="5" t="s">
        <v>67</v>
      </c>
      <c r="Q82" s="5" t="s">
        <v>47</v>
      </c>
      <c r="R82" s="5" t="s">
        <v>207</v>
      </c>
      <c r="S82" s="5" t="s">
        <v>66</v>
      </c>
      <c r="T82" s="1">
        <v>9</v>
      </c>
      <c r="U82" s="1">
        <v>111</v>
      </c>
      <c r="V82" s="1">
        <v>45</v>
      </c>
      <c r="AA82">
        <f t="shared" si="19"/>
        <v>80</v>
      </c>
      <c r="AB82">
        <f t="shared" si="18"/>
        <v>0</v>
      </c>
    </row>
    <row r="83" spans="1:28" x14ac:dyDescent="0.3">
      <c r="A83" s="48">
        <v>68</v>
      </c>
      <c r="B83" s="4"/>
      <c r="C83" s="6" t="s">
        <v>85</v>
      </c>
      <c r="D83" s="5"/>
      <c r="E83" s="5" t="s">
        <v>70</v>
      </c>
      <c r="F83" s="5" t="s">
        <v>210</v>
      </c>
      <c r="G83" s="5" t="s">
        <v>208</v>
      </c>
      <c r="H83" s="5" t="s">
        <v>74</v>
      </c>
      <c r="I83" s="5" t="s">
        <v>53</v>
      </c>
      <c r="J83" s="5" t="s">
        <v>52</v>
      </c>
      <c r="K83" s="5" t="s">
        <v>73</v>
      </c>
      <c r="L83" s="5" t="s">
        <v>56</v>
      </c>
      <c r="M83" s="5" t="s">
        <v>64</v>
      </c>
      <c r="N83" s="5" t="s">
        <v>75</v>
      </c>
      <c r="O83" s="5" t="s">
        <v>59</v>
      </c>
      <c r="P83" s="5" t="s">
        <v>67</v>
      </c>
      <c r="Q83" s="5" t="s">
        <v>47</v>
      </c>
      <c r="R83" s="5" t="s">
        <v>50</v>
      </c>
      <c r="S83" s="5" t="s">
        <v>69</v>
      </c>
      <c r="T83" s="1">
        <v>9</v>
      </c>
      <c r="U83" s="1">
        <v>113</v>
      </c>
      <c r="V83" s="1">
        <v>45</v>
      </c>
      <c r="AA83">
        <f t="shared" si="19"/>
        <v>81</v>
      </c>
      <c r="AB83">
        <f t="shared" si="18"/>
        <v>0</v>
      </c>
    </row>
    <row r="84" spans="1:28" ht="28.8" x14ac:dyDescent="0.3">
      <c r="A84" s="48">
        <v>69</v>
      </c>
      <c r="B84" s="4"/>
      <c r="C84" s="6" t="s">
        <v>139</v>
      </c>
      <c r="D84" s="5"/>
      <c r="E84" s="5" t="s">
        <v>68</v>
      </c>
      <c r="F84" s="5" t="s">
        <v>210</v>
      </c>
      <c r="G84" s="5" t="s">
        <v>57</v>
      </c>
      <c r="H84" s="5" t="s">
        <v>51</v>
      </c>
      <c r="I84" s="5" t="s">
        <v>53</v>
      </c>
      <c r="J84" s="5" t="s">
        <v>72</v>
      </c>
      <c r="K84" s="5" t="s">
        <v>73</v>
      </c>
      <c r="L84" s="5" t="s">
        <v>55</v>
      </c>
      <c r="M84" s="5" t="s">
        <v>64</v>
      </c>
      <c r="N84" s="5" t="s">
        <v>75</v>
      </c>
      <c r="O84" s="5" t="s">
        <v>65</v>
      </c>
      <c r="P84" s="5" t="s">
        <v>67</v>
      </c>
      <c r="Q84" s="5" t="s">
        <v>54</v>
      </c>
      <c r="R84" s="5" t="s">
        <v>207</v>
      </c>
      <c r="S84" s="5" t="s">
        <v>69</v>
      </c>
      <c r="T84" s="1">
        <v>9</v>
      </c>
      <c r="U84" s="1">
        <v>120</v>
      </c>
      <c r="V84" s="1">
        <v>45</v>
      </c>
      <c r="AA84">
        <f t="shared" si="19"/>
        <v>82</v>
      </c>
      <c r="AB84">
        <f t="shared" si="18"/>
        <v>0</v>
      </c>
    </row>
    <row r="85" spans="1:28" ht="43.2" x14ac:dyDescent="0.3">
      <c r="A85" s="48">
        <v>70</v>
      </c>
      <c r="B85" s="4"/>
      <c r="C85" s="6" t="s">
        <v>132</v>
      </c>
      <c r="D85" s="5"/>
      <c r="E85" s="5" t="s">
        <v>70</v>
      </c>
      <c r="F85" s="5" t="s">
        <v>61</v>
      </c>
      <c r="G85" s="5" t="s">
        <v>208</v>
      </c>
      <c r="H85" s="5" t="s">
        <v>74</v>
      </c>
      <c r="I85" s="5" t="s">
        <v>53</v>
      </c>
      <c r="J85" s="5" t="s">
        <v>52</v>
      </c>
      <c r="K85" s="5" t="s">
        <v>73</v>
      </c>
      <c r="L85" s="5" t="s">
        <v>56</v>
      </c>
      <c r="M85" s="5" t="s">
        <v>64</v>
      </c>
      <c r="N85" s="5" t="s">
        <v>75</v>
      </c>
      <c r="O85" s="5" t="s">
        <v>59</v>
      </c>
      <c r="P85" s="5" t="s">
        <v>67</v>
      </c>
      <c r="Q85" s="5" t="s">
        <v>54</v>
      </c>
      <c r="R85" s="5" t="s">
        <v>207</v>
      </c>
      <c r="S85" s="5" t="s">
        <v>66</v>
      </c>
      <c r="T85" s="1">
        <v>9</v>
      </c>
      <c r="U85" s="1">
        <v>101</v>
      </c>
      <c r="V85" s="1">
        <v>46</v>
      </c>
      <c r="AA85">
        <f t="shared" si="19"/>
        <v>83</v>
      </c>
      <c r="AB85">
        <f t="shared" si="18"/>
        <v>0</v>
      </c>
    </row>
    <row r="86" spans="1:28" ht="28.8" x14ac:dyDescent="0.3">
      <c r="A86" s="48">
        <v>71</v>
      </c>
      <c r="B86" s="4"/>
      <c r="C86" s="6" t="s">
        <v>192</v>
      </c>
      <c r="D86" s="5"/>
      <c r="E86" s="5" t="s">
        <v>70</v>
      </c>
      <c r="F86" s="5" t="s">
        <v>210</v>
      </c>
      <c r="G86" s="5" t="s">
        <v>57</v>
      </c>
      <c r="H86" s="5" t="s">
        <v>74</v>
      </c>
      <c r="I86" s="5" t="s">
        <v>53</v>
      </c>
      <c r="J86" s="5" t="s">
        <v>52</v>
      </c>
      <c r="K86" s="5" t="s">
        <v>62</v>
      </c>
      <c r="L86" s="5" t="s">
        <v>56</v>
      </c>
      <c r="M86" s="5" t="s">
        <v>63</v>
      </c>
      <c r="N86" s="5" t="s">
        <v>75</v>
      </c>
      <c r="O86" s="5" t="s">
        <v>59</v>
      </c>
      <c r="P86" s="5" t="s">
        <v>60</v>
      </c>
      <c r="Q86" s="5" t="s">
        <v>47</v>
      </c>
      <c r="R86" s="5" t="s">
        <v>207</v>
      </c>
      <c r="S86" s="5" t="s">
        <v>66</v>
      </c>
      <c r="T86" s="1">
        <v>9</v>
      </c>
      <c r="U86" s="1">
        <v>119</v>
      </c>
      <c r="V86" s="1">
        <v>47</v>
      </c>
      <c r="AA86">
        <f t="shared" si="19"/>
        <v>84</v>
      </c>
      <c r="AB86">
        <f t="shared" si="18"/>
        <v>0</v>
      </c>
    </row>
    <row r="87" spans="1:28" x14ac:dyDescent="0.3">
      <c r="A87" s="48">
        <v>72</v>
      </c>
      <c r="B87" s="4"/>
      <c r="C87" s="6" t="s">
        <v>187</v>
      </c>
      <c r="D87" s="5"/>
      <c r="E87" s="5" t="s">
        <v>70</v>
      </c>
      <c r="F87" s="5" t="s">
        <v>210</v>
      </c>
      <c r="G87" s="5" t="s">
        <v>208</v>
      </c>
      <c r="H87" s="5" t="s">
        <v>51</v>
      </c>
      <c r="I87" s="5" t="s">
        <v>53</v>
      </c>
      <c r="J87" s="5" t="s">
        <v>52</v>
      </c>
      <c r="K87" s="5" t="s">
        <v>62</v>
      </c>
      <c r="L87" s="5" t="s">
        <v>56</v>
      </c>
      <c r="M87" s="5" t="s">
        <v>64</v>
      </c>
      <c r="N87" s="5" t="s">
        <v>75</v>
      </c>
      <c r="O87" s="5" t="s">
        <v>59</v>
      </c>
      <c r="P87" s="5" t="s">
        <v>67</v>
      </c>
      <c r="Q87" s="5" t="s">
        <v>54</v>
      </c>
      <c r="R87" s="5" t="s">
        <v>207</v>
      </c>
      <c r="S87" s="5" t="s">
        <v>69</v>
      </c>
      <c r="T87" s="1">
        <v>9</v>
      </c>
      <c r="U87" s="1">
        <v>108</v>
      </c>
      <c r="V87" s="1">
        <v>47</v>
      </c>
      <c r="AA87">
        <f t="shared" si="19"/>
        <v>85</v>
      </c>
      <c r="AB87">
        <f t="shared" si="18"/>
        <v>0</v>
      </c>
    </row>
    <row r="88" spans="1:28" ht="28.8" x14ac:dyDescent="0.3">
      <c r="A88" s="48">
        <v>73</v>
      </c>
      <c r="B88" s="4"/>
      <c r="C88" s="6" t="s">
        <v>92</v>
      </c>
      <c r="D88" s="5"/>
      <c r="E88" s="5" t="s">
        <v>68</v>
      </c>
      <c r="F88" s="5" t="s">
        <v>61</v>
      </c>
      <c r="G88" s="5" t="s">
        <v>208</v>
      </c>
      <c r="H88" s="5" t="s">
        <v>74</v>
      </c>
      <c r="I88" s="5" t="s">
        <v>53</v>
      </c>
      <c r="J88" s="5" t="s">
        <v>52</v>
      </c>
      <c r="K88" s="5" t="s">
        <v>73</v>
      </c>
      <c r="L88" s="5" t="s">
        <v>55</v>
      </c>
      <c r="M88" s="5" t="s">
        <v>64</v>
      </c>
      <c r="N88" s="5" t="s">
        <v>75</v>
      </c>
      <c r="O88" s="5" t="s">
        <v>65</v>
      </c>
      <c r="P88" s="5" t="s">
        <v>67</v>
      </c>
      <c r="Q88" s="5" t="s">
        <v>54</v>
      </c>
      <c r="R88" s="5" t="s">
        <v>207</v>
      </c>
      <c r="S88" s="5" t="s">
        <v>69</v>
      </c>
      <c r="T88" s="1">
        <v>9</v>
      </c>
      <c r="U88" s="1">
        <v>98</v>
      </c>
      <c r="V88" s="1">
        <v>48</v>
      </c>
      <c r="AA88">
        <f t="shared" si="19"/>
        <v>86</v>
      </c>
      <c r="AB88">
        <f t="shared" si="18"/>
        <v>0</v>
      </c>
    </row>
    <row r="89" spans="1:28" ht="28.8" x14ac:dyDescent="0.3">
      <c r="A89" s="48">
        <v>74</v>
      </c>
      <c r="B89" s="4"/>
      <c r="C89" s="6" t="s">
        <v>176</v>
      </c>
      <c r="D89" s="5"/>
      <c r="E89" s="5" t="s">
        <v>68</v>
      </c>
      <c r="F89" s="5" t="s">
        <v>210</v>
      </c>
      <c r="G89" s="5" t="s">
        <v>208</v>
      </c>
      <c r="H89" s="5" t="s">
        <v>51</v>
      </c>
      <c r="I89" s="5" t="s">
        <v>53</v>
      </c>
      <c r="J89" s="5" t="s">
        <v>52</v>
      </c>
      <c r="K89" s="5" t="s">
        <v>73</v>
      </c>
      <c r="L89" s="5" t="s">
        <v>55</v>
      </c>
      <c r="M89" s="5" t="s">
        <v>64</v>
      </c>
      <c r="N89" s="5" t="s">
        <v>71</v>
      </c>
      <c r="O89" s="5" t="s">
        <v>59</v>
      </c>
      <c r="P89" s="5" t="s">
        <v>67</v>
      </c>
      <c r="Q89" s="5" t="s">
        <v>54</v>
      </c>
      <c r="R89" s="5" t="s">
        <v>207</v>
      </c>
      <c r="S89" s="5" t="s">
        <v>69</v>
      </c>
      <c r="T89" s="1">
        <v>9</v>
      </c>
      <c r="U89" s="1">
        <v>110</v>
      </c>
      <c r="V89" s="1">
        <v>52</v>
      </c>
      <c r="AA89">
        <f t="shared" si="19"/>
        <v>87</v>
      </c>
      <c r="AB89">
        <f t="shared" si="18"/>
        <v>0</v>
      </c>
    </row>
    <row r="90" spans="1:28" x14ac:dyDescent="0.3">
      <c r="A90" s="48">
        <v>75</v>
      </c>
      <c r="B90" s="4"/>
      <c r="C90" s="6" t="s">
        <v>128</v>
      </c>
      <c r="D90" s="5"/>
      <c r="E90" s="5" t="s">
        <v>70</v>
      </c>
      <c r="F90" s="5" t="s">
        <v>61</v>
      </c>
      <c r="G90" s="5" t="s">
        <v>208</v>
      </c>
      <c r="H90" s="5" t="s">
        <v>51</v>
      </c>
      <c r="I90" s="5" t="s">
        <v>58</v>
      </c>
      <c r="J90" s="5" t="s">
        <v>72</v>
      </c>
      <c r="K90" s="5" t="s">
        <v>73</v>
      </c>
      <c r="L90" s="5" t="s">
        <v>55</v>
      </c>
      <c r="M90" s="5" t="s">
        <v>64</v>
      </c>
      <c r="N90" s="5" t="s">
        <v>75</v>
      </c>
      <c r="O90" s="5" t="s">
        <v>59</v>
      </c>
      <c r="P90" s="5" t="s">
        <v>67</v>
      </c>
      <c r="Q90" s="5" t="s">
        <v>54</v>
      </c>
      <c r="R90" s="5" t="s">
        <v>207</v>
      </c>
      <c r="S90" s="5" t="s">
        <v>66</v>
      </c>
      <c r="T90" s="1">
        <v>9</v>
      </c>
      <c r="U90" s="1">
        <v>98</v>
      </c>
      <c r="V90" s="1">
        <v>55</v>
      </c>
      <c r="AA90">
        <f t="shared" si="19"/>
        <v>88</v>
      </c>
      <c r="AB90">
        <f t="shared" si="18"/>
        <v>0</v>
      </c>
    </row>
    <row r="91" spans="1:28" x14ac:dyDescent="0.3">
      <c r="A91" s="48">
        <v>76</v>
      </c>
      <c r="B91" s="4"/>
      <c r="C91" s="6" t="s">
        <v>110</v>
      </c>
      <c r="D91" s="5"/>
      <c r="E91" s="5" t="s">
        <v>68</v>
      </c>
      <c r="F91" s="5" t="s">
        <v>61</v>
      </c>
      <c r="G91" s="5" t="s">
        <v>57</v>
      </c>
      <c r="H91" s="5" t="s">
        <v>74</v>
      </c>
      <c r="I91" s="5" t="s">
        <v>53</v>
      </c>
      <c r="J91" s="5" t="s">
        <v>52</v>
      </c>
      <c r="K91" s="5" t="s">
        <v>73</v>
      </c>
      <c r="L91" s="5" t="s">
        <v>56</v>
      </c>
      <c r="M91" s="5" t="s">
        <v>64</v>
      </c>
      <c r="N91" s="5" t="s">
        <v>71</v>
      </c>
      <c r="O91" s="5" t="s">
        <v>65</v>
      </c>
      <c r="P91" s="5" t="s">
        <v>67</v>
      </c>
      <c r="Q91" s="5" t="s">
        <v>54</v>
      </c>
      <c r="R91" s="5" t="s">
        <v>207</v>
      </c>
      <c r="S91" s="5" t="s">
        <v>69</v>
      </c>
      <c r="T91" s="1">
        <v>8</v>
      </c>
      <c r="U91" s="1">
        <v>112</v>
      </c>
      <c r="V91" s="1">
        <v>35</v>
      </c>
      <c r="AA91">
        <f t="shared" si="19"/>
        <v>89</v>
      </c>
      <c r="AB91">
        <f t="shared" si="18"/>
        <v>0</v>
      </c>
    </row>
    <row r="92" spans="1:28" ht="28.8" x14ac:dyDescent="0.3">
      <c r="A92" s="48">
        <v>77</v>
      </c>
      <c r="B92" s="4"/>
      <c r="C92" s="6" t="s">
        <v>134</v>
      </c>
      <c r="D92" s="5"/>
      <c r="E92" s="5" t="s">
        <v>70</v>
      </c>
      <c r="F92" s="5" t="s">
        <v>61</v>
      </c>
      <c r="G92" s="5" t="s">
        <v>208</v>
      </c>
      <c r="H92" s="5" t="s">
        <v>51</v>
      </c>
      <c r="I92" s="5" t="s">
        <v>53</v>
      </c>
      <c r="J92" s="5" t="s">
        <v>72</v>
      </c>
      <c r="K92" s="5" t="s">
        <v>73</v>
      </c>
      <c r="L92" s="5" t="s">
        <v>55</v>
      </c>
      <c r="M92" s="5" t="s">
        <v>63</v>
      </c>
      <c r="N92" s="5" t="s">
        <v>71</v>
      </c>
      <c r="O92" s="5" t="s">
        <v>59</v>
      </c>
      <c r="P92" s="5" t="s">
        <v>60</v>
      </c>
      <c r="Q92" s="5" t="s">
        <v>54</v>
      </c>
      <c r="R92" s="5" t="s">
        <v>207</v>
      </c>
      <c r="S92" s="5" t="s">
        <v>69</v>
      </c>
      <c r="T92" s="1">
        <v>8</v>
      </c>
      <c r="U92" s="1">
        <v>99</v>
      </c>
      <c r="V92" s="1">
        <v>37</v>
      </c>
      <c r="AA92">
        <f t="shared" si="19"/>
        <v>90</v>
      </c>
      <c r="AB92">
        <f t="shared" si="18"/>
        <v>0</v>
      </c>
    </row>
    <row r="93" spans="1:28" ht="28.8" x14ac:dyDescent="0.3">
      <c r="A93" s="48">
        <v>78</v>
      </c>
      <c r="B93" s="4"/>
      <c r="C93" s="6" t="s">
        <v>22</v>
      </c>
      <c r="D93" s="5"/>
      <c r="E93" s="5" t="s">
        <v>68</v>
      </c>
      <c r="F93" s="5" t="s">
        <v>210</v>
      </c>
      <c r="G93" s="5" t="s">
        <v>208</v>
      </c>
      <c r="H93" s="5" t="s">
        <v>74</v>
      </c>
      <c r="I93" s="5" t="s">
        <v>53</v>
      </c>
      <c r="J93" s="5" t="s">
        <v>52</v>
      </c>
      <c r="K93" s="5" t="s">
        <v>73</v>
      </c>
      <c r="L93" s="5" t="s">
        <v>55</v>
      </c>
      <c r="M93" s="5" t="s">
        <v>63</v>
      </c>
      <c r="N93" s="5" t="s">
        <v>71</v>
      </c>
      <c r="O93" s="5" t="s">
        <v>59</v>
      </c>
      <c r="P93" s="5" t="s">
        <v>67</v>
      </c>
      <c r="Q93" s="5" t="s">
        <v>47</v>
      </c>
      <c r="R93" s="5" t="s">
        <v>207</v>
      </c>
      <c r="S93" s="5" t="s">
        <v>69</v>
      </c>
      <c r="T93" s="1">
        <v>8</v>
      </c>
      <c r="U93" s="1">
        <v>113</v>
      </c>
      <c r="V93" s="1">
        <v>37</v>
      </c>
      <c r="AA93">
        <f t="shared" si="19"/>
        <v>91</v>
      </c>
      <c r="AB93">
        <f t="shared" si="18"/>
        <v>0</v>
      </c>
    </row>
    <row r="94" spans="1:28" x14ac:dyDescent="0.3">
      <c r="A94" s="48">
        <v>79</v>
      </c>
      <c r="B94" s="4"/>
      <c r="C94" s="6" t="s">
        <v>186</v>
      </c>
      <c r="D94" s="5"/>
      <c r="E94" s="5" t="s">
        <v>68</v>
      </c>
      <c r="F94" s="5" t="s">
        <v>210</v>
      </c>
      <c r="G94" s="5" t="s">
        <v>57</v>
      </c>
      <c r="H94" s="5" t="s">
        <v>51</v>
      </c>
      <c r="I94" s="5" t="s">
        <v>58</v>
      </c>
      <c r="J94" s="5" t="s">
        <v>72</v>
      </c>
      <c r="K94" s="5" t="s">
        <v>73</v>
      </c>
      <c r="L94" s="5" t="s">
        <v>55</v>
      </c>
      <c r="M94" s="5" t="s">
        <v>64</v>
      </c>
      <c r="N94" s="5" t="s">
        <v>71</v>
      </c>
      <c r="O94" s="5" t="s">
        <v>59</v>
      </c>
      <c r="P94" s="5" t="s">
        <v>67</v>
      </c>
      <c r="Q94" s="5" t="s">
        <v>47</v>
      </c>
      <c r="R94" s="5" t="s">
        <v>207</v>
      </c>
      <c r="S94" s="5" t="s">
        <v>66</v>
      </c>
      <c r="T94" s="1">
        <v>8</v>
      </c>
      <c r="U94" s="1">
        <v>105</v>
      </c>
      <c r="V94" s="1">
        <v>37</v>
      </c>
      <c r="AA94">
        <f t="shared" si="19"/>
        <v>92</v>
      </c>
      <c r="AB94">
        <f t="shared" si="18"/>
        <v>0</v>
      </c>
    </row>
    <row r="95" spans="1:28" ht="28.8" x14ac:dyDescent="0.3">
      <c r="A95" s="48">
        <v>80</v>
      </c>
      <c r="B95" s="4"/>
      <c r="C95" s="6" t="s">
        <v>164</v>
      </c>
      <c r="D95" s="5"/>
      <c r="E95" s="5" t="s">
        <v>70</v>
      </c>
      <c r="F95" s="5" t="s">
        <v>210</v>
      </c>
      <c r="G95" s="5" t="s">
        <v>208</v>
      </c>
      <c r="H95" s="5" t="s">
        <v>74</v>
      </c>
      <c r="I95" s="5" t="s">
        <v>53</v>
      </c>
      <c r="J95" s="5" t="s">
        <v>52</v>
      </c>
      <c r="K95" s="5" t="s">
        <v>73</v>
      </c>
      <c r="L95" s="5" t="s">
        <v>56</v>
      </c>
      <c r="M95" s="5" t="s">
        <v>64</v>
      </c>
      <c r="N95" s="5" t="s">
        <v>71</v>
      </c>
      <c r="O95" s="5" t="s">
        <v>65</v>
      </c>
      <c r="P95" s="5" t="s">
        <v>67</v>
      </c>
      <c r="Q95" s="5" t="s">
        <v>54</v>
      </c>
      <c r="R95" s="5" t="s">
        <v>50</v>
      </c>
      <c r="S95" s="5" t="s">
        <v>69</v>
      </c>
      <c r="T95" s="1">
        <v>8</v>
      </c>
      <c r="U95" s="1">
        <v>105</v>
      </c>
      <c r="V95" s="1">
        <v>38</v>
      </c>
      <c r="AA95">
        <f t="shared" si="19"/>
        <v>93</v>
      </c>
      <c r="AB95">
        <f t="shared" si="18"/>
        <v>0</v>
      </c>
    </row>
    <row r="96" spans="1:28" x14ac:dyDescent="0.3">
      <c r="A96" s="48">
        <v>81</v>
      </c>
      <c r="B96" s="4"/>
      <c r="C96" s="6" t="s">
        <v>21</v>
      </c>
      <c r="D96" s="5"/>
      <c r="E96" s="5" t="s">
        <v>68</v>
      </c>
      <c r="F96" s="5" t="s">
        <v>210</v>
      </c>
      <c r="G96" s="5" t="s">
        <v>208</v>
      </c>
      <c r="H96" s="5" t="s">
        <v>74</v>
      </c>
      <c r="I96" s="5" t="s">
        <v>53</v>
      </c>
      <c r="J96" s="5" t="s">
        <v>52</v>
      </c>
      <c r="K96" s="5" t="s">
        <v>73</v>
      </c>
      <c r="L96" s="5" t="s">
        <v>56</v>
      </c>
      <c r="M96" s="5" t="s">
        <v>64</v>
      </c>
      <c r="N96" s="5" t="s">
        <v>75</v>
      </c>
      <c r="O96" s="5" t="s">
        <v>65</v>
      </c>
      <c r="P96" s="5" t="s">
        <v>67</v>
      </c>
      <c r="Q96" s="5" t="s">
        <v>54</v>
      </c>
      <c r="R96" s="5" t="s">
        <v>50</v>
      </c>
      <c r="S96" s="5" t="s">
        <v>69</v>
      </c>
      <c r="T96" s="1">
        <v>8</v>
      </c>
      <c r="U96" s="1">
        <v>100</v>
      </c>
      <c r="V96" s="1">
        <v>41</v>
      </c>
      <c r="AA96">
        <f t="shared" si="19"/>
        <v>94</v>
      </c>
      <c r="AB96">
        <f t="shared" si="18"/>
        <v>0</v>
      </c>
    </row>
    <row r="97" spans="1:28" ht="28.8" x14ac:dyDescent="0.3">
      <c r="A97" s="48">
        <v>82</v>
      </c>
      <c r="B97" s="4"/>
      <c r="C97" s="6" t="s">
        <v>32</v>
      </c>
      <c r="D97" s="5"/>
      <c r="E97" s="5" t="s">
        <v>68</v>
      </c>
      <c r="F97" s="5" t="s">
        <v>61</v>
      </c>
      <c r="G97" s="5" t="s">
        <v>57</v>
      </c>
      <c r="H97" s="5" t="s">
        <v>51</v>
      </c>
      <c r="I97" s="5" t="s">
        <v>58</v>
      </c>
      <c r="J97" s="5" t="s">
        <v>72</v>
      </c>
      <c r="K97" s="5" t="s">
        <v>62</v>
      </c>
      <c r="L97" s="5" t="s">
        <v>55</v>
      </c>
      <c r="M97" s="5" t="s">
        <v>64</v>
      </c>
      <c r="N97" s="5" t="s">
        <v>75</v>
      </c>
      <c r="O97" s="5" t="s">
        <v>65</v>
      </c>
      <c r="P97" s="5" t="s">
        <v>60</v>
      </c>
      <c r="Q97" s="5" t="s">
        <v>54</v>
      </c>
      <c r="R97" s="5" t="s">
        <v>50</v>
      </c>
      <c r="S97" s="5" t="s">
        <v>69</v>
      </c>
      <c r="T97" s="1">
        <v>8</v>
      </c>
      <c r="U97" s="1">
        <v>107</v>
      </c>
      <c r="V97" s="1">
        <v>41</v>
      </c>
      <c r="AA97">
        <f t="shared" si="19"/>
        <v>95</v>
      </c>
      <c r="AB97">
        <f t="shared" si="18"/>
        <v>0</v>
      </c>
    </row>
    <row r="98" spans="1:28" x14ac:dyDescent="0.3">
      <c r="A98" s="48">
        <v>83</v>
      </c>
      <c r="B98" s="4"/>
      <c r="C98" s="6" t="s">
        <v>156</v>
      </c>
      <c r="D98" s="5"/>
      <c r="E98" s="5" t="s">
        <v>68</v>
      </c>
      <c r="F98" s="5" t="s">
        <v>61</v>
      </c>
      <c r="G98" s="5" t="s">
        <v>208</v>
      </c>
      <c r="H98" s="5" t="s">
        <v>74</v>
      </c>
      <c r="I98" s="5" t="s">
        <v>58</v>
      </c>
      <c r="J98" s="5" t="s">
        <v>72</v>
      </c>
      <c r="K98" s="5" t="s">
        <v>73</v>
      </c>
      <c r="L98" s="5" t="s">
        <v>55</v>
      </c>
      <c r="M98" s="5" t="s">
        <v>64</v>
      </c>
      <c r="N98" s="5" t="s">
        <v>71</v>
      </c>
      <c r="O98" s="5" t="s">
        <v>65</v>
      </c>
      <c r="P98" s="5" t="s">
        <v>67</v>
      </c>
      <c r="Q98" s="5" t="s">
        <v>54</v>
      </c>
      <c r="R98" s="5" t="s">
        <v>207</v>
      </c>
      <c r="S98" s="5" t="s">
        <v>69</v>
      </c>
      <c r="T98" s="1">
        <v>8</v>
      </c>
      <c r="U98" s="1">
        <v>116</v>
      </c>
      <c r="V98" s="1">
        <v>41</v>
      </c>
      <c r="AA98">
        <f t="shared" si="19"/>
        <v>96</v>
      </c>
      <c r="AB98">
        <f t="shared" si="18"/>
        <v>0</v>
      </c>
    </row>
    <row r="99" spans="1:28" x14ac:dyDescent="0.3">
      <c r="A99" s="48">
        <v>84</v>
      </c>
      <c r="B99" s="4"/>
      <c r="C99" s="6" t="s">
        <v>168</v>
      </c>
      <c r="D99" s="5"/>
      <c r="E99" s="5" t="s">
        <v>68</v>
      </c>
      <c r="F99" s="5" t="s">
        <v>61</v>
      </c>
      <c r="G99" s="5" t="s">
        <v>208</v>
      </c>
      <c r="H99" s="5" t="s">
        <v>51</v>
      </c>
      <c r="I99" s="5" t="s">
        <v>53</v>
      </c>
      <c r="J99" s="5" t="s">
        <v>72</v>
      </c>
      <c r="K99" s="5" t="s">
        <v>73</v>
      </c>
      <c r="L99" s="5" t="s">
        <v>55</v>
      </c>
      <c r="M99" s="5" t="s">
        <v>64</v>
      </c>
      <c r="N99" s="5" t="s">
        <v>75</v>
      </c>
      <c r="O99" s="5" t="s">
        <v>59</v>
      </c>
      <c r="P99" s="5" t="s">
        <v>60</v>
      </c>
      <c r="Q99" s="5" t="s">
        <v>47</v>
      </c>
      <c r="R99" s="5" t="s">
        <v>207</v>
      </c>
      <c r="S99" s="5" t="s">
        <v>69</v>
      </c>
      <c r="T99" s="1">
        <v>8</v>
      </c>
      <c r="U99" s="1">
        <v>106</v>
      </c>
      <c r="V99" s="1">
        <v>42</v>
      </c>
      <c r="AA99">
        <f t="shared" si="19"/>
        <v>97</v>
      </c>
      <c r="AB99">
        <f t="shared" si="18"/>
        <v>0</v>
      </c>
    </row>
    <row r="100" spans="1:28" x14ac:dyDescent="0.3">
      <c r="A100" s="48">
        <v>85</v>
      </c>
      <c r="B100" s="4"/>
      <c r="C100" s="6" t="s">
        <v>105</v>
      </c>
      <c r="D100" s="5"/>
      <c r="E100" s="5" t="s">
        <v>68</v>
      </c>
      <c r="F100" s="5" t="s">
        <v>61</v>
      </c>
      <c r="G100" s="5" t="s">
        <v>57</v>
      </c>
      <c r="H100" s="5" t="s">
        <v>51</v>
      </c>
      <c r="I100" s="5" t="s">
        <v>53</v>
      </c>
      <c r="J100" s="5" t="s">
        <v>72</v>
      </c>
      <c r="K100" s="5" t="s">
        <v>73</v>
      </c>
      <c r="L100" s="5" t="s">
        <v>56</v>
      </c>
      <c r="M100" s="5" t="s">
        <v>64</v>
      </c>
      <c r="N100" s="5" t="s">
        <v>75</v>
      </c>
      <c r="O100" s="5" t="s">
        <v>65</v>
      </c>
      <c r="P100" s="5" t="s">
        <v>60</v>
      </c>
      <c r="Q100" s="5" t="s">
        <v>54</v>
      </c>
      <c r="R100" s="5" t="s">
        <v>207</v>
      </c>
      <c r="S100" s="5" t="s">
        <v>69</v>
      </c>
      <c r="T100" s="1">
        <v>8</v>
      </c>
      <c r="U100" s="1">
        <v>103</v>
      </c>
      <c r="V100" s="1">
        <v>42</v>
      </c>
      <c r="AA100">
        <f t="shared" si="19"/>
        <v>98</v>
      </c>
      <c r="AB100">
        <f t="shared" si="18"/>
        <v>0</v>
      </c>
    </row>
    <row r="101" spans="1:28" x14ac:dyDescent="0.3">
      <c r="A101" s="48">
        <v>86</v>
      </c>
      <c r="B101" s="4"/>
      <c r="C101" s="6" t="s">
        <v>39</v>
      </c>
      <c r="D101" s="5"/>
      <c r="E101" s="5" t="s">
        <v>68</v>
      </c>
      <c r="F101" s="5" t="s">
        <v>210</v>
      </c>
      <c r="G101" s="5" t="s">
        <v>57</v>
      </c>
      <c r="H101" s="5" t="s">
        <v>51</v>
      </c>
      <c r="I101" s="5" t="s">
        <v>53</v>
      </c>
      <c r="J101" s="5" t="s">
        <v>52</v>
      </c>
      <c r="K101" s="5" t="s">
        <v>62</v>
      </c>
      <c r="L101" s="5" t="s">
        <v>55</v>
      </c>
      <c r="M101" s="5" t="s">
        <v>63</v>
      </c>
      <c r="N101" s="5" t="s">
        <v>75</v>
      </c>
      <c r="O101" s="5" t="s">
        <v>59</v>
      </c>
      <c r="P101" s="5" t="s">
        <v>60</v>
      </c>
      <c r="Q101" s="5" t="s">
        <v>54</v>
      </c>
      <c r="R101" s="5" t="s">
        <v>50</v>
      </c>
      <c r="S101" s="5" t="s">
        <v>66</v>
      </c>
      <c r="T101" s="1">
        <v>8</v>
      </c>
      <c r="U101" s="1">
        <v>101</v>
      </c>
      <c r="V101" s="1">
        <v>43</v>
      </c>
      <c r="AA101">
        <f t="shared" si="19"/>
        <v>99</v>
      </c>
      <c r="AB101">
        <f t="shared" si="18"/>
        <v>0</v>
      </c>
    </row>
    <row r="102" spans="1:28" ht="28.8" x14ac:dyDescent="0.3">
      <c r="A102" s="48">
        <v>87</v>
      </c>
      <c r="B102" s="4"/>
      <c r="C102" s="6" t="s">
        <v>108</v>
      </c>
      <c r="D102" s="5"/>
      <c r="E102" s="5" t="s">
        <v>68</v>
      </c>
      <c r="F102" s="5" t="s">
        <v>210</v>
      </c>
      <c r="G102" s="5" t="s">
        <v>57</v>
      </c>
      <c r="H102" s="5" t="s">
        <v>74</v>
      </c>
      <c r="I102" s="5" t="s">
        <v>58</v>
      </c>
      <c r="J102" s="5" t="s">
        <v>72</v>
      </c>
      <c r="K102" s="5" t="s">
        <v>62</v>
      </c>
      <c r="L102" s="5" t="s">
        <v>55</v>
      </c>
      <c r="M102" s="5" t="s">
        <v>64</v>
      </c>
      <c r="N102" s="5" t="s">
        <v>71</v>
      </c>
      <c r="O102" s="5" t="s">
        <v>65</v>
      </c>
      <c r="P102" s="5" t="s">
        <v>60</v>
      </c>
      <c r="Q102" s="5" t="s">
        <v>47</v>
      </c>
      <c r="R102" s="5" t="s">
        <v>207</v>
      </c>
      <c r="S102" s="5" t="s">
        <v>66</v>
      </c>
      <c r="T102" s="1">
        <v>8</v>
      </c>
      <c r="U102" s="1">
        <v>108</v>
      </c>
      <c r="V102" s="1">
        <v>43</v>
      </c>
      <c r="AA102">
        <f t="shared" si="19"/>
        <v>100</v>
      </c>
      <c r="AB102">
        <f t="shared" si="18"/>
        <v>0</v>
      </c>
    </row>
    <row r="103" spans="1:28" x14ac:dyDescent="0.3">
      <c r="A103" s="48">
        <v>88</v>
      </c>
      <c r="B103" s="4"/>
      <c r="C103" s="6" t="s">
        <v>100</v>
      </c>
      <c r="D103" s="5"/>
      <c r="E103" s="5" t="s">
        <v>68</v>
      </c>
      <c r="F103" s="5" t="s">
        <v>210</v>
      </c>
      <c r="G103" s="5" t="s">
        <v>208</v>
      </c>
      <c r="H103" s="5" t="s">
        <v>74</v>
      </c>
      <c r="I103" s="5" t="s">
        <v>53</v>
      </c>
      <c r="J103" s="5" t="s">
        <v>72</v>
      </c>
      <c r="K103" s="5" t="s">
        <v>73</v>
      </c>
      <c r="L103" s="5" t="s">
        <v>55</v>
      </c>
      <c r="M103" s="5" t="s">
        <v>64</v>
      </c>
      <c r="N103" s="5" t="s">
        <v>75</v>
      </c>
      <c r="O103" s="5" t="s">
        <v>65</v>
      </c>
      <c r="P103" s="5" t="s">
        <v>67</v>
      </c>
      <c r="Q103" s="5" t="s">
        <v>54</v>
      </c>
      <c r="R103" s="5" t="s">
        <v>207</v>
      </c>
      <c r="S103" s="5" t="s">
        <v>66</v>
      </c>
      <c r="T103" s="1">
        <v>8</v>
      </c>
      <c r="U103" s="1">
        <v>108</v>
      </c>
      <c r="V103" s="1">
        <v>43</v>
      </c>
      <c r="AA103">
        <f t="shared" si="19"/>
        <v>101</v>
      </c>
      <c r="AB103">
        <f t="shared" si="18"/>
        <v>0</v>
      </c>
    </row>
    <row r="104" spans="1:28" x14ac:dyDescent="0.3">
      <c r="A104" s="48">
        <v>89</v>
      </c>
      <c r="B104" s="4"/>
      <c r="C104" s="6" t="s">
        <v>40</v>
      </c>
      <c r="D104" s="5"/>
      <c r="E104" s="5" t="s">
        <v>68</v>
      </c>
      <c r="F104" s="5" t="s">
        <v>210</v>
      </c>
      <c r="G104" s="5" t="s">
        <v>57</v>
      </c>
      <c r="H104" s="5" t="s">
        <v>51</v>
      </c>
      <c r="I104" s="5" t="s">
        <v>58</v>
      </c>
      <c r="J104" s="5" t="s">
        <v>52</v>
      </c>
      <c r="K104" s="5" t="s">
        <v>73</v>
      </c>
      <c r="L104" s="5" t="s">
        <v>55</v>
      </c>
      <c r="M104" s="5" t="s">
        <v>64</v>
      </c>
      <c r="N104" s="5" t="s">
        <v>71</v>
      </c>
      <c r="O104" s="5" t="s">
        <v>59</v>
      </c>
      <c r="P104" s="5" t="s">
        <v>67</v>
      </c>
      <c r="Q104" s="5" t="s">
        <v>47</v>
      </c>
      <c r="R104" s="5" t="s">
        <v>50</v>
      </c>
      <c r="S104" s="5" t="s">
        <v>66</v>
      </c>
      <c r="T104" s="1">
        <v>8</v>
      </c>
      <c r="U104" s="1">
        <v>107</v>
      </c>
      <c r="V104" s="1">
        <v>44</v>
      </c>
      <c r="AA104">
        <f t="shared" si="19"/>
        <v>102</v>
      </c>
      <c r="AB104">
        <f t="shared" si="18"/>
        <v>0</v>
      </c>
    </row>
    <row r="105" spans="1:28" ht="28.8" x14ac:dyDescent="0.3">
      <c r="A105" s="48">
        <v>90</v>
      </c>
      <c r="B105" s="4"/>
      <c r="C105" s="6" t="s">
        <v>99</v>
      </c>
      <c r="D105" s="5"/>
      <c r="E105" s="5" t="s">
        <v>70</v>
      </c>
      <c r="F105" s="5" t="s">
        <v>210</v>
      </c>
      <c r="G105" s="5" t="s">
        <v>208</v>
      </c>
      <c r="H105" s="5" t="s">
        <v>51</v>
      </c>
      <c r="I105" s="5" t="s">
        <v>53</v>
      </c>
      <c r="J105" s="5" t="s">
        <v>52</v>
      </c>
      <c r="K105" s="5" t="s">
        <v>73</v>
      </c>
      <c r="L105" s="5" t="s">
        <v>55</v>
      </c>
      <c r="M105" s="5" t="s">
        <v>63</v>
      </c>
      <c r="N105" s="5" t="s">
        <v>71</v>
      </c>
      <c r="O105" s="5" t="s">
        <v>65</v>
      </c>
      <c r="P105" s="5" t="s">
        <v>67</v>
      </c>
      <c r="Q105" s="5" t="s">
        <v>54</v>
      </c>
      <c r="R105" s="5" t="s">
        <v>207</v>
      </c>
      <c r="S105" s="5" t="s">
        <v>69</v>
      </c>
      <c r="T105" s="1">
        <v>8</v>
      </c>
      <c r="U105" s="1">
        <v>122</v>
      </c>
      <c r="V105" s="1">
        <v>44</v>
      </c>
      <c r="AA105">
        <f t="shared" si="19"/>
        <v>103</v>
      </c>
      <c r="AB105">
        <f t="shared" si="18"/>
        <v>0</v>
      </c>
    </row>
    <row r="106" spans="1:28" x14ac:dyDescent="0.3">
      <c r="A106" s="48">
        <v>91</v>
      </c>
      <c r="B106" s="4"/>
      <c r="C106" s="6" t="s">
        <v>82</v>
      </c>
      <c r="D106" s="5"/>
      <c r="E106" s="5" t="s">
        <v>70</v>
      </c>
      <c r="F106" s="5" t="s">
        <v>210</v>
      </c>
      <c r="G106" s="5" t="s">
        <v>57</v>
      </c>
      <c r="H106" s="5" t="s">
        <v>51</v>
      </c>
      <c r="I106" s="5" t="s">
        <v>53</v>
      </c>
      <c r="J106" s="5" t="s">
        <v>72</v>
      </c>
      <c r="K106" s="5" t="s">
        <v>73</v>
      </c>
      <c r="L106" s="5" t="s">
        <v>55</v>
      </c>
      <c r="M106" s="5" t="s">
        <v>63</v>
      </c>
      <c r="N106" s="5" t="s">
        <v>71</v>
      </c>
      <c r="O106" s="5" t="s">
        <v>65</v>
      </c>
      <c r="P106" s="5" t="s">
        <v>60</v>
      </c>
      <c r="Q106" s="5" t="s">
        <v>54</v>
      </c>
      <c r="R106" s="5" t="s">
        <v>207</v>
      </c>
      <c r="S106" s="5" t="s">
        <v>66</v>
      </c>
      <c r="T106" s="1">
        <v>8</v>
      </c>
      <c r="U106" s="1">
        <v>105</v>
      </c>
      <c r="V106" s="1">
        <v>44</v>
      </c>
      <c r="AA106">
        <f t="shared" si="19"/>
        <v>104</v>
      </c>
      <c r="AB106">
        <f t="shared" si="18"/>
        <v>0</v>
      </c>
    </row>
    <row r="107" spans="1:28" ht="28.8" x14ac:dyDescent="0.3">
      <c r="A107" s="48">
        <v>92</v>
      </c>
      <c r="B107" s="4"/>
      <c r="C107" s="6" t="s">
        <v>172</v>
      </c>
      <c r="D107" s="5"/>
      <c r="E107" s="5" t="s">
        <v>70</v>
      </c>
      <c r="F107" s="5" t="s">
        <v>210</v>
      </c>
      <c r="G107" s="5" t="s">
        <v>208</v>
      </c>
      <c r="H107" s="5" t="s">
        <v>74</v>
      </c>
      <c r="I107" s="5" t="s">
        <v>58</v>
      </c>
      <c r="J107" s="5" t="s">
        <v>72</v>
      </c>
      <c r="K107" s="5" t="s">
        <v>73</v>
      </c>
      <c r="L107" s="5" t="s">
        <v>55</v>
      </c>
      <c r="M107" s="5" t="s">
        <v>63</v>
      </c>
      <c r="N107" s="5" t="s">
        <v>71</v>
      </c>
      <c r="O107" s="5" t="s">
        <v>59</v>
      </c>
      <c r="P107" s="5" t="s">
        <v>67</v>
      </c>
      <c r="Q107" s="5" t="s">
        <v>47</v>
      </c>
      <c r="R107" s="5" t="s">
        <v>50</v>
      </c>
      <c r="S107" s="5" t="s">
        <v>69</v>
      </c>
      <c r="T107" s="1">
        <v>8</v>
      </c>
      <c r="U107" s="1">
        <v>106</v>
      </c>
      <c r="V107" s="1">
        <v>44</v>
      </c>
      <c r="AA107">
        <f t="shared" si="19"/>
        <v>105</v>
      </c>
      <c r="AB107">
        <f t="shared" si="18"/>
        <v>0</v>
      </c>
    </row>
    <row r="108" spans="1:28" x14ac:dyDescent="0.3">
      <c r="A108" s="48">
        <v>93</v>
      </c>
      <c r="B108" s="4"/>
      <c r="C108" s="6" t="s">
        <v>150</v>
      </c>
      <c r="D108" s="5"/>
      <c r="E108" s="5" t="s">
        <v>68</v>
      </c>
      <c r="F108" s="5" t="s">
        <v>61</v>
      </c>
      <c r="G108" s="5" t="s">
        <v>208</v>
      </c>
      <c r="H108" s="5" t="s">
        <v>51</v>
      </c>
      <c r="I108" s="5" t="s">
        <v>53</v>
      </c>
      <c r="J108" s="5" t="s">
        <v>52</v>
      </c>
      <c r="K108" s="5" t="s">
        <v>73</v>
      </c>
      <c r="L108" s="5" t="s">
        <v>56</v>
      </c>
      <c r="M108" s="5" t="s">
        <v>64</v>
      </c>
      <c r="N108" s="5" t="s">
        <v>75</v>
      </c>
      <c r="O108" s="5" t="s">
        <v>59</v>
      </c>
      <c r="P108" s="5" t="s">
        <v>60</v>
      </c>
      <c r="Q108" s="5" t="s">
        <v>54</v>
      </c>
      <c r="R108" s="5" t="s">
        <v>50</v>
      </c>
      <c r="S108" s="5" t="s">
        <v>69</v>
      </c>
      <c r="T108" s="1">
        <v>8</v>
      </c>
      <c r="U108" s="1">
        <v>108</v>
      </c>
      <c r="V108" s="1">
        <v>44</v>
      </c>
      <c r="AA108">
        <f t="shared" si="19"/>
        <v>106</v>
      </c>
      <c r="AB108">
        <f t="shared" si="18"/>
        <v>0</v>
      </c>
    </row>
    <row r="109" spans="1:28" x14ac:dyDescent="0.3">
      <c r="A109" s="48">
        <v>94</v>
      </c>
      <c r="B109" s="4"/>
      <c r="C109" s="6" t="s">
        <v>26</v>
      </c>
      <c r="D109" s="5"/>
      <c r="E109" s="5" t="s">
        <v>68</v>
      </c>
      <c r="F109" s="5" t="s">
        <v>61</v>
      </c>
      <c r="G109" s="5" t="s">
        <v>208</v>
      </c>
      <c r="H109" s="5" t="s">
        <v>51</v>
      </c>
      <c r="I109" s="5" t="s">
        <v>58</v>
      </c>
      <c r="J109" s="5" t="s">
        <v>52</v>
      </c>
      <c r="K109" s="5" t="s">
        <v>73</v>
      </c>
      <c r="L109" s="5" t="s">
        <v>55</v>
      </c>
      <c r="M109" s="5" t="s">
        <v>64</v>
      </c>
      <c r="N109" s="5" t="s">
        <v>75</v>
      </c>
      <c r="O109" s="5" t="s">
        <v>65</v>
      </c>
      <c r="P109" s="5" t="s">
        <v>67</v>
      </c>
      <c r="Q109" s="5" t="s">
        <v>47</v>
      </c>
      <c r="R109" s="5" t="s">
        <v>207</v>
      </c>
      <c r="S109" s="5" t="s">
        <v>69</v>
      </c>
      <c r="T109" s="1">
        <v>8</v>
      </c>
      <c r="U109" s="1">
        <v>105</v>
      </c>
      <c r="V109" s="1">
        <v>45</v>
      </c>
      <c r="AA109">
        <f t="shared" si="19"/>
        <v>107</v>
      </c>
      <c r="AB109">
        <f t="shared" si="18"/>
        <v>0</v>
      </c>
    </row>
    <row r="110" spans="1:28" x14ac:dyDescent="0.3">
      <c r="A110" s="48">
        <v>95</v>
      </c>
      <c r="B110" s="4"/>
      <c r="C110" s="6" t="s">
        <v>86</v>
      </c>
      <c r="D110" s="5"/>
      <c r="E110" s="5" t="s">
        <v>70</v>
      </c>
      <c r="F110" s="5" t="s">
        <v>210</v>
      </c>
      <c r="G110" s="5" t="s">
        <v>57</v>
      </c>
      <c r="H110" s="5" t="s">
        <v>74</v>
      </c>
      <c r="I110" s="5" t="s">
        <v>58</v>
      </c>
      <c r="J110" s="5" t="s">
        <v>72</v>
      </c>
      <c r="K110" s="5" t="s">
        <v>62</v>
      </c>
      <c r="L110" s="5" t="s">
        <v>55</v>
      </c>
      <c r="M110" s="5" t="s">
        <v>64</v>
      </c>
      <c r="N110" s="5" t="s">
        <v>71</v>
      </c>
      <c r="O110" s="5" t="s">
        <v>65</v>
      </c>
      <c r="P110" s="5" t="s">
        <v>67</v>
      </c>
      <c r="Q110" s="5" t="s">
        <v>47</v>
      </c>
      <c r="R110" s="5" t="s">
        <v>50</v>
      </c>
      <c r="S110" s="5" t="s">
        <v>69</v>
      </c>
      <c r="T110" s="1">
        <v>8</v>
      </c>
      <c r="U110" s="1">
        <v>103</v>
      </c>
      <c r="V110" s="1">
        <v>45</v>
      </c>
      <c r="AA110">
        <f t="shared" si="19"/>
        <v>108</v>
      </c>
      <c r="AB110">
        <f t="shared" si="18"/>
        <v>0</v>
      </c>
    </row>
    <row r="111" spans="1:28" ht="28.8" x14ac:dyDescent="0.3">
      <c r="A111" s="48">
        <v>96</v>
      </c>
      <c r="B111" s="4"/>
      <c r="C111" s="6" t="s">
        <v>90</v>
      </c>
      <c r="D111" s="5"/>
      <c r="E111" s="5" t="s">
        <v>68</v>
      </c>
      <c r="F111" s="5" t="s">
        <v>61</v>
      </c>
      <c r="G111" s="5" t="s">
        <v>208</v>
      </c>
      <c r="H111" s="5" t="s">
        <v>74</v>
      </c>
      <c r="I111" s="5" t="s">
        <v>53</v>
      </c>
      <c r="J111" s="5" t="s">
        <v>52</v>
      </c>
      <c r="K111" s="5" t="s">
        <v>73</v>
      </c>
      <c r="L111" s="5" t="s">
        <v>56</v>
      </c>
      <c r="M111" s="5" t="s">
        <v>63</v>
      </c>
      <c r="N111" s="5" t="s">
        <v>75</v>
      </c>
      <c r="O111" s="5" t="s">
        <v>59</v>
      </c>
      <c r="P111" s="5" t="s">
        <v>60</v>
      </c>
      <c r="Q111" s="5" t="s">
        <v>54</v>
      </c>
      <c r="R111" s="5" t="s">
        <v>207</v>
      </c>
      <c r="S111" s="5" t="s">
        <v>66</v>
      </c>
      <c r="T111" s="1">
        <v>8</v>
      </c>
      <c r="U111" s="1">
        <v>99</v>
      </c>
      <c r="V111" s="1">
        <v>45</v>
      </c>
      <c r="AA111">
        <f t="shared" si="19"/>
        <v>109</v>
      </c>
      <c r="AB111">
        <f t="shared" si="18"/>
        <v>0</v>
      </c>
    </row>
    <row r="112" spans="1:28" x14ac:dyDescent="0.3">
      <c r="A112" s="48">
        <v>97</v>
      </c>
      <c r="B112" s="4"/>
      <c r="C112" s="6" t="s">
        <v>151</v>
      </c>
      <c r="D112" s="5"/>
      <c r="E112" s="5" t="s">
        <v>68</v>
      </c>
      <c r="F112" s="5" t="s">
        <v>210</v>
      </c>
      <c r="G112" s="5" t="s">
        <v>208</v>
      </c>
      <c r="H112" s="5" t="s">
        <v>51</v>
      </c>
      <c r="I112" s="5" t="s">
        <v>53</v>
      </c>
      <c r="J112" s="5" t="s">
        <v>52</v>
      </c>
      <c r="K112" s="5" t="s">
        <v>73</v>
      </c>
      <c r="L112" s="5" t="s">
        <v>55</v>
      </c>
      <c r="M112" s="5" t="s">
        <v>64</v>
      </c>
      <c r="N112" s="5" t="s">
        <v>71</v>
      </c>
      <c r="O112" s="5" t="s">
        <v>59</v>
      </c>
      <c r="P112" s="5" t="s">
        <v>60</v>
      </c>
      <c r="Q112" s="5" t="s">
        <v>47</v>
      </c>
      <c r="R112" s="5" t="s">
        <v>50</v>
      </c>
      <c r="S112" s="5" t="s">
        <v>69</v>
      </c>
      <c r="T112" s="1">
        <v>8</v>
      </c>
      <c r="U112" s="1">
        <v>102</v>
      </c>
      <c r="V112" s="1">
        <v>45</v>
      </c>
      <c r="AA112">
        <f t="shared" si="19"/>
        <v>110</v>
      </c>
      <c r="AB112">
        <f t="shared" si="18"/>
        <v>0</v>
      </c>
    </row>
    <row r="113" spans="1:28" ht="28.8" x14ac:dyDescent="0.3">
      <c r="A113" s="48">
        <v>98</v>
      </c>
      <c r="B113" s="4"/>
      <c r="C113" s="6" t="s">
        <v>162</v>
      </c>
      <c r="D113" s="5"/>
      <c r="E113" s="5" t="s">
        <v>68</v>
      </c>
      <c r="F113" s="5" t="s">
        <v>210</v>
      </c>
      <c r="G113" s="5" t="s">
        <v>208</v>
      </c>
      <c r="H113" s="5" t="s">
        <v>51</v>
      </c>
      <c r="I113" s="5" t="s">
        <v>58</v>
      </c>
      <c r="J113" s="5" t="s">
        <v>72</v>
      </c>
      <c r="K113" s="5" t="s">
        <v>73</v>
      </c>
      <c r="L113" s="5" t="s">
        <v>55</v>
      </c>
      <c r="M113" s="5" t="s">
        <v>64</v>
      </c>
      <c r="N113" s="5" t="s">
        <v>75</v>
      </c>
      <c r="O113" s="5" t="s">
        <v>65</v>
      </c>
      <c r="P113" s="5" t="s">
        <v>60</v>
      </c>
      <c r="Q113" s="5" t="s">
        <v>54</v>
      </c>
      <c r="R113" s="5" t="s">
        <v>50</v>
      </c>
      <c r="S113" s="5" t="s">
        <v>66</v>
      </c>
      <c r="T113" s="1">
        <v>8</v>
      </c>
      <c r="U113" s="1">
        <v>110</v>
      </c>
      <c r="V113" s="1">
        <v>45</v>
      </c>
      <c r="AA113">
        <f t="shared" si="19"/>
        <v>111</v>
      </c>
      <c r="AB113">
        <f t="shared" si="18"/>
        <v>0</v>
      </c>
    </row>
    <row r="114" spans="1:28" ht="28.8" x14ac:dyDescent="0.3">
      <c r="A114" s="48">
        <v>99</v>
      </c>
      <c r="B114" s="4"/>
      <c r="C114" s="6" t="s">
        <v>197</v>
      </c>
      <c r="D114" s="5"/>
      <c r="E114" s="5" t="s">
        <v>68</v>
      </c>
      <c r="F114" s="5" t="s">
        <v>210</v>
      </c>
      <c r="G114" s="5" t="s">
        <v>57</v>
      </c>
      <c r="H114" s="5" t="s">
        <v>51</v>
      </c>
      <c r="I114" s="5" t="s">
        <v>53</v>
      </c>
      <c r="J114" s="5" t="s">
        <v>52</v>
      </c>
      <c r="K114" s="5" t="s">
        <v>73</v>
      </c>
      <c r="L114" s="5" t="s">
        <v>56</v>
      </c>
      <c r="M114" s="5" t="s">
        <v>64</v>
      </c>
      <c r="N114" s="5" t="s">
        <v>75</v>
      </c>
      <c r="O114" s="5" t="s">
        <v>65</v>
      </c>
      <c r="P114" s="5" t="s">
        <v>60</v>
      </c>
      <c r="Q114" s="5" t="s">
        <v>54</v>
      </c>
      <c r="R114" s="5" t="s">
        <v>50</v>
      </c>
      <c r="S114" s="5" t="s">
        <v>66</v>
      </c>
      <c r="T114" s="1">
        <v>8</v>
      </c>
      <c r="U114" s="1">
        <v>70</v>
      </c>
      <c r="V114" s="1">
        <v>45</v>
      </c>
      <c r="AA114">
        <f t="shared" si="19"/>
        <v>112</v>
      </c>
      <c r="AB114">
        <f t="shared" si="18"/>
        <v>0</v>
      </c>
    </row>
    <row r="115" spans="1:28" x14ac:dyDescent="0.3">
      <c r="A115" s="48">
        <v>100</v>
      </c>
      <c r="B115" s="4"/>
      <c r="C115" s="6" t="s">
        <v>38</v>
      </c>
      <c r="D115" s="5"/>
      <c r="E115" s="5" t="s">
        <v>68</v>
      </c>
      <c r="F115" s="5" t="s">
        <v>210</v>
      </c>
      <c r="G115" s="5" t="s">
        <v>57</v>
      </c>
      <c r="H115" s="5" t="s">
        <v>74</v>
      </c>
      <c r="I115" s="5" t="s">
        <v>58</v>
      </c>
      <c r="J115" s="5" t="s">
        <v>72</v>
      </c>
      <c r="K115" s="5" t="s">
        <v>62</v>
      </c>
      <c r="L115" s="5" t="s">
        <v>56</v>
      </c>
      <c r="M115" s="5" t="s">
        <v>63</v>
      </c>
      <c r="N115" s="5" t="s">
        <v>75</v>
      </c>
      <c r="O115" s="5" t="s">
        <v>59</v>
      </c>
      <c r="P115" s="5" t="s">
        <v>60</v>
      </c>
      <c r="Q115" s="5" t="s">
        <v>54</v>
      </c>
      <c r="R115" s="5" t="s">
        <v>50</v>
      </c>
      <c r="S115" s="5" t="s">
        <v>66</v>
      </c>
      <c r="T115" s="1">
        <v>8</v>
      </c>
      <c r="U115" s="1">
        <v>114</v>
      </c>
      <c r="V115" s="1">
        <v>47</v>
      </c>
      <c r="AA115">
        <f t="shared" si="19"/>
        <v>113</v>
      </c>
      <c r="AB115">
        <f t="shared" si="18"/>
        <v>0</v>
      </c>
    </row>
    <row r="116" spans="1:28" ht="28.8" x14ac:dyDescent="0.3">
      <c r="A116" s="48">
        <v>101</v>
      </c>
      <c r="B116" s="4"/>
      <c r="C116" s="6" t="s">
        <v>122</v>
      </c>
      <c r="D116" s="5"/>
      <c r="E116" s="5" t="s">
        <v>68</v>
      </c>
      <c r="F116" s="5" t="s">
        <v>210</v>
      </c>
      <c r="G116" s="5" t="s">
        <v>208</v>
      </c>
      <c r="H116" s="5" t="s">
        <v>51</v>
      </c>
      <c r="I116" s="5" t="s">
        <v>58</v>
      </c>
      <c r="J116" s="5" t="s">
        <v>72</v>
      </c>
      <c r="K116" s="5" t="s">
        <v>73</v>
      </c>
      <c r="L116" s="5" t="s">
        <v>56</v>
      </c>
      <c r="M116" s="5" t="s">
        <v>64</v>
      </c>
      <c r="N116" s="5" t="s">
        <v>75</v>
      </c>
      <c r="O116" s="5" t="s">
        <v>65</v>
      </c>
      <c r="P116" s="5" t="s">
        <v>60</v>
      </c>
      <c r="Q116" s="5" t="s">
        <v>54</v>
      </c>
      <c r="R116" s="5" t="s">
        <v>50</v>
      </c>
      <c r="S116" s="5" t="s">
        <v>69</v>
      </c>
      <c r="T116" s="1">
        <v>8</v>
      </c>
      <c r="U116" s="1">
        <v>104</v>
      </c>
      <c r="V116" s="1">
        <v>47</v>
      </c>
      <c r="AA116">
        <f t="shared" si="19"/>
        <v>114</v>
      </c>
      <c r="AB116">
        <f t="shared" si="18"/>
        <v>0</v>
      </c>
    </row>
    <row r="117" spans="1:28" ht="28.8" x14ac:dyDescent="0.3">
      <c r="A117" s="48">
        <v>102</v>
      </c>
      <c r="B117" s="4"/>
      <c r="C117" s="6" t="s">
        <v>89</v>
      </c>
      <c r="D117" s="5"/>
      <c r="E117" s="5" t="s">
        <v>68</v>
      </c>
      <c r="F117" s="5" t="s">
        <v>210</v>
      </c>
      <c r="G117" s="5" t="s">
        <v>208</v>
      </c>
      <c r="H117" s="5" t="s">
        <v>51</v>
      </c>
      <c r="I117" s="5" t="s">
        <v>53</v>
      </c>
      <c r="J117" s="5" t="s">
        <v>72</v>
      </c>
      <c r="K117" s="5" t="s">
        <v>73</v>
      </c>
      <c r="L117" s="5" t="s">
        <v>56</v>
      </c>
      <c r="M117" s="5" t="s">
        <v>64</v>
      </c>
      <c r="N117" s="5" t="s">
        <v>71</v>
      </c>
      <c r="O117" s="5" t="s">
        <v>59</v>
      </c>
      <c r="P117" s="5" t="s">
        <v>60</v>
      </c>
      <c r="Q117" s="5" t="s">
        <v>54</v>
      </c>
      <c r="R117" s="5" t="s">
        <v>207</v>
      </c>
      <c r="S117" s="5" t="s">
        <v>69</v>
      </c>
      <c r="T117" s="1">
        <v>8</v>
      </c>
      <c r="U117" s="1">
        <v>104</v>
      </c>
      <c r="V117" s="1">
        <v>47</v>
      </c>
      <c r="AA117">
        <f t="shared" si="19"/>
        <v>115</v>
      </c>
      <c r="AB117">
        <f t="shared" si="18"/>
        <v>0</v>
      </c>
    </row>
    <row r="118" spans="1:28" ht="28.8" x14ac:dyDescent="0.3">
      <c r="A118" s="48">
        <v>103</v>
      </c>
      <c r="B118" s="4"/>
      <c r="C118" s="6" t="s">
        <v>147</v>
      </c>
      <c r="D118" s="5"/>
      <c r="E118" s="5" t="s">
        <v>68</v>
      </c>
      <c r="F118" s="5" t="s">
        <v>61</v>
      </c>
      <c r="G118" s="5" t="s">
        <v>57</v>
      </c>
      <c r="H118" s="5" t="s">
        <v>51</v>
      </c>
      <c r="I118" s="5" t="s">
        <v>58</v>
      </c>
      <c r="J118" s="5" t="s">
        <v>72</v>
      </c>
      <c r="K118" s="5" t="s">
        <v>73</v>
      </c>
      <c r="L118" s="5" t="s">
        <v>56</v>
      </c>
      <c r="M118" s="5" t="s">
        <v>64</v>
      </c>
      <c r="N118" s="5" t="s">
        <v>71</v>
      </c>
      <c r="O118" s="5" t="s">
        <v>65</v>
      </c>
      <c r="P118" s="5" t="s">
        <v>60</v>
      </c>
      <c r="Q118" s="5" t="s">
        <v>54</v>
      </c>
      <c r="R118" s="5" t="s">
        <v>207</v>
      </c>
      <c r="S118" s="5" t="s">
        <v>69</v>
      </c>
      <c r="T118" s="1">
        <v>8</v>
      </c>
      <c r="U118" s="1">
        <v>113</v>
      </c>
      <c r="V118" s="1">
        <v>48</v>
      </c>
      <c r="AA118">
        <f t="shared" si="19"/>
        <v>116</v>
      </c>
      <c r="AB118">
        <f t="shared" si="18"/>
        <v>0</v>
      </c>
    </row>
    <row r="119" spans="1:28" x14ac:dyDescent="0.3">
      <c r="A119" s="48">
        <v>104</v>
      </c>
      <c r="B119" s="4"/>
      <c r="C119" s="6" t="s">
        <v>106</v>
      </c>
      <c r="D119" s="5"/>
      <c r="E119" s="5" t="s">
        <v>70</v>
      </c>
      <c r="F119" s="5" t="s">
        <v>61</v>
      </c>
      <c r="G119" s="5" t="s">
        <v>57</v>
      </c>
      <c r="H119" s="5" t="s">
        <v>51</v>
      </c>
      <c r="I119" s="5" t="s">
        <v>53</v>
      </c>
      <c r="J119" s="5" t="s">
        <v>52</v>
      </c>
      <c r="K119" s="5" t="s">
        <v>62</v>
      </c>
      <c r="L119" s="5" t="s">
        <v>55</v>
      </c>
      <c r="M119" s="5" t="s">
        <v>63</v>
      </c>
      <c r="N119" s="5" t="s">
        <v>75</v>
      </c>
      <c r="O119" s="5" t="s">
        <v>59</v>
      </c>
      <c r="P119" s="5" t="s">
        <v>60</v>
      </c>
      <c r="Q119" s="5" t="s">
        <v>47</v>
      </c>
      <c r="R119" s="5" t="s">
        <v>207</v>
      </c>
      <c r="S119" s="5" t="s">
        <v>66</v>
      </c>
      <c r="T119" s="1">
        <v>8</v>
      </c>
      <c r="U119" s="1">
        <v>102</v>
      </c>
      <c r="V119" s="1">
        <v>55</v>
      </c>
      <c r="AA119">
        <f t="shared" si="19"/>
        <v>117</v>
      </c>
      <c r="AB119">
        <f t="shared" si="18"/>
        <v>0</v>
      </c>
    </row>
    <row r="120" spans="1:28" x14ac:dyDescent="0.3">
      <c r="A120" s="48">
        <v>105</v>
      </c>
      <c r="B120" s="4"/>
      <c r="C120" s="6" t="s">
        <v>119</v>
      </c>
      <c r="D120" s="5"/>
      <c r="E120" s="5" t="s">
        <v>68</v>
      </c>
      <c r="F120" s="5" t="s">
        <v>210</v>
      </c>
      <c r="G120" s="5" t="s">
        <v>208</v>
      </c>
      <c r="H120" s="5" t="s">
        <v>74</v>
      </c>
      <c r="I120" s="5" t="s">
        <v>53</v>
      </c>
      <c r="J120" s="5" t="s">
        <v>52</v>
      </c>
      <c r="K120" s="5" t="s">
        <v>73</v>
      </c>
      <c r="L120" s="5" t="s">
        <v>56</v>
      </c>
      <c r="M120" s="5" t="s">
        <v>64</v>
      </c>
      <c r="N120" s="5" t="s">
        <v>71</v>
      </c>
      <c r="O120" s="5" t="s">
        <v>65</v>
      </c>
      <c r="P120" s="5" t="s">
        <v>67</v>
      </c>
      <c r="Q120" s="5" t="s">
        <v>47</v>
      </c>
      <c r="R120" s="5" t="s">
        <v>207</v>
      </c>
      <c r="S120" s="5" t="s">
        <v>69</v>
      </c>
      <c r="T120" s="1">
        <v>7</v>
      </c>
      <c r="U120" s="1">
        <v>112</v>
      </c>
      <c r="V120" s="1">
        <v>31</v>
      </c>
      <c r="AA120">
        <f t="shared" si="19"/>
        <v>118</v>
      </c>
      <c r="AB120">
        <f t="shared" si="18"/>
        <v>0</v>
      </c>
    </row>
    <row r="121" spans="1:28" x14ac:dyDescent="0.3">
      <c r="A121" s="48">
        <v>106</v>
      </c>
      <c r="B121" s="4"/>
      <c r="C121" s="6" t="s">
        <v>142</v>
      </c>
      <c r="D121" s="5"/>
      <c r="E121" s="5" t="s">
        <v>68</v>
      </c>
      <c r="F121" s="5" t="s">
        <v>210</v>
      </c>
      <c r="G121" s="5" t="s">
        <v>208</v>
      </c>
      <c r="H121" s="5" t="s">
        <v>51</v>
      </c>
      <c r="I121" s="5" t="s">
        <v>53</v>
      </c>
      <c r="J121" s="5" t="s">
        <v>52</v>
      </c>
      <c r="K121" s="5" t="s">
        <v>73</v>
      </c>
      <c r="L121" s="5" t="s">
        <v>55</v>
      </c>
      <c r="M121" s="5" t="s">
        <v>64</v>
      </c>
      <c r="N121" s="5" t="s">
        <v>71</v>
      </c>
      <c r="O121" s="5" t="s">
        <v>59</v>
      </c>
      <c r="P121" s="5" t="s">
        <v>67</v>
      </c>
      <c r="Q121" s="5" t="s">
        <v>47</v>
      </c>
      <c r="R121" s="5" t="s">
        <v>50</v>
      </c>
      <c r="S121" s="5" t="s">
        <v>69</v>
      </c>
      <c r="T121" s="1">
        <v>7</v>
      </c>
      <c r="U121" s="1">
        <v>109</v>
      </c>
      <c r="V121" s="1">
        <v>35</v>
      </c>
    </row>
    <row r="122" spans="1:28" x14ac:dyDescent="0.3">
      <c r="A122" s="48">
        <v>107</v>
      </c>
      <c r="B122" s="4"/>
      <c r="C122" s="6" t="s">
        <v>11</v>
      </c>
      <c r="D122" s="5"/>
      <c r="E122" s="5" t="s">
        <v>70</v>
      </c>
      <c r="F122" s="5" t="s">
        <v>61</v>
      </c>
      <c r="G122" s="5" t="s">
        <v>208</v>
      </c>
      <c r="H122" s="5" t="s">
        <v>74</v>
      </c>
      <c r="I122" s="5" t="s">
        <v>53</v>
      </c>
      <c r="J122" s="5" t="s">
        <v>52</v>
      </c>
      <c r="K122" s="5" t="s">
        <v>73</v>
      </c>
      <c r="L122" s="5" t="s">
        <v>56</v>
      </c>
      <c r="M122" s="5" t="s">
        <v>64</v>
      </c>
      <c r="N122" s="5" t="s">
        <v>71</v>
      </c>
      <c r="O122" s="5" t="s">
        <v>65</v>
      </c>
      <c r="P122" s="5" t="s">
        <v>67</v>
      </c>
      <c r="Q122" s="5" t="s">
        <v>47</v>
      </c>
      <c r="R122" s="5" t="s">
        <v>207</v>
      </c>
      <c r="S122" s="5" t="s">
        <v>69</v>
      </c>
      <c r="T122" s="1">
        <v>7</v>
      </c>
      <c r="U122" s="1">
        <v>103</v>
      </c>
      <c r="V122" s="1">
        <v>36</v>
      </c>
    </row>
    <row r="123" spans="1:28" x14ac:dyDescent="0.3">
      <c r="A123" s="48">
        <v>108</v>
      </c>
      <c r="B123" s="4"/>
      <c r="C123" s="6" t="s">
        <v>178</v>
      </c>
      <c r="D123" s="5"/>
      <c r="E123" s="5" t="s">
        <v>68</v>
      </c>
      <c r="F123" s="5" t="s">
        <v>210</v>
      </c>
      <c r="G123" s="5" t="s">
        <v>57</v>
      </c>
      <c r="H123" s="5" t="s">
        <v>51</v>
      </c>
      <c r="I123" s="5" t="s">
        <v>53</v>
      </c>
      <c r="J123" s="5" t="s">
        <v>52</v>
      </c>
      <c r="K123" s="5" t="s">
        <v>62</v>
      </c>
      <c r="L123" s="5" t="s">
        <v>55</v>
      </c>
      <c r="M123" s="5" t="s">
        <v>63</v>
      </c>
      <c r="N123" s="5" t="s">
        <v>71</v>
      </c>
      <c r="O123" s="5" t="s">
        <v>65</v>
      </c>
      <c r="P123" s="5" t="s">
        <v>60</v>
      </c>
      <c r="Q123" s="5" t="s">
        <v>47</v>
      </c>
      <c r="R123" s="5" t="s">
        <v>207</v>
      </c>
      <c r="S123" s="5" t="s">
        <v>69</v>
      </c>
      <c r="T123" s="1">
        <v>7</v>
      </c>
      <c r="U123" s="1">
        <v>99</v>
      </c>
      <c r="V123" s="1">
        <v>37</v>
      </c>
    </row>
    <row r="124" spans="1:28" x14ac:dyDescent="0.3">
      <c r="A124" s="48">
        <v>109</v>
      </c>
      <c r="B124" s="4"/>
      <c r="C124" s="6" t="s">
        <v>136</v>
      </c>
      <c r="D124" s="5"/>
      <c r="E124" s="5" t="s">
        <v>70</v>
      </c>
      <c r="F124" s="5" t="s">
        <v>210</v>
      </c>
      <c r="G124" s="5" t="s">
        <v>57</v>
      </c>
      <c r="H124" s="5" t="s">
        <v>74</v>
      </c>
      <c r="I124" s="5" t="s">
        <v>53</v>
      </c>
      <c r="J124" s="5" t="s">
        <v>72</v>
      </c>
      <c r="K124" s="5" t="s">
        <v>73</v>
      </c>
      <c r="L124" s="5" t="s">
        <v>56</v>
      </c>
      <c r="M124" s="5" t="s">
        <v>63</v>
      </c>
      <c r="N124" s="5" t="s">
        <v>71</v>
      </c>
      <c r="O124" s="5" t="s">
        <v>59</v>
      </c>
      <c r="P124" s="5" t="s">
        <v>67</v>
      </c>
      <c r="Q124" s="5" t="s">
        <v>47</v>
      </c>
      <c r="R124" s="5" t="s">
        <v>50</v>
      </c>
      <c r="S124" s="5" t="s">
        <v>69</v>
      </c>
      <c r="T124" s="1">
        <v>7</v>
      </c>
      <c r="U124" s="1">
        <v>103</v>
      </c>
      <c r="V124" s="1">
        <v>38</v>
      </c>
    </row>
    <row r="125" spans="1:28" x14ac:dyDescent="0.3">
      <c r="A125" s="48">
        <v>110</v>
      </c>
      <c r="B125" s="4"/>
      <c r="C125" s="6" t="s">
        <v>189</v>
      </c>
      <c r="D125" s="5"/>
      <c r="E125" s="5" t="s">
        <v>68</v>
      </c>
      <c r="F125" s="5" t="s">
        <v>210</v>
      </c>
      <c r="G125" s="5" t="s">
        <v>57</v>
      </c>
      <c r="H125" s="5" t="s">
        <v>74</v>
      </c>
      <c r="I125" s="5" t="s">
        <v>58</v>
      </c>
      <c r="J125" s="5" t="s">
        <v>72</v>
      </c>
      <c r="K125" s="5" t="s">
        <v>73</v>
      </c>
      <c r="L125" s="5" t="s">
        <v>56</v>
      </c>
      <c r="M125" s="5" t="s">
        <v>64</v>
      </c>
      <c r="N125" s="5" t="s">
        <v>71</v>
      </c>
      <c r="O125" s="5" t="s">
        <v>65</v>
      </c>
      <c r="P125" s="5" t="s">
        <v>67</v>
      </c>
      <c r="Q125" s="5" t="s">
        <v>47</v>
      </c>
      <c r="R125" s="5" t="s">
        <v>50</v>
      </c>
      <c r="S125" s="5" t="s">
        <v>69</v>
      </c>
      <c r="T125" s="1">
        <v>7</v>
      </c>
      <c r="U125" s="1">
        <v>105</v>
      </c>
      <c r="V125" s="1">
        <v>40</v>
      </c>
    </row>
    <row r="126" spans="1:28" x14ac:dyDescent="0.3">
      <c r="A126" s="48">
        <v>111</v>
      </c>
      <c r="B126" s="4"/>
      <c r="C126" s="6" t="s">
        <v>12</v>
      </c>
      <c r="D126" s="5"/>
      <c r="E126" s="5" t="s">
        <v>68</v>
      </c>
      <c r="F126" s="5" t="s">
        <v>210</v>
      </c>
      <c r="G126" s="5" t="s">
        <v>208</v>
      </c>
      <c r="H126" s="5" t="s">
        <v>51</v>
      </c>
      <c r="I126" s="5" t="s">
        <v>53</v>
      </c>
      <c r="J126" s="5" t="s">
        <v>52</v>
      </c>
      <c r="K126" s="5" t="s">
        <v>73</v>
      </c>
      <c r="L126" s="5" t="s">
        <v>56</v>
      </c>
      <c r="M126" s="5" t="s">
        <v>64</v>
      </c>
      <c r="N126" s="5" t="s">
        <v>71</v>
      </c>
      <c r="O126" s="5" t="s">
        <v>59</v>
      </c>
      <c r="P126" s="5" t="s">
        <v>67</v>
      </c>
      <c r="Q126" s="5" t="s">
        <v>47</v>
      </c>
      <c r="R126" s="5" t="s">
        <v>207</v>
      </c>
      <c r="S126" s="5" t="s">
        <v>69</v>
      </c>
      <c r="T126" s="1">
        <v>7</v>
      </c>
      <c r="U126" s="1">
        <v>106</v>
      </c>
      <c r="V126" s="1">
        <v>40</v>
      </c>
    </row>
    <row r="127" spans="1:28" ht="28.8" x14ac:dyDescent="0.3">
      <c r="A127" s="48">
        <v>112</v>
      </c>
      <c r="B127" s="4"/>
      <c r="C127" s="6" t="s">
        <v>143</v>
      </c>
      <c r="D127" s="5"/>
      <c r="E127" s="5" t="s">
        <v>68</v>
      </c>
      <c r="F127" s="5" t="s">
        <v>61</v>
      </c>
      <c r="G127" s="5" t="s">
        <v>208</v>
      </c>
      <c r="H127" s="5" t="s">
        <v>74</v>
      </c>
      <c r="I127" s="5" t="s">
        <v>53</v>
      </c>
      <c r="J127" s="5" t="s">
        <v>72</v>
      </c>
      <c r="K127" s="5" t="s">
        <v>73</v>
      </c>
      <c r="L127" s="5" t="s">
        <v>55</v>
      </c>
      <c r="M127" s="5" t="s">
        <v>64</v>
      </c>
      <c r="N127" s="5" t="s">
        <v>71</v>
      </c>
      <c r="O127" s="5" t="s">
        <v>59</v>
      </c>
      <c r="P127" s="5" t="s">
        <v>67</v>
      </c>
      <c r="Q127" s="5" t="s">
        <v>47</v>
      </c>
      <c r="R127" s="5" t="s">
        <v>207</v>
      </c>
      <c r="S127" s="5" t="s">
        <v>69</v>
      </c>
      <c r="T127" s="1">
        <v>7</v>
      </c>
      <c r="U127" s="1">
        <v>105</v>
      </c>
      <c r="V127" s="1">
        <v>41</v>
      </c>
    </row>
    <row r="128" spans="1:28" ht="28.8" x14ac:dyDescent="0.3">
      <c r="A128" s="48">
        <v>113</v>
      </c>
      <c r="B128" s="4"/>
      <c r="C128" s="6" t="s">
        <v>163</v>
      </c>
      <c r="D128" s="5"/>
      <c r="E128" s="5" t="s">
        <v>68</v>
      </c>
      <c r="F128" s="5" t="s">
        <v>210</v>
      </c>
      <c r="G128" s="5" t="s">
        <v>208</v>
      </c>
      <c r="H128" s="5" t="s">
        <v>51</v>
      </c>
      <c r="I128" s="5" t="s">
        <v>53</v>
      </c>
      <c r="J128" s="5" t="s">
        <v>52</v>
      </c>
      <c r="K128" s="5" t="s">
        <v>73</v>
      </c>
      <c r="L128" s="5" t="s">
        <v>55</v>
      </c>
      <c r="M128" s="5" t="s">
        <v>64</v>
      </c>
      <c r="N128" s="5" t="s">
        <v>71</v>
      </c>
      <c r="O128" s="5" t="s">
        <v>59</v>
      </c>
      <c r="P128" s="5" t="s">
        <v>67</v>
      </c>
      <c r="Q128" s="5" t="s">
        <v>47</v>
      </c>
      <c r="R128" s="5" t="s">
        <v>50</v>
      </c>
      <c r="S128" s="5" t="s">
        <v>69</v>
      </c>
      <c r="T128" s="1">
        <v>7</v>
      </c>
      <c r="U128" s="1">
        <v>114</v>
      </c>
      <c r="V128" s="1">
        <v>41</v>
      </c>
    </row>
    <row r="129" spans="1:22" x14ac:dyDescent="0.3">
      <c r="A129" s="48">
        <v>114</v>
      </c>
      <c r="B129" s="4"/>
      <c r="C129" s="6" t="s">
        <v>169</v>
      </c>
      <c r="D129" s="5"/>
      <c r="E129" s="5" t="s">
        <v>68</v>
      </c>
      <c r="F129" s="5" t="s">
        <v>210</v>
      </c>
      <c r="G129" s="5" t="s">
        <v>208</v>
      </c>
      <c r="H129" s="5" t="s">
        <v>51</v>
      </c>
      <c r="I129" s="5" t="s">
        <v>53</v>
      </c>
      <c r="J129" s="5" t="s">
        <v>52</v>
      </c>
      <c r="K129" s="5" t="s">
        <v>73</v>
      </c>
      <c r="L129" s="5" t="s">
        <v>55</v>
      </c>
      <c r="M129" s="5" t="s">
        <v>64</v>
      </c>
      <c r="N129" s="5" t="s">
        <v>71</v>
      </c>
      <c r="O129" s="5" t="s">
        <v>65</v>
      </c>
      <c r="P129" s="5" t="s">
        <v>60</v>
      </c>
      <c r="Q129" s="5" t="s">
        <v>47</v>
      </c>
      <c r="R129" s="5" t="s">
        <v>50</v>
      </c>
      <c r="S129" s="5" t="s">
        <v>69</v>
      </c>
      <c r="T129" s="1">
        <v>7</v>
      </c>
      <c r="U129" s="1">
        <v>104</v>
      </c>
      <c r="V129" s="1">
        <v>41</v>
      </c>
    </row>
    <row r="130" spans="1:22" x14ac:dyDescent="0.3">
      <c r="A130" s="48">
        <v>115</v>
      </c>
      <c r="B130" s="4"/>
      <c r="C130" s="6" t="s">
        <v>155</v>
      </c>
      <c r="D130" s="5"/>
      <c r="E130" s="5" t="s">
        <v>68</v>
      </c>
      <c r="F130" s="5" t="s">
        <v>61</v>
      </c>
      <c r="G130" s="5" t="s">
        <v>57</v>
      </c>
      <c r="H130" s="5" t="s">
        <v>74</v>
      </c>
      <c r="I130" s="5" t="s">
        <v>53</v>
      </c>
      <c r="J130" s="5" t="s">
        <v>52</v>
      </c>
      <c r="K130" s="5" t="s">
        <v>73</v>
      </c>
      <c r="L130" s="5" t="s">
        <v>55</v>
      </c>
      <c r="M130" s="5" t="s">
        <v>64</v>
      </c>
      <c r="N130" s="5" t="s">
        <v>71</v>
      </c>
      <c r="O130" s="5" t="s">
        <v>65</v>
      </c>
      <c r="P130" s="5" t="s">
        <v>67</v>
      </c>
      <c r="Q130" s="5" t="s">
        <v>47</v>
      </c>
      <c r="R130" s="5" t="s">
        <v>207</v>
      </c>
      <c r="S130" s="5" t="s">
        <v>66</v>
      </c>
      <c r="T130" s="1">
        <v>7</v>
      </c>
      <c r="U130" s="1">
        <v>101</v>
      </c>
      <c r="V130" s="1">
        <v>42</v>
      </c>
    </row>
    <row r="131" spans="1:22" x14ac:dyDescent="0.3">
      <c r="A131" s="48">
        <v>116</v>
      </c>
      <c r="B131" s="4"/>
      <c r="C131" s="6" t="s">
        <v>144</v>
      </c>
      <c r="D131" s="5"/>
      <c r="E131" s="5" t="s">
        <v>70</v>
      </c>
      <c r="F131" s="5" t="s">
        <v>210</v>
      </c>
      <c r="G131" s="5" t="s">
        <v>57</v>
      </c>
      <c r="H131" s="5" t="s">
        <v>51</v>
      </c>
      <c r="I131" s="5" t="s">
        <v>58</v>
      </c>
      <c r="J131" s="5" t="s">
        <v>72</v>
      </c>
      <c r="K131" s="5" t="s">
        <v>73</v>
      </c>
      <c r="L131" s="5" t="s">
        <v>56</v>
      </c>
      <c r="M131" s="5" t="s">
        <v>64</v>
      </c>
      <c r="N131" s="5" t="s">
        <v>75</v>
      </c>
      <c r="O131" s="5" t="s">
        <v>65</v>
      </c>
      <c r="P131" s="5" t="s">
        <v>67</v>
      </c>
      <c r="Q131" s="5" t="s">
        <v>47</v>
      </c>
      <c r="R131" s="5" t="s">
        <v>50</v>
      </c>
      <c r="S131" s="5" t="s">
        <v>66</v>
      </c>
      <c r="T131" s="1">
        <v>7</v>
      </c>
      <c r="U131" s="1">
        <v>107</v>
      </c>
      <c r="V131" s="1">
        <v>42</v>
      </c>
    </row>
    <row r="132" spans="1:22" x14ac:dyDescent="0.3">
      <c r="A132" s="48">
        <v>117</v>
      </c>
      <c r="B132" s="4"/>
      <c r="C132" s="6" t="s">
        <v>96</v>
      </c>
      <c r="D132" s="5"/>
      <c r="E132" s="5" t="s">
        <v>68</v>
      </c>
      <c r="F132" s="5" t="s">
        <v>61</v>
      </c>
      <c r="G132" s="5" t="s">
        <v>57</v>
      </c>
      <c r="H132" s="5" t="s">
        <v>51</v>
      </c>
      <c r="I132" s="5" t="s">
        <v>58</v>
      </c>
      <c r="J132" s="5" t="s">
        <v>72</v>
      </c>
      <c r="K132" s="5" t="s">
        <v>62</v>
      </c>
      <c r="L132" s="5" t="s">
        <v>55</v>
      </c>
      <c r="M132" s="5" t="s">
        <v>64</v>
      </c>
      <c r="N132" s="5" t="s">
        <v>71</v>
      </c>
      <c r="O132" s="5" t="s">
        <v>65</v>
      </c>
      <c r="P132" s="5" t="s">
        <v>67</v>
      </c>
      <c r="Q132" s="5" t="s">
        <v>54</v>
      </c>
      <c r="R132" s="5" t="s">
        <v>207</v>
      </c>
      <c r="S132" s="5" t="s">
        <v>69</v>
      </c>
      <c r="T132" s="1">
        <v>7</v>
      </c>
      <c r="U132" s="1">
        <v>101</v>
      </c>
      <c r="V132" s="1">
        <v>44</v>
      </c>
    </row>
    <row r="133" spans="1:22" ht="28.8" x14ac:dyDescent="0.3">
      <c r="A133" s="48">
        <v>118</v>
      </c>
      <c r="B133" s="4"/>
      <c r="C133" s="6" t="s">
        <v>15</v>
      </c>
      <c r="D133" s="5"/>
      <c r="E133" s="5" t="s">
        <v>70</v>
      </c>
      <c r="F133" s="5" t="s">
        <v>210</v>
      </c>
      <c r="G133" s="5" t="s">
        <v>208</v>
      </c>
      <c r="H133" s="5" t="s">
        <v>51</v>
      </c>
      <c r="I133" s="5" t="s">
        <v>53</v>
      </c>
      <c r="J133" s="5" t="s">
        <v>52</v>
      </c>
      <c r="K133" s="5" t="s">
        <v>62</v>
      </c>
      <c r="L133" s="5" t="s">
        <v>55</v>
      </c>
      <c r="M133" s="5" t="s">
        <v>64</v>
      </c>
      <c r="N133" s="5" t="s">
        <v>71</v>
      </c>
      <c r="O133" s="5" t="s">
        <v>59</v>
      </c>
      <c r="P133" s="5" t="s">
        <v>67</v>
      </c>
      <c r="Q133" s="5" t="s">
        <v>47</v>
      </c>
      <c r="R133" s="5" t="s">
        <v>50</v>
      </c>
      <c r="S133" s="5" t="s">
        <v>69</v>
      </c>
      <c r="T133" s="1">
        <v>7</v>
      </c>
      <c r="U133" s="1">
        <v>99</v>
      </c>
      <c r="V133" s="1">
        <v>44</v>
      </c>
    </row>
    <row r="134" spans="1:22" x14ac:dyDescent="0.3">
      <c r="A134" s="48">
        <v>119</v>
      </c>
      <c r="B134" s="4"/>
      <c r="C134" s="6" t="s">
        <v>173</v>
      </c>
      <c r="D134" s="5"/>
      <c r="E134" s="5" t="s">
        <v>70</v>
      </c>
      <c r="F134" s="5" t="s">
        <v>61</v>
      </c>
      <c r="G134" s="5" t="s">
        <v>208</v>
      </c>
      <c r="H134" s="5" t="s">
        <v>74</v>
      </c>
      <c r="I134" s="5" t="s">
        <v>58</v>
      </c>
      <c r="J134" s="5" t="s">
        <v>72</v>
      </c>
      <c r="K134" s="5" t="s">
        <v>73</v>
      </c>
      <c r="L134" s="5" t="s">
        <v>55</v>
      </c>
      <c r="M134" s="5" t="s">
        <v>63</v>
      </c>
      <c r="N134" s="5" t="s">
        <v>71</v>
      </c>
      <c r="O134" s="5" t="s">
        <v>65</v>
      </c>
      <c r="P134" s="5" t="s">
        <v>67</v>
      </c>
      <c r="Q134" s="5" t="s">
        <v>54</v>
      </c>
      <c r="R134" s="5" t="s">
        <v>207</v>
      </c>
      <c r="S134" s="5" t="s">
        <v>66</v>
      </c>
      <c r="T134" s="1">
        <v>7</v>
      </c>
      <c r="U134" s="1">
        <v>105</v>
      </c>
      <c r="V134" s="1">
        <v>44</v>
      </c>
    </row>
    <row r="135" spans="1:22" ht="28.8" x14ac:dyDescent="0.3">
      <c r="A135" s="48">
        <v>120</v>
      </c>
      <c r="B135" s="4"/>
      <c r="C135" s="6" t="s">
        <v>154</v>
      </c>
      <c r="D135" s="5"/>
      <c r="E135" s="5" t="s">
        <v>68</v>
      </c>
      <c r="F135" s="5" t="s">
        <v>61</v>
      </c>
      <c r="G135" s="5" t="s">
        <v>57</v>
      </c>
      <c r="H135" s="5" t="s">
        <v>51</v>
      </c>
      <c r="I135" s="5" t="s">
        <v>53</v>
      </c>
      <c r="J135" s="5" t="s">
        <v>52</v>
      </c>
      <c r="K135" s="5" t="s">
        <v>73</v>
      </c>
      <c r="L135" s="5" t="s">
        <v>55</v>
      </c>
      <c r="M135" s="5" t="s">
        <v>64</v>
      </c>
      <c r="N135" s="5" t="s">
        <v>71</v>
      </c>
      <c r="O135" s="5" t="s">
        <v>65</v>
      </c>
      <c r="P135" s="5" t="s">
        <v>60</v>
      </c>
      <c r="Q135" s="5" t="s">
        <v>47</v>
      </c>
      <c r="R135" s="5" t="s">
        <v>50</v>
      </c>
      <c r="S135" s="5" t="s">
        <v>69</v>
      </c>
      <c r="T135" s="1">
        <v>7</v>
      </c>
      <c r="U135" s="1">
        <v>109</v>
      </c>
      <c r="V135" s="1">
        <v>44</v>
      </c>
    </row>
    <row r="136" spans="1:22" x14ac:dyDescent="0.3">
      <c r="A136" s="48">
        <v>121</v>
      </c>
      <c r="B136" s="4"/>
      <c r="C136" s="6" t="s">
        <v>98</v>
      </c>
      <c r="D136" s="5"/>
      <c r="E136" s="5" t="s">
        <v>70</v>
      </c>
      <c r="F136" s="5" t="s">
        <v>61</v>
      </c>
      <c r="G136" s="5" t="s">
        <v>208</v>
      </c>
      <c r="H136" s="5" t="s">
        <v>74</v>
      </c>
      <c r="I136" s="5" t="s">
        <v>53</v>
      </c>
      <c r="J136" s="5" t="s">
        <v>72</v>
      </c>
      <c r="K136" s="5" t="s">
        <v>73</v>
      </c>
      <c r="L136" s="5" t="s">
        <v>56</v>
      </c>
      <c r="M136" s="5" t="s">
        <v>64</v>
      </c>
      <c r="N136" s="5" t="s">
        <v>71</v>
      </c>
      <c r="O136" s="5" t="s">
        <v>59</v>
      </c>
      <c r="P136" s="5" t="s">
        <v>67</v>
      </c>
      <c r="Q136" s="5" t="s">
        <v>47</v>
      </c>
      <c r="R136" s="5" t="s">
        <v>207</v>
      </c>
      <c r="S136" s="5" t="s">
        <v>69</v>
      </c>
      <c r="T136" s="1">
        <v>7</v>
      </c>
      <c r="U136" s="1">
        <v>115</v>
      </c>
      <c r="V136" s="1">
        <v>45</v>
      </c>
    </row>
    <row r="137" spans="1:22" x14ac:dyDescent="0.3">
      <c r="A137" s="48">
        <v>122</v>
      </c>
      <c r="B137" s="4"/>
      <c r="C137" s="6" t="s">
        <v>130</v>
      </c>
      <c r="D137" s="5"/>
      <c r="E137" s="5" t="s">
        <v>68</v>
      </c>
      <c r="F137" s="5" t="s">
        <v>210</v>
      </c>
      <c r="G137" s="5" t="s">
        <v>208</v>
      </c>
      <c r="H137" s="5" t="s">
        <v>51</v>
      </c>
      <c r="I137" s="5" t="s">
        <v>53</v>
      </c>
      <c r="J137" s="5" t="s">
        <v>72</v>
      </c>
      <c r="K137" s="5" t="s">
        <v>62</v>
      </c>
      <c r="L137" s="5" t="s">
        <v>55</v>
      </c>
      <c r="M137" s="5" t="s">
        <v>63</v>
      </c>
      <c r="N137" s="5" t="s">
        <v>71</v>
      </c>
      <c r="O137" s="5" t="s">
        <v>59</v>
      </c>
      <c r="P137" s="5" t="s">
        <v>60</v>
      </c>
      <c r="Q137" s="5" t="s">
        <v>54</v>
      </c>
      <c r="R137" s="5" t="s">
        <v>207</v>
      </c>
      <c r="S137" s="5" t="s">
        <v>69</v>
      </c>
      <c r="T137" s="1">
        <v>7</v>
      </c>
      <c r="U137" s="1">
        <v>103</v>
      </c>
      <c r="V137" s="1">
        <v>45</v>
      </c>
    </row>
    <row r="138" spans="1:22" ht="28.8" x14ac:dyDescent="0.3">
      <c r="A138" s="48">
        <v>123</v>
      </c>
      <c r="B138" s="4"/>
      <c r="C138" s="6" t="s">
        <v>175</v>
      </c>
      <c r="D138" s="5"/>
      <c r="E138" s="5" t="s">
        <v>68</v>
      </c>
      <c r="F138" s="5" t="s">
        <v>210</v>
      </c>
      <c r="G138" s="5" t="s">
        <v>208</v>
      </c>
      <c r="H138" s="5" t="s">
        <v>51</v>
      </c>
      <c r="I138" s="5" t="s">
        <v>53</v>
      </c>
      <c r="J138" s="5" t="s">
        <v>52</v>
      </c>
      <c r="K138" s="5" t="s">
        <v>73</v>
      </c>
      <c r="L138" s="5" t="s">
        <v>56</v>
      </c>
      <c r="M138" s="5" t="s">
        <v>64</v>
      </c>
      <c r="N138" s="5" t="s">
        <v>71</v>
      </c>
      <c r="O138" s="5" t="s">
        <v>59</v>
      </c>
      <c r="P138" s="5" t="s">
        <v>60</v>
      </c>
      <c r="Q138" s="5" t="s">
        <v>47</v>
      </c>
      <c r="R138" s="5" t="s">
        <v>50</v>
      </c>
      <c r="S138" s="5" t="s">
        <v>69</v>
      </c>
      <c r="T138" s="1">
        <v>7</v>
      </c>
      <c r="U138" s="1">
        <v>93</v>
      </c>
      <c r="V138" s="1">
        <v>45</v>
      </c>
    </row>
    <row r="139" spans="1:22" x14ac:dyDescent="0.3">
      <c r="A139" s="48">
        <v>124</v>
      </c>
      <c r="B139" s="4"/>
      <c r="C139" s="6" t="s">
        <v>91</v>
      </c>
      <c r="D139" s="5"/>
      <c r="E139" s="5" t="s">
        <v>68</v>
      </c>
      <c r="F139" s="5" t="s">
        <v>61</v>
      </c>
      <c r="G139" s="5" t="s">
        <v>57</v>
      </c>
      <c r="H139" s="5" t="s">
        <v>51</v>
      </c>
      <c r="I139" s="5" t="s">
        <v>58</v>
      </c>
      <c r="J139" s="5" t="s">
        <v>52</v>
      </c>
      <c r="K139" s="5" t="s">
        <v>62</v>
      </c>
      <c r="L139" s="5" t="s">
        <v>55</v>
      </c>
      <c r="M139" s="5" t="s">
        <v>64</v>
      </c>
      <c r="N139" s="5" t="s">
        <v>71</v>
      </c>
      <c r="O139" s="5" t="s">
        <v>65</v>
      </c>
      <c r="P139" s="5" t="s">
        <v>60</v>
      </c>
      <c r="Q139" s="5" t="s">
        <v>47</v>
      </c>
      <c r="R139" s="5" t="s">
        <v>207</v>
      </c>
      <c r="S139" s="5" t="s">
        <v>66</v>
      </c>
      <c r="T139" s="1">
        <v>7</v>
      </c>
      <c r="U139" s="1">
        <v>90</v>
      </c>
      <c r="V139" s="1">
        <v>45</v>
      </c>
    </row>
    <row r="140" spans="1:22" ht="28.8" x14ac:dyDescent="0.3">
      <c r="A140" s="48">
        <v>125</v>
      </c>
      <c r="B140" s="4"/>
      <c r="C140" s="6" t="s">
        <v>114</v>
      </c>
      <c r="D140" s="5"/>
      <c r="E140" s="5" t="s">
        <v>68</v>
      </c>
      <c r="F140" s="5" t="s">
        <v>210</v>
      </c>
      <c r="G140" s="5" t="s">
        <v>57</v>
      </c>
      <c r="H140" s="5" t="s">
        <v>74</v>
      </c>
      <c r="I140" s="5" t="s">
        <v>53</v>
      </c>
      <c r="J140" s="5" t="s">
        <v>72</v>
      </c>
      <c r="K140" s="5" t="s">
        <v>73</v>
      </c>
      <c r="L140" s="5" t="s">
        <v>56</v>
      </c>
      <c r="M140" s="5" t="s">
        <v>64</v>
      </c>
      <c r="N140" s="5" t="s">
        <v>71</v>
      </c>
      <c r="O140" s="5" t="s">
        <v>59</v>
      </c>
      <c r="P140" s="5" t="s">
        <v>67</v>
      </c>
      <c r="Q140" s="5" t="s">
        <v>54</v>
      </c>
      <c r="R140" s="5" t="s">
        <v>50</v>
      </c>
      <c r="S140" s="5" t="s">
        <v>66</v>
      </c>
      <c r="T140" s="1">
        <v>7</v>
      </c>
      <c r="U140" s="1">
        <v>106</v>
      </c>
      <c r="V140" s="1">
        <v>47</v>
      </c>
    </row>
    <row r="141" spans="1:22" x14ac:dyDescent="0.3">
      <c r="A141" s="48">
        <v>126</v>
      </c>
      <c r="B141" s="4"/>
      <c r="C141" s="6" t="s">
        <v>194</v>
      </c>
      <c r="D141" s="5"/>
      <c r="E141" s="5" t="s">
        <v>68</v>
      </c>
      <c r="F141" s="5" t="s">
        <v>210</v>
      </c>
      <c r="G141" s="5" t="s">
        <v>208</v>
      </c>
      <c r="H141" s="5" t="s">
        <v>74</v>
      </c>
      <c r="I141" s="5" t="s">
        <v>53</v>
      </c>
      <c r="J141" s="5" t="s">
        <v>72</v>
      </c>
      <c r="K141" s="5" t="s">
        <v>62</v>
      </c>
      <c r="L141" s="5" t="s">
        <v>55</v>
      </c>
      <c r="M141" s="5" t="s">
        <v>63</v>
      </c>
      <c r="N141" s="5" t="s">
        <v>75</v>
      </c>
      <c r="O141" s="5" t="s">
        <v>65</v>
      </c>
      <c r="P141" s="5" t="s">
        <v>67</v>
      </c>
      <c r="Q141" s="5" t="s">
        <v>54</v>
      </c>
      <c r="R141" s="5" t="s">
        <v>207</v>
      </c>
      <c r="S141" s="5" t="s">
        <v>69</v>
      </c>
      <c r="T141" s="1">
        <v>7</v>
      </c>
      <c r="U141" s="1">
        <v>96</v>
      </c>
      <c r="V141" s="1">
        <v>47</v>
      </c>
    </row>
    <row r="142" spans="1:22" ht="28.8" x14ac:dyDescent="0.3">
      <c r="A142" s="48">
        <v>127</v>
      </c>
      <c r="B142" s="4"/>
      <c r="C142" s="6" t="s">
        <v>24</v>
      </c>
      <c r="D142" s="5"/>
      <c r="E142" s="5" t="s">
        <v>68</v>
      </c>
      <c r="F142" s="5" t="s">
        <v>210</v>
      </c>
      <c r="G142" s="5" t="s">
        <v>57</v>
      </c>
      <c r="H142" s="5" t="s">
        <v>51</v>
      </c>
      <c r="I142" s="5" t="s">
        <v>53</v>
      </c>
      <c r="J142" s="5" t="s">
        <v>72</v>
      </c>
      <c r="K142" s="5" t="s">
        <v>62</v>
      </c>
      <c r="L142" s="5" t="s">
        <v>55</v>
      </c>
      <c r="M142" s="5" t="s">
        <v>64</v>
      </c>
      <c r="N142" s="5" t="s">
        <v>71</v>
      </c>
      <c r="O142" s="5" t="s">
        <v>65</v>
      </c>
      <c r="P142" s="5" t="s">
        <v>60</v>
      </c>
      <c r="Q142" s="5" t="s">
        <v>47</v>
      </c>
      <c r="R142" s="5" t="s">
        <v>207</v>
      </c>
      <c r="S142" s="5" t="s">
        <v>69</v>
      </c>
      <c r="T142" s="1">
        <v>7</v>
      </c>
      <c r="U142" s="1">
        <v>103</v>
      </c>
      <c r="V142" s="1">
        <v>47</v>
      </c>
    </row>
    <row r="143" spans="1:22" x14ac:dyDescent="0.3">
      <c r="A143" s="48">
        <v>128</v>
      </c>
      <c r="B143" s="4"/>
      <c r="C143" s="6" t="s">
        <v>109</v>
      </c>
      <c r="D143" s="5"/>
      <c r="E143" s="5" t="s">
        <v>68</v>
      </c>
      <c r="F143" s="5" t="s">
        <v>61</v>
      </c>
      <c r="G143" s="5" t="s">
        <v>57</v>
      </c>
      <c r="H143" s="5" t="s">
        <v>74</v>
      </c>
      <c r="I143" s="5" t="s">
        <v>53</v>
      </c>
      <c r="J143" s="5" t="s">
        <v>52</v>
      </c>
      <c r="K143" s="5" t="s">
        <v>73</v>
      </c>
      <c r="L143" s="5" t="s">
        <v>56</v>
      </c>
      <c r="M143" s="5" t="s">
        <v>64</v>
      </c>
      <c r="N143" s="5" t="s">
        <v>71</v>
      </c>
      <c r="O143" s="5" t="s">
        <v>65</v>
      </c>
      <c r="P143" s="5" t="s">
        <v>67</v>
      </c>
      <c r="Q143" s="5" t="s">
        <v>47</v>
      </c>
      <c r="R143" s="5" t="s">
        <v>207</v>
      </c>
      <c r="S143" s="5" t="s">
        <v>69</v>
      </c>
      <c r="T143" s="1">
        <v>7</v>
      </c>
      <c r="U143" s="1">
        <v>105</v>
      </c>
      <c r="V143" s="1">
        <v>48</v>
      </c>
    </row>
    <row r="144" spans="1:22" ht="28.8" x14ac:dyDescent="0.3">
      <c r="A144" s="48">
        <v>129</v>
      </c>
      <c r="B144" s="4"/>
      <c r="C144" s="6" t="s">
        <v>184</v>
      </c>
      <c r="D144" s="5"/>
      <c r="E144" s="5" t="s">
        <v>68</v>
      </c>
      <c r="F144" s="5" t="s">
        <v>210</v>
      </c>
      <c r="G144" s="5" t="s">
        <v>208</v>
      </c>
      <c r="H144" s="5" t="s">
        <v>51</v>
      </c>
      <c r="I144" s="5" t="s">
        <v>53</v>
      </c>
      <c r="J144" s="5" t="s">
        <v>52</v>
      </c>
      <c r="K144" s="5" t="s">
        <v>73</v>
      </c>
      <c r="L144" s="5" t="s">
        <v>55</v>
      </c>
      <c r="M144" s="5" t="s">
        <v>63</v>
      </c>
      <c r="N144" s="5" t="s">
        <v>71</v>
      </c>
      <c r="O144" s="5" t="s">
        <v>59</v>
      </c>
      <c r="P144" s="5" t="s">
        <v>60</v>
      </c>
      <c r="Q144" s="5" t="s">
        <v>47</v>
      </c>
      <c r="R144" s="5" t="s">
        <v>50</v>
      </c>
      <c r="S144" s="5" t="s">
        <v>69</v>
      </c>
      <c r="T144" s="1">
        <v>7</v>
      </c>
      <c r="U144" s="1">
        <v>100</v>
      </c>
      <c r="V144" s="1">
        <v>52</v>
      </c>
    </row>
    <row r="145" spans="1:22" x14ac:dyDescent="0.3">
      <c r="A145" s="48">
        <v>130</v>
      </c>
      <c r="B145" s="4"/>
      <c r="C145" s="6" t="s">
        <v>111</v>
      </c>
      <c r="D145" s="5"/>
      <c r="E145" s="5" t="s">
        <v>70</v>
      </c>
      <c r="F145" s="5" t="s">
        <v>61</v>
      </c>
      <c r="G145" s="5" t="s">
        <v>208</v>
      </c>
      <c r="H145" s="5" t="s">
        <v>51</v>
      </c>
      <c r="I145" s="5" t="s">
        <v>53</v>
      </c>
      <c r="J145" s="5" t="s">
        <v>52</v>
      </c>
      <c r="K145" s="5" t="s">
        <v>73</v>
      </c>
      <c r="L145" s="5" t="s">
        <v>55</v>
      </c>
      <c r="M145" s="5" t="s">
        <v>63</v>
      </c>
      <c r="N145" s="5" t="s">
        <v>71</v>
      </c>
      <c r="O145" s="5" t="s">
        <v>59</v>
      </c>
      <c r="P145" s="5" t="s">
        <v>67</v>
      </c>
      <c r="Q145" s="5" t="s">
        <v>47</v>
      </c>
      <c r="R145" s="5" t="s">
        <v>50</v>
      </c>
      <c r="S145" s="5" t="s">
        <v>69</v>
      </c>
      <c r="T145" s="1">
        <v>6</v>
      </c>
      <c r="U145" s="1">
        <v>100</v>
      </c>
      <c r="V145" s="1">
        <v>18</v>
      </c>
    </row>
    <row r="146" spans="1:22" ht="28.8" x14ac:dyDescent="0.3">
      <c r="A146" s="48">
        <v>131</v>
      </c>
      <c r="B146" s="4"/>
      <c r="C146" s="6" t="s">
        <v>124</v>
      </c>
      <c r="D146" s="5"/>
      <c r="E146" s="5" t="s">
        <v>68</v>
      </c>
      <c r="F146" s="5" t="s">
        <v>210</v>
      </c>
      <c r="G146" s="5" t="s">
        <v>208</v>
      </c>
      <c r="H146" s="5" t="s">
        <v>51</v>
      </c>
      <c r="I146" s="5" t="s">
        <v>58</v>
      </c>
      <c r="J146" s="5" t="s">
        <v>52</v>
      </c>
      <c r="K146" s="5" t="s">
        <v>62</v>
      </c>
      <c r="L146" s="5" t="s">
        <v>56</v>
      </c>
      <c r="M146" s="5" t="s">
        <v>63</v>
      </c>
      <c r="N146" s="5" t="s">
        <v>71</v>
      </c>
      <c r="O146" s="5" t="s">
        <v>59</v>
      </c>
      <c r="P146" s="5" t="s">
        <v>67</v>
      </c>
      <c r="Q146" s="5" t="s">
        <v>54</v>
      </c>
      <c r="R146" s="5" t="s">
        <v>207</v>
      </c>
      <c r="S146" s="5" t="s">
        <v>66</v>
      </c>
      <c r="T146" s="1">
        <v>6</v>
      </c>
      <c r="U146" s="1">
        <v>85</v>
      </c>
      <c r="V146" s="1">
        <v>39</v>
      </c>
    </row>
    <row r="147" spans="1:22" x14ac:dyDescent="0.3">
      <c r="A147" s="48">
        <v>132</v>
      </c>
      <c r="B147" s="4"/>
      <c r="C147" s="6" t="s">
        <v>127</v>
      </c>
      <c r="D147" s="5"/>
      <c r="E147" s="5" t="s">
        <v>68</v>
      </c>
      <c r="F147" s="5" t="s">
        <v>61</v>
      </c>
      <c r="G147" s="5" t="s">
        <v>208</v>
      </c>
      <c r="H147" s="5" t="s">
        <v>74</v>
      </c>
      <c r="I147" s="5" t="s">
        <v>53</v>
      </c>
      <c r="J147" s="5" t="s">
        <v>52</v>
      </c>
      <c r="K147" s="5" t="s">
        <v>73</v>
      </c>
      <c r="L147" s="5" t="s">
        <v>56</v>
      </c>
      <c r="M147" s="5" t="s">
        <v>63</v>
      </c>
      <c r="N147" s="5" t="s">
        <v>71</v>
      </c>
      <c r="O147" s="5" t="s">
        <v>59</v>
      </c>
      <c r="P147" s="5" t="s">
        <v>67</v>
      </c>
      <c r="Q147" s="5" t="s">
        <v>54</v>
      </c>
      <c r="R147" s="5" t="s">
        <v>207</v>
      </c>
      <c r="S147" s="5" t="s">
        <v>66</v>
      </c>
      <c r="T147" s="1">
        <v>6</v>
      </c>
      <c r="U147" s="1">
        <v>102</v>
      </c>
      <c r="V147" s="1">
        <v>40</v>
      </c>
    </row>
    <row r="148" spans="1:22" x14ac:dyDescent="0.3">
      <c r="A148" s="48">
        <v>133</v>
      </c>
      <c r="B148" s="4"/>
      <c r="C148" s="6" t="s">
        <v>152</v>
      </c>
      <c r="D148" s="5"/>
      <c r="E148" s="5" t="s">
        <v>68</v>
      </c>
      <c r="F148" s="5" t="s">
        <v>210</v>
      </c>
      <c r="G148" s="5" t="s">
        <v>208</v>
      </c>
      <c r="H148" s="5" t="s">
        <v>51</v>
      </c>
      <c r="I148" s="5" t="s">
        <v>53</v>
      </c>
      <c r="J148" s="5" t="s">
        <v>52</v>
      </c>
      <c r="K148" s="5" t="s">
        <v>73</v>
      </c>
      <c r="L148" s="5" t="s">
        <v>56</v>
      </c>
      <c r="M148" s="5" t="s">
        <v>63</v>
      </c>
      <c r="N148" s="5" t="s">
        <v>75</v>
      </c>
      <c r="O148" s="5" t="s">
        <v>65</v>
      </c>
      <c r="P148" s="5" t="s">
        <v>60</v>
      </c>
      <c r="Q148" s="5" t="s">
        <v>47</v>
      </c>
      <c r="R148" s="5" t="s">
        <v>50</v>
      </c>
      <c r="S148" s="5" t="s">
        <v>69</v>
      </c>
      <c r="T148" s="1">
        <v>6</v>
      </c>
      <c r="U148" s="1">
        <v>113</v>
      </c>
      <c r="V148" s="1">
        <v>40</v>
      </c>
    </row>
    <row r="149" spans="1:22" x14ac:dyDescent="0.3">
      <c r="A149" s="48">
        <v>134</v>
      </c>
      <c r="B149" s="4"/>
      <c r="C149" s="6" t="s">
        <v>101</v>
      </c>
      <c r="D149" s="5"/>
      <c r="E149" s="5" t="s">
        <v>70</v>
      </c>
      <c r="F149" s="5" t="s">
        <v>210</v>
      </c>
      <c r="G149" s="5" t="s">
        <v>208</v>
      </c>
      <c r="H149" s="5" t="s">
        <v>51</v>
      </c>
      <c r="I149" s="5" t="s">
        <v>53</v>
      </c>
      <c r="J149" s="5" t="s">
        <v>52</v>
      </c>
      <c r="K149" s="5" t="s">
        <v>73</v>
      </c>
      <c r="L149" s="5" t="s">
        <v>56</v>
      </c>
      <c r="M149" s="5" t="s">
        <v>64</v>
      </c>
      <c r="N149" s="5" t="s">
        <v>71</v>
      </c>
      <c r="O149" s="5" t="s">
        <v>65</v>
      </c>
      <c r="P149" s="5" t="s">
        <v>67</v>
      </c>
      <c r="Q149" s="5" t="s">
        <v>47</v>
      </c>
      <c r="R149" s="5" t="s">
        <v>207</v>
      </c>
      <c r="S149" s="5" t="s">
        <v>66</v>
      </c>
      <c r="T149" s="1">
        <v>6</v>
      </c>
      <c r="U149" s="1">
        <v>92</v>
      </c>
      <c r="V149" s="1">
        <v>41</v>
      </c>
    </row>
    <row r="150" spans="1:22" ht="28.8" x14ac:dyDescent="0.3">
      <c r="A150" s="48">
        <v>135</v>
      </c>
      <c r="B150" s="4"/>
      <c r="C150" s="6" t="s">
        <v>102</v>
      </c>
      <c r="D150" s="5"/>
      <c r="E150" s="5" t="s">
        <v>70</v>
      </c>
      <c r="F150" s="5" t="s">
        <v>61</v>
      </c>
      <c r="G150" s="5" t="s">
        <v>57</v>
      </c>
      <c r="H150" s="5" t="s">
        <v>74</v>
      </c>
      <c r="I150" s="5" t="s">
        <v>58</v>
      </c>
      <c r="J150" s="5" t="s">
        <v>72</v>
      </c>
      <c r="K150" s="5" t="s">
        <v>62</v>
      </c>
      <c r="L150" s="5" t="s">
        <v>56</v>
      </c>
      <c r="M150" s="5" t="s">
        <v>63</v>
      </c>
      <c r="N150" s="5" t="s">
        <v>71</v>
      </c>
      <c r="O150" s="5" t="s">
        <v>65</v>
      </c>
      <c r="P150" s="5" t="s">
        <v>67</v>
      </c>
      <c r="Q150" s="5" t="s">
        <v>47</v>
      </c>
      <c r="R150" s="5" t="s">
        <v>207</v>
      </c>
      <c r="S150" s="5" t="s">
        <v>69</v>
      </c>
      <c r="T150" s="1">
        <v>6</v>
      </c>
      <c r="U150" s="1">
        <v>98</v>
      </c>
      <c r="V150" s="1">
        <v>42</v>
      </c>
    </row>
    <row r="151" spans="1:22" ht="28.8" x14ac:dyDescent="0.3">
      <c r="A151" s="48">
        <v>136</v>
      </c>
      <c r="B151" s="4"/>
      <c r="C151" s="6" t="s">
        <v>36</v>
      </c>
      <c r="D151" s="5"/>
      <c r="E151" s="5" t="s">
        <v>70</v>
      </c>
      <c r="F151" s="5" t="s">
        <v>210</v>
      </c>
      <c r="G151" s="5" t="s">
        <v>208</v>
      </c>
      <c r="H151" s="5" t="s">
        <v>74</v>
      </c>
      <c r="I151" s="5" t="s">
        <v>53</v>
      </c>
      <c r="J151" s="5" t="s">
        <v>52</v>
      </c>
      <c r="K151" s="5" t="s">
        <v>62</v>
      </c>
      <c r="L151" s="5" t="s">
        <v>56</v>
      </c>
      <c r="M151" s="5" t="s">
        <v>63</v>
      </c>
      <c r="N151" s="5" t="s">
        <v>71</v>
      </c>
      <c r="O151" s="5" t="s">
        <v>65</v>
      </c>
      <c r="P151" s="5" t="s">
        <v>67</v>
      </c>
      <c r="Q151" s="5" t="s">
        <v>47</v>
      </c>
      <c r="R151" s="5" t="s">
        <v>207</v>
      </c>
      <c r="S151" s="5" t="s">
        <v>69</v>
      </c>
      <c r="T151" s="1">
        <v>6</v>
      </c>
      <c r="U151" s="1">
        <v>99</v>
      </c>
      <c r="V151" s="1">
        <v>42</v>
      </c>
    </row>
    <row r="152" spans="1:22" ht="28.8" x14ac:dyDescent="0.3">
      <c r="A152" s="48">
        <v>137</v>
      </c>
      <c r="B152" s="4"/>
      <c r="C152" s="6" t="s">
        <v>80</v>
      </c>
      <c r="D152" s="5"/>
      <c r="E152" s="5" t="s">
        <v>70</v>
      </c>
      <c r="F152" s="5" t="s">
        <v>61</v>
      </c>
      <c r="G152" s="5" t="s">
        <v>208</v>
      </c>
      <c r="H152" s="5" t="s">
        <v>51</v>
      </c>
      <c r="I152" s="5" t="s">
        <v>58</v>
      </c>
      <c r="J152" s="5" t="s">
        <v>72</v>
      </c>
      <c r="K152" s="5" t="s">
        <v>73</v>
      </c>
      <c r="L152" s="5" t="s">
        <v>56</v>
      </c>
      <c r="M152" s="5" t="s">
        <v>64</v>
      </c>
      <c r="N152" s="5" t="s">
        <v>71</v>
      </c>
      <c r="O152" s="5" t="s">
        <v>65</v>
      </c>
      <c r="P152" s="5" t="s">
        <v>67</v>
      </c>
      <c r="Q152" s="5" t="s">
        <v>54</v>
      </c>
      <c r="R152" s="5" t="s">
        <v>207</v>
      </c>
      <c r="S152" s="5" t="s">
        <v>66</v>
      </c>
      <c r="T152" s="1">
        <v>6</v>
      </c>
      <c r="U152" s="1">
        <v>102</v>
      </c>
      <c r="V152" s="1">
        <v>42</v>
      </c>
    </row>
    <row r="153" spans="1:22" x14ac:dyDescent="0.3">
      <c r="A153" s="48">
        <v>138</v>
      </c>
      <c r="B153" s="4"/>
      <c r="C153" s="6" t="s">
        <v>141</v>
      </c>
      <c r="D153" s="5"/>
      <c r="E153" s="5" t="s">
        <v>68</v>
      </c>
      <c r="F153" s="5" t="s">
        <v>210</v>
      </c>
      <c r="G153" s="5" t="s">
        <v>208</v>
      </c>
      <c r="H153" s="5" t="s">
        <v>74</v>
      </c>
      <c r="I153" s="5" t="s">
        <v>58</v>
      </c>
      <c r="J153" s="5" t="s">
        <v>72</v>
      </c>
      <c r="K153" s="5" t="s">
        <v>73</v>
      </c>
      <c r="L153" s="5" t="s">
        <v>56</v>
      </c>
      <c r="M153" s="5" t="s">
        <v>64</v>
      </c>
      <c r="N153" s="5" t="s">
        <v>71</v>
      </c>
      <c r="O153" s="5" t="s">
        <v>65</v>
      </c>
      <c r="P153" s="5" t="s">
        <v>67</v>
      </c>
      <c r="Q153" s="5" t="s">
        <v>54</v>
      </c>
      <c r="R153" s="5" t="s">
        <v>50</v>
      </c>
      <c r="S153" s="5" t="s">
        <v>66</v>
      </c>
      <c r="T153" s="1">
        <v>6</v>
      </c>
      <c r="U153" s="1">
        <v>106</v>
      </c>
      <c r="V153" s="1">
        <v>43</v>
      </c>
    </row>
    <row r="154" spans="1:22" ht="28.8" x14ac:dyDescent="0.3">
      <c r="A154" s="48">
        <v>139</v>
      </c>
      <c r="B154" s="4"/>
      <c r="C154" s="6" t="s">
        <v>112</v>
      </c>
      <c r="D154" s="5"/>
      <c r="E154" s="5" t="s">
        <v>68</v>
      </c>
      <c r="F154" s="5" t="s">
        <v>61</v>
      </c>
      <c r="G154" s="5" t="s">
        <v>208</v>
      </c>
      <c r="H154" s="5" t="s">
        <v>74</v>
      </c>
      <c r="I154" s="5" t="s">
        <v>53</v>
      </c>
      <c r="J154" s="5" t="s">
        <v>72</v>
      </c>
      <c r="K154" s="5" t="s">
        <v>73</v>
      </c>
      <c r="L154" s="5" t="s">
        <v>55</v>
      </c>
      <c r="M154" s="5" t="s">
        <v>64</v>
      </c>
      <c r="N154" s="5" t="s">
        <v>71</v>
      </c>
      <c r="O154" s="5" t="s">
        <v>65</v>
      </c>
      <c r="P154" s="5" t="s">
        <v>67</v>
      </c>
      <c r="Q154" s="5" t="s">
        <v>54</v>
      </c>
      <c r="R154" s="5" t="s">
        <v>207</v>
      </c>
      <c r="S154" s="5" t="s">
        <v>66</v>
      </c>
      <c r="T154" s="1">
        <v>6</v>
      </c>
      <c r="U154" s="1">
        <v>116</v>
      </c>
      <c r="V154" s="1">
        <v>48</v>
      </c>
    </row>
    <row r="155" spans="1:22" ht="28.8" x14ac:dyDescent="0.3">
      <c r="A155" s="48">
        <v>140</v>
      </c>
      <c r="B155" s="4"/>
      <c r="C155" s="6" t="s">
        <v>10</v>
      </c>
      <c r="D155" s="5"/>
      <c r="E155" s="5" t="s">
        <v>68</v>
      </c>
      <c r="F155" s="5" t="s">
        <v>61</v>
      </c>
      <c r="G155" s="5" t="s">
        <v>208</v>
      </c>
      <c r="H155" s="5" t="s">
        <v>51</v>
      </c>
      <c r="I155" s="5" t="s">
        <v>58</v>
      </c>
      <c r="J155" s="5" t="s">
        <v>72</v>
      </c>
      <c r="K155" s="5" t="s">
        <v>73</v>
      </c>
      <c r="L155" s="5" t="s">
        <v>56</v>
      </c>
      <c r="M155" s="5" t="s">
        <v>64</v>
      </c>
      <c r="N155" s="5" t="s">
        <v>71</v>
      </c>
      <c r="O155" s="5" t="s">
        <v>65</v>
      </c>
      <c r="P155" s="5" t="s">
        <v>60</v>
      </c>
      <c r="Q155" s="5" t="s">
        <v>47</v>
      </c>
      <c r="R155" s="5" t="s">
        <v>207</v>
      </c>
      <c r="S155" s="5" t="s">
        <v>69</v>
      </c>
      <c r="T155" s="1">
        <v>6</v>
      </c>
      <c r="U155" s="1">
        <v>102</v>
      </c>
      <c r="V155" s="1">
        <v>48</v>
      </c>
    </row>
    <row r="156" spans="1:22" ht="28.8" x14ac:dyDescent="0.3">
      <c r="A156" s="48">
        <v>141</v>
      </c>
      <c r="B156" s="4"/>
      <c r="C156" s="6" t="s">
        <v>191</v>
      </c>
      <c r="D156" s="5"/>
      <c r="E156" s="5" t="s">
        <v>68</v>
      </c>
      <c r="F156" s="5" t="s">
        <v>61</v>
      </c>
      <c r="G156" s="5" t="s">
        <v>208</v>
      </c>
      <c r="H156" s="5" t="s">
        <v>74</v>
      </c>
      <c r="I156" s="5" t="s">
        <v>53</v>
      </c>
      <c r="J156" s="5" t="s">
        <v>72</v>
      </c>
      <c r="K156" s="5" t="s">
        <v>62</v>
      </c>
      <c r="L156" s="5" t="s">
        <v>56</v>
      </c>
      <c r="M156" s="5" t="s">
        <v>64</v>
      </c>
      <c r="N156" s="5" t="s">
        <v>75</v>
      </c>
      <c r="O156" s="5" t="s">
        <v>65</v>
      </c>
      <c r="P156" s="5" t="s">
        <v>67</v>
      </c>
      <c r="Q156" s="5" t="s">
        <v>54</v>
      </c>
      <c r="R156" s="5" t="s">
        <v>207</v>
      </c>
      <c r="S156" s="5" t="s">
        <v>69</v>
      </c>
      <c r="T156" s="1">
        <v>6</v>
      </c>
      <c r="U156" s="1">
        <v>105</v>
      </c>
      <c r="V156" s="1">
        <v>53</v>
      </c>
    </row>
    <row r="157" spans="1:22" x14ac:dyDescent="0.3">
      <c r="A157" s="48">
        <v>142</v>
      </c>
      <c r="B157" s="4"/>
      <c r="C157" s="6" t="s">
        <v>145</v>
      </c>
      <c r="D157" s="5"/>
      <c r="E157" s="5" t="s">
        <v>68</v>
      </c>
      <c r="F157" s="5" t="s">
        <v>61</v>
      </c>
      <c r="G157" s="5" t="s">
        <v>208</v>
      </c>
      <c r="H157" s="5" t="s">
        <v>51</v>
      </c>
      <c r="I157" s="5" t="s">
        <v>53</v>
      </c>
      <c r="J157" s="5" t="s">
        <v>72</v>
      </c>
      <c r="K157" s="5" t="s">
        <v>73</v>
      </c>
      <c r="L157" s="5" t="s">
        <v>56</v>
      </c>
      <c r="M157" s="5" t="s">
        <v>64</v>
      </c>
      <c r="N157" s="5" t="s">
        <v>71</v>
      </c>
      <c r="O157" s="5" t="s">
        <v>59</v>
      </c>
      <c r="P157" s="5" t="s">
        <v>67</v>
      </c>
      <c r="Q157" s="5" t="s">
        <v>54</v>
      </c>
      <c r="R157" s="5" t="s">
        <v>50</v>
      </c>
      <c r="S157" s="5" t="s">
        <v>69</v>
      </c>
      <c r="T157" s="1">
        <v>5</v>
      </c>
      <c r="U157" s="1">
        <v>79</v>
      </c>
      <c r="V157" s="1">
        <v>37</v>
      </c>
    </row>
    <row r="158" spans="1:22" ht="28.8" x14ac:dyDescent="0.3">
      <c r="A158" s="48">
        <v>143</v>
      </c>
      <c r="B158" s="4"/>
      <c r="C158" s="6" t="s">
        <v>25</v>
      </c>
      <c r="D158" s="5"/>
      <c r="E158" s="5" t="s">
        <v>68</v>
      </c>
      <c r="F158" s="5" t="s">
        <v>61</v>
      </c>
      <c r="G158" s="5" t="s">
        <v>57</v>
      </c>
      <c r="H158" s="5" t="s">
        <v>51</v>
      </c>
      <c r="I158" s="5" t="s">
        <v>53</v>
      </c>
      <c r="J158" s="5" t="s">
        <v>72</v>
      </c>
      <c r="K158" s="5" t="s">
        <v>73</v>
      </c>
      <c r="L158" s="5" t="s">
        <v>56</v>
      </c>
      <c r="M158" s="5" t="s">
        <v>64</v>
      </c>
      <c r="N158" s="5" t="s">
        <v>71</v>
      </c>
      <c r="O158" s="5" t="s">
        <v>65</v>
      </c>
      <c r="P158" s="5" t="s">
        <v>67</v>
      </c>
      <c r="Q158" s="5" t="s">
        <v>54</v>
      </c>
      <c r="R158" s="5" t="s">
        <v>207</v>
      </c>
      <c r="S158" s="5" t="s">
        <v>66</v>
      </c>
      <c r="T158" s="1">
        <v>5</v>
      </c>
      <c r="U158" s="1">
        <v>103</v>
      </c>
      <c r="V158" s="1">
        <v>39</v>
      </c>
    </row>
    <row r="159" spans="1:22" ht="28.8" x14ac:dyDescent="0.3">
      <c r="A159" s="48">
        <v>144</v>
      </c>
      <c r="B159" s="4"/>
      <c r="C159" s="6" t="s">
        <v>167</v>
      </c>
      <c r="D159" s="5"/>
      <c r="E159" s="5" t="s">
        <v>70</v>
      </c>
      <c r="F159" s="5" t="s">
        <v>210</v>
      </c>
      <c r="G159" s="5" t="s">
        <v>208</v>
      </c>
      <c r="H159" s="5" t="s">
        <v>74</v>
      </c>
      <c r="I159" s="5" t="s">
        <v>53</v>
      </c>
      <c r="J159" s="5" t="s">
        <v>72</v>
      </c>
      <c r="K159" s="5" t="s">
        <v>62</v>
      </c>
      <c r="L159" s="5" t="s">
        <v>56</v>
      </c>
      <c r="M159" s="5" t="s">
        <v>63</v>
      </c>
      <c r="N159" s="5" t="s">
        <v>75</v>
      </c>
      <c r="O159" s="5" t="s">
        <v>65</v>
      </c>
      <c r="P159" s="5" t="s">
        <v>67</v>
      </c>
      <c r="Q159" s="5" t="s">
        <v>47</v>
      </c>
      <c r="R159" s="5" t="s">
        <v>207</v>
      </c>
      <c r="S159" s="5" t="s">
        <v>66</v>
      </c>
      <c r="T159" s="1">
        <v>5</v>
      </c>
      <c r="U159" s="1">
        <v>96</v>
      </c>
      <c r="V159" s="1">
        <v>42</v>
      </c>
    </row>
    <row r="160" spans="1:22" ht="28.8" x14ac:dyDescent="0.3">
      <c r="A160" s="48">
        <v>145</v>
      </c>
      <c r="B160" s="4"/>
      <c r="C160" s="6" t="s">
        <v>41</v>
      </c>
      <c r="D160" s="5"/>
      <c r="E160" s="5" t="s">
        <v>70</v>
      </c>
      <c r="F160" s="5" t="s">
        <v>61</v>
      </c>
      <c r="G160" s="5" t="s">
        <v>208</v>
      </c>
      <c r="H160" s="5" t="s">
        <v>51</v>
      </c>
      <c r="I160" s="5" t="s">
        <v>53</v>
      </c>
      <c r="J160" s="5" t="s">
        <v>52</v>
      </c>
      <c r="K160" s="5" t="s">
        <v>73</v>
      </c>
      <c r="L160" s="5" t="s">
        <v>56</v>
      </c>
      <c r="M160" s="5" t="s">
        <v>64</v>
      </c>
      <c r="N160" s="5" t="s">
        <v>71</v>
      </c>
      <c r="O160" s="5" t="s">
        <v>65</v>
      </c>
      <c r="P160" s="5" t="s">
        <v>67</v>
      </c>
      <c r="Q160" s="5" t="s">
        <v>47</v>
      </c>
      <c r="R160" s="5" t="s">
        <v>207</v>
      </c>
      <c r="S160" s="5" t="s">
        <v>66</v>
      </c>
      <c r="T160" s="1">
        <v>5</v>
      </c>
      <c r="U160" s="1">
        <v>96</v>
      </c>
      <c r="V160" s="1">
        <v>43</v>
      </c>
    </row>
    <row r="161" spans="1:22" x14ac:dyDescent="0.3">
      <c r="A161" s="48">
        <v>146</v>
      </c>
      <c r="B161" s="4"/>
      <c r="C161" s="6" t="s">
        <v>166</v>
      </c>
      <c r="D161" s="5"/>
      <c r="E161" s="5" t="s">
        <v>68</v>
      </c>
      <c r="F161" s="5" t="s">
        <v>61</v>
      </c>
      <c r="G161" s="5" t="s">
        <v>57</v>
      </c>
      <c r="H161" s="5" t="s">
        <v>51</v>
      </c>
      <c r="I161" s="5" t="s">
        <v>58</v>
      </c>
      <c r="J161" s="5" t="s">
        <v>72</v>
      </c>
      <c r="K161" s="5" t="s">
        <v>73</v>
      </c>
      <c r="L161" s="5" t="s">
        <v>55</v>
      </c>
      <c r="M161" s="5" t="s">
        <v>64</v>
      </c>
      <c r="N161" s="5" t="s">
        <v>71</v>
      </c>
      <c r="O161" s="5" t="s">
        <v>65</v>
      </c>
      <c r="P161" s="5" t="s">
        <v>67</v>
      </c>
      <c r="Q161" s="5" t="s">
        <v>47</v>
      </c>
      <c r="R161" s="5" t="s">
        <v>50</v>
      </c>
      <c r="S161" s="5" t="s">
        <v>66</v>
      </c>
      <c r="T161" s="1">
        <v>5</v>
      </c>
      <c r="U161" s="1">
        <v>94</v>
      </c>
      <c r="V161" s="1">
        <v>44</v>
      </c>
    </row>
    <row r="162" spans="1:22" x14ac:dyDescent="0.3">
      <c r="A162" s="48">
        <v>147</v>
      </c>
      <c r="B162" s="4"/>
      <c r="C162" s="6" t="s">
        <v>149</v>
      </c>
      <c r="D162" s="5"/>
      <c r="E162" s="5" t="s">
        <v>68</v>
      </c>
      <c r="F162" s="5" t="s">
        <v>61</v>
      </c>
      <c r="G162" s="5" t="s">
        <v>208</v>
      </c>
      <c r="H162" s="5" t="s">
        <v>51</v>
      </c>
      <c r="I162" s="5" t="s">
        <v>58</v>
      </c>
      <c r="J162" s="5" t="s">
        <v>52</v>
      </c>
      <c r="K162" s="5" t="s">
        <v>73</v>
      </c>
      <c r="L162" s="5" t="s">
        <v>56</v>
      </c>
      <c r="M162" s="5" t="s">
        <v>64</v>
      </c>
      <c r="N162" s="5" t="s">
        <v>71</v>
      </c>
      <c r="O162" s="5" t="s">
        <v>59</v>
      </c>
      <c r="P162" s="5" t="s">
        <v>67</v>
      </c>
      <c r="Q162" s="5" t="s">
        <v>47</v>
      </c>
      <c r="R162" s="5" t="s">
        <v>50</v>
      </c>
      <c r="S162" s="5" t="s">
        <v>66</v>
      </c>
      <c r="T162" s="1">
        <v>5</v>
      </c>
      <c r="U162" s="1">
        <v>95</v>
      </c>
      <c r="V162" s="1">
        <v>51</v>
      </c>
    </row>
    <row r="163" spans="1:22" ht="28.8" x14ac:dyDescent="0.3">
      <c r="A163" s="48">
        <v>148</v>
      </c>
      <c r="B163" s="4"/>
      <c r="C163" s="6" t="s">
        <v>116</v>
      </c>
      <c r="D163" s="5"/>
      <c r="E163" s="5" t="s">
        <v>68</v>
      </c>
      <c r="F163" s="5" t="s">
        <v>210</v>
      </c>
      <c r="G163" s="5" t="s">
        <v>208</v>
      </c>
      <c r="H163" s="5" t="s">
        <v>74</v>
      </c>
      <c r="I163" s="5" t="s">
        <v>58</v>
      </c>
      <c r="J163" s="5" t="s">
        <v>52</v>
      </c>
      <c r="K163" s="5" t="s">
        <v>62</v>
      </c>
      <c r="L163" s="5" t="s">
        <v>56</v>
      </c>
      <c r="M163" s="5" t="s">
        <v>64</v>
      </c>
      <c r="N163" s="5" t="s">
        <v>71</v>
      </c>
      <c r="O163" s="5" t="s">
        <v>65</v>
      </c>
      <c r="P163" s="5" t="s">
        <v>67</v>
      </c>
      <c r="Q163" s="5" t="s">
        <v>47</v>
      </c>
      <c r="R163" s="5" t="s">
        <v>50</v>
      </c>
      <c r="S163" s="5" t="s">
        <v>66</v>
      </c>
      <c r="T163" s="1">
        <v>5</v>
      </c>
      <c r="U163" s="1">
        <v>104</v>
      </c>
      <c r="V163" s="1">
        <v>52</v>
      </c>
    </row>
    <row r="164" spans="1:22" x14ac:dyDescent="0.3">
      <c r="A164" s="48">
        <v>149</v>
      </c>
      <c r="B164" s="4"/>
      <c r="C164" s="6" t="s">
        <v>118</v>
      </c>
      <c r="D164" s="5"/>
      <c r="E164" s="5" t="s">
        <v>68</v>
      </c>
      <c r="F164" s="5" t="s">
        <v>61</v>
      </c>
      <c r="G164" s="5" t="s">
        <v>208</v>
      </c>
      <c r="H164" s="5" t="s">
        <v>51</v>
      </c>
      <c r="I164" s="5" t="s">
        <v>58</v>
      </c>
      <c r="J164" s="5" t="s">
        <v>72</v>
      </c>
      <c r="K164" s="5" t="s">
        <v>73</v>
      </c>
      <c r="L164" s="5" t="s">
        <v>55</v>
      </c>
      <c r="M164" s="5" t="s">
        <v>64</v>
      </c>
      <c r="N164" s="5" t="s">
        <v>71</v>
      </c>
      <c r="O164" s="5" t="s">
        <v>65</v>
      </c>
      <c r="P164" s="5" t="s">
        <v>67</v>
      </c>
      <c r="Q164" s="5" t="s">
        <v>47</v>
      </c>
      <c r="R164" s="5" t="s">
        <v>207</v>
      </c>
      <c r="S164" s="5" t="s">
        <v>66</v>
      </c>
      <c r="T164" s="1">
        <v>5</v>
      </c>
      <c r="U164" s="1">
        <v>99</v>
      </c>
      <c r="V164" s="1">
        <v>52</v>
      </c>
    </row>
    <row r="165" spans="1:22" x14ac:dyDescent="0.3">
      <c r="A165" s="48">
        <v>150</v>
      </c>
      <c r="B165" s="4"/>
      <c r="C165" s="6" t="s">
        <v>126</v>
      </c>
      <c r="D165" s="5"/>
      <c r="E165" s="5" t="s">
        <v>70</v>
      </c>
      <c r="F165" s="5" t="s">
        <v>61</v>
      </c>
      <c r="G165" s="5" t="s">
        <v>208</v>
      </c>
      <c r="H165" s="5" t="s">
        <v>74</v>
      </c>
      <c r="I165" s="5" t="s">
        <v>53</v>
      </c>
      <c r="J165" s="5" t="s">
        <v>52</v>
      </c>
      <c r="K165" s="5" t="s">
        <v>73</v>
      </c>
      <c r="L165" s="5" t="s">
        <v>56</v>
      </c>
      <c r="M165" s="5" t="s">
        <v>63</v>
      </c>
      <c r="N165" s="5" t="s">
        <v>71</v>
      </c>
      <c r="O165" s="5" t="s">
        <v>65</v>
      </c>
      <c r="P165" s="5" t="s">
        <v>67</v>
      </c>
      <c r="Q165" s="5" t="s">
        <v>47</v>
      </c>
      <c r="R165" s="5" t="s">
        <v>207</v>
      </c>
      <c r="S165" s="5" t="s">
        <v>66</v>
      </c>
      <c r="T165" s="1">
        <v>5</v>
      </c>
      <c r="U165" s="1">
        <v>107</v>
      </c>
      <c r="V165" s="1">
        <v>65</v>
      </c>
    </row>
    <row r="166" spans="1:22" x14ac:dyDescent="0.3">
      <c r="A166" s="48">
        <v>151</v>
      </c>
      <c r="B166" s="4"/>
      <c r="C166" s="6" t="s">
        <v>13</v>
      </c>
      <c r="D166" s="5"/>
      <c r="E166" s="5" t="s">
        <v>70</v>
      </c>
      <c r="F166" s="5" t="s">
        <v>210</v>
      </c>
      <c r="G166" s="5" t="s">
        <v>208</v>
      </c>
      <c r="H166" s="5" t="s">
        <v>51</v>
      </c>
      <c r="I166" s="5" t="s">
        <v>53</v>
      </c>
      <c r="J166" s="5" t="s">
        <v>52</v>
      </c>
      <c r="K166" s="5" t="s">
        <v>73</v>
      </c>
      <c r="L166" s="5" t="s">
        <v>56</v>
      </c>
      <c r="M166" s="5" t="s">
        <v>63</v>
      </c>
      <c r="N166" s="5" t="s">
        <v>71</v>
      </c>
      <c r="O166" s="5" t="s">
        <v>65</v>
      </c>
      <c r="P166" s="5" t="s">
        <v>67</v>
      </c>
      <c r="Q166" s="5" t="s">
        <v>47</v>
      </c>
      <c r="R166" s="5" t="s">
        <v>50</v>
      </c>
      <c r="S166" s="5" t="s">
        <v>66</v>
      </c>
      <c r="T166" s="1">
        <v>4</v>
      </c>
      <c r="U166" s="1">
        <v>114</v>
      </c>
      <c r="V166" s="1">
        <v>39</v>
      </c>
    </row>
    <row r="167" spans="1:22" ht="28.8" x14ac:dyDescent="0.3">
      <c r="A167" s="48">
        <v>152</v>
      </c>
      <c r="B167" s="4"/>
      <c r="C167" s="6" t="s">
        <v>81</v>
      </c>
      <c r="D167" s="5"/>
      <c r="E167" s="5" t="s">
        <v>68</v>
      </c>
      <c r="F167" s="5" t="s">
        <v>210</v>
      </c>
      <c r="G167" s="5" t="s">
        <v>208</v>
      </c>
      <c r="H167" s="5" t="s">
        <v>74</v>
      </c>
      <c r="I167" s="5" t="s">
        <v>53</v>
      </c>
      <c r="J167" s="5" t="s">
        <v>72</v>
      </c>
      <c r="K167" s="5" t="s">
        <v>73</v>
      </c>
      <c r="L167" s="5" t="s">
        <v>56</v>
      </c>
      <c r="M167" s="5" t="s">
        <v>63</v>
      </c>
      <c r="N167" s="5" t="s">
        <v>71</v>
      </c>
      <c r="O167" s="5" t="s">
        <v>65</v>
      </c>
      <c r="P167" s="5" t="s">
        <v>67</v>
      </c>
      <c r="Q167" s="5" t="s">
        <v>47</v>
      </c>
      <c r="R167" s="5" t="s">
        <v>207</v>
      </c>
      <c r="S167" s="5" t="s">
        <v>66</v>
      </c>
      <c r="T167" s="1">
        <v>4</v>
      </c>
      <c r="U167" s="1">
        <v>114</v>
      </c>
      <c r="V167" s="1">
        <v>43</v>
      </c>
    </row>
    <row r="168" spans="1:22" ht="28.8" x14ac:dyDescent="0.3">
      <c r="A168" s="48">
        <v>153</v>
      </c>
      <c r="B168" s="4"/>
      <c r="C168" s="6" t="s">
        <v>165</v>
      </c>
      <c r="D168" s="5"/>
      <c r="E168" s="5" t="s">
        <v>70</v>
      </c>
      <c r="F168" s="5" t="s">
        <v>61</v>
      </c>
      <c r="G168" s="5" t="s">
        <v>208</v>
      </c>
      <c r="H168" s="5" t="s">
        <v>51</v>
      </c>
      <c r="I168" s="5" t="s">
        <v>58</v>
      </c>
      <c r="J168" s="5" t="s">
        <v>72</v>
      </c>
      <c r="K168" s="5" t="s">
        <v>62</v>
      </c>
      <c r="L168" s="5" t="s">
        <v>56</v>
      </c>
      <c r="M168" s="5" t="s">
        <v>63</v>
      </c>
      <c r="N168" s="5" t="s">
        <v>75</v>
      </c>
      <c r="O168" s="5" t="s">
        <v>59</v>
      </c>
      <c r="P168" s="5" t="s">
        <v>67</v>
      </c>
      <c r="Q168" s="5" t="s">
        <v>47</v>
      </c>
      <c r="R168" s="5" t="s">
        <v>50</v>
      </c>
      <c r="S168" s="5" t="s">
        <v>66</v>
      </c>
      <c r="T168" s="1">
        <v>4</v>
      </c>
      <c r="U168" s="1">
        <v>94</v>
      </c>
      <c r="V168" s="1">
        <v>46</v>
      </c>
    </row>
    <row r="169" spans="1:22" x14ac:dyDescent="0.3">
      <c r="A169" s="48">
        <v>154</v>
      </c>
      <c r="B169" s="4"/>
      <c r="C169" s="6" t="s">
        <v>93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1">
        <v>0</v>
      </c>
      <c r="U169" s="1">
        <v>92</v>
      </c>
      <c r="V169" s="1"/>
    </row>
    <row r="170" spans="1:22" ht="28.8" x14ac:dyDescent="0.3">
      <c r="A170" s="48">
        <v>155</v>
      </c>
      <c r="B170" s="4"/>
      <c r="C170" s="6" t="s">
        <v>87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1">
        <v>0</v>
      </c>
      <c r="U170" s="1">
        <v>87</v>
      </c>
      <c r="V170" s="1"/>
    </row>
    <row r="171" spans="1:22" x14ac:dyDescent="0.3">
      <c r="A171" s="48">
        <v>156</v>
      </c>
      <c r="B171" s="4"/>
      <c r="C171" s="6" t="s">
        <v>199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1">
        <v>0</v>
      </c>
      <c r="U171" s="1">
        <v>78</v>
      </c>
      <c r="V171" s="1"/>
    </row>
    <row r="172" spans="1:22" x14ac:dyDescent="0.3">
      <c r="A172" s="48">
        <v>157</v>
      </c>
      <c r="B172" s="4"/>
      <c r="C172" s="6" t="s">
        <v>7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1">
        <v>0</v>
      </c>
      <c r="U172" s="1">
        <v>90</v>
      </c>
      <c r="V172" s="1"/>
    </row>
    <row r="173" spans="1:22" x14ac:dyDescent="0.3">
      <c r="A173" s="48">
        <v>158</v>
      </c>
      <c r="B173" s="4"/>
      <c r="C173" s="6" t="s">
        <v>44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1">
        <v>0</v>
      </c>
      <c r="U173" s="1">
        <v>102</v>
      </c>
      <c r="V173" s="1"/>
    </row>
    <row r="174" spans="1:22" x14ac:dyDescent="0.3">
      <c r="A174" s="48">
        <v>159</v>
      </c>
      <c r="B174" s="4"/>
      <c r="C174" s="6" t="s">
        <v>201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1">
        <v>0</v>
      </c>
      <c r="U174" s="1">
        <v>78</v>
      </c>
      <c r="V174" s="1"/>
    </row>
    <row r="175" spans="1:22" ht="28.8" x14ac:dyDescent="0.3">
      <c r="A175" s="48">
        <v>160</v>
      </c>
      <c r="B175" s="4"/>
      <c r="C175" s="6" t="s">
        <v>170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1">
        <v>0</v>
      </c>
      <c r="U175" s="1">
        <v>77</v>
      </c>
      <c r="V175" s="1"/>
    </row>
    <row r="176" spans="1:22" x14ac:dyDescent="0.3">
      <c r="A176" s="48">
        <v>161</v>
      </c>
      <c r="B176" s="4"/>
      <c r="C176" s="6" t="s">
        <v>131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1">
        <v>0</v>
      </c>
      <c r="U176" s="1">
        <v>59</v>
      </c>
      <c r="V176" s="1"/>
    </row>
    <row r="177" spans="1:22" x14ac:dyDescent="0.3">
      <c r="A177" s="48">
        <v>162</v>
      </c>
      <c r="B177" s="4"/>
      <c r="C177" s="6" t="s">
        <v>195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1">
        <v>0</v>
      </c>
      <c r="U177" s="1">
        <v>76</v>
      </c>
      <c r="V177" s="1"/>
    </row>
    <row r="178" spans="1:22" ht="28.8" x14ac:dyDescent="0.3">
      <c r="A178" s="48">
        <v>163</v>
      </c>
      <c r="B178" s="4"/>
      <c r="C178" s="6" t="s">
        <v>179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">
        <v>0</v>
      </c>
      <c r="U178" s="1">
        <v>96</v>
      </c>
      <c r="V178" s="1"/>
    </row>
  </sheetData>
  <mergeCells count="4">
    <mergeCell ref="A9:A15"/>
    <mergeCell ref="B9:B15"/>
    <mergeCell ref="T9:T15"/>
    <mergeCell ref="U9:U15"/>
  </mergeCells>
  <conditionalFormatting sqref="S2:S3 S7 E2:Q3 E7:Q7">
    <cfRule type="cellIs" dxfId="9" priority="8" operator="equal">
      <formula>"Y"</formula>
    </cfRule>
    <cfRule type="cellIs" dxfId="8" priority="9" operator="equal">
      <formula>"N"</formula>
    </cfRule>
  </conditionalFormatting>
  <conditionalFormatting sqref="U7">
    <cfRule type="cellIs" dxfId="7" priority="6" operator="equal">
      <formula>"Y"</formula>
    </cfRule>
    <cfRule type="cellIs" dxfId="6" priority="7" operator="equal">
      <formula>"N"</formula>
    </cfRule>
  </conditionalFormatting>
  <conditionalFormatting sqref="R4">
    <cfRule type="colorScale" priority="5">
      <colorScale>
        <cfvo type="min"/>
        <cfvo type="max"/>
        <color rgb="FFFF7128"/>
        <color rgb="FFFFEF9C"/>
      </colorScale>
    </cfRule>
  </conditionalFormatting>
  <conditionalFormatting sqref="E4:Q4 S4">
    <cfRule type="colorScale" priority="10">
      <colorScale>
        <cfvo type="min"/>
        <cfvo type="max"/>
        <color rgb="FFFF7128"/>
        <color rgb="FFFFEF9C"/>
      </colorScale>
    </cfRule>
  </conditionalFormatting>
  <conditionalFormatting sqref="R7">
    <cfRule type="cellIs" dxfId="5" priority="3" operator="equal">
      <formula>"Y"</formula>
    </cfRule>
    <cfRule type="cellIs" dxfId="4" priority="4" operator="equal">
      <formula>"N"</formula>
    </cfRule>
  </conditionalFormatting>
  <conditionalFormatting sqref="R2:R3">
    <cfRule type="cellIs" dxfId="3" priority="1" operator="equal">
      <formula>"Y"</formula>
    </cfRule>
    <cfRule type="cellIs" dxfId="2" priority="2" operator="equal">
      <formula>"N"</formula>
    </cfRule>
  </conditionalFormatting>
  <hyperlinks>
    <hyperlink ref="C16" r:id="rId1" display="https://poolhost.com/profootball/playerstats/1731690"/>
    <hyperlink ref="C17" r:id="rId2" display="https://poolhost.com/profootball/playerstats/1670025"/>
    <hyperlink ref="C18" r:id="rId3" display="https://poolhost.com/profootball/playerstats/1709552"/>
    <hyperlink ref="C19" r:id="rId4" display="https://poolhost.com/profootball/playerstats/1662306"/>
    <hyperlink ref="C20" r:id="rId5" display="https://poolhost.com/profootball/playerstats/1660811"/>
    <hyperlink ref="C21" r:id="rId6" display="https://poolhost.com/profootball/playerstats/1677370"/>
    <hyperlink ref="C22" r:id="rId7" display="https://poolhost.com/profootball/playerstats/1678632"/>
    <hyperlink ref="C23" r:id="rId8" display="https://poolhost.com/profootball/playerstats/1721401"/>
    <hyperlink ref="C24" r:id="rId9" display="https://poolhost.com/profootball/playerstats/1705346"/>
    <hyperlink ref="C25" r:id="rId10" display="https://poolhost.com/profootball/playerstats/1666092"/>
    <hyperlink ref="C26" r:id="rId11" display="https://poolhost.com/profootball/playerstats/1730676"/>
    <hyperlink ref="C27" r:id="rId12" display="https://poolhost.com/profootball/playerstats/1702170"/>
    <hyperlink ref="C28" r:id="rId13" display="https://poolhost.com/profootball/playerstats/1665910"/>
    <hyperlink ref="C29" r:id="rId14" display="https://poolhost.com/profootball/playerstats/1685256"/>
    <hyperlink ref="C30" r:id="rId15" display="https://poolhost.com/profootball/playerstats/1733218"/>
    <hyperlink ref="C31" r:id="rId16" display="https://poolhost.com/profootball/playerstats/1657801"/>
    <hyperlink ref="C32" r:id="rId17" display="https://poolhost.com/profootball/playerstats/1679667"/>
    <hyperlink ref="C33" r:id="rId18" display="https://poolhost.com/profootball/playerstats/1668628"/>
    <hyperlink ref="C34" r:id="rId19" display="https://poolhost.com/profootball/playerstats/1661981"/>
    <hyperlink ref="C35" r:id="rId20" display="https://poolhost.com/profootball/playerstats/1696717"/>
    <hyperlink ref="C36" r:id="rId21" display="https://poolhost.com/profootball/playerstats/1703401"/>
    <hyperlink ref="C37" r:id="rId22" display="https://poolhost.com/profootball/playerstats/1654485"/>
    <hyperlink ref="C38" r:id="rId23" display="https://poolhost.com/profootball/playerstats/1670484"/>
    <hyperlink ref="C39" r:id="rId24" display="https://poolhost.com/profootball/playerstats/1708448"/>
    <hyperlink ref="C40" r:id="rId25" display="https://poolhost.com/profootball/playerstats/1657583"/>
    <hyperlink ref="C41" r:id="rId26" display="https://poolhost.com/profootball/playerstats/1655447"/>
    <hyperlink ref="C42" r:id="rId27" display="https://poolhost.com/profootball/playerstats/1729262"/>
    <hyperlink ref="C43" r:id="rId28" display="https://poolhost.com/profootball/playerstats/1665979"/>
    <hyperlink ref="C44" r:id="rId29" display="https://poolhost.com/profootball/playerstats/1695492"/>
    <hyperlink ref="C45" r:id="rId30" display="https://poolhost.com/profootball/playerstats/1729617"/>
    <hyperlink ref="C46" r:id="rId31" display="https://poolhost.com/profootball/playerstats/1732254"/>
    <hyperlink ref="C47" r:id="rId32" display="https://poolhost.com/profootball/playerstats/1657241"/>
    <hyperlink ref="C48" r:id="rId33" display="https://poolhost.com/profootball/playerstats/1654448"/>
    <hyperlink ref="C49" r:id="rId34" display="https://poolhost.com/profootball/playerstats/1654623"/>
    <hyperlink ref="C50" r:id="rId35" display="https://poolhost.com/profootball/playerstats/1715552"/>
    <hyperlink ref="C51" r:id="rId36" display="https://poolhost.com/profootball/playerstats/1657103"/>
    <hyperlink ref="C52" r:id="rId37" display="https://poolhost.com/profootball/playerstats/1723980"/>
    <hyperlink ref="C53" r:id="rId38" display="https://poolhost.com/profootball/playerstats/1701053"/>
    <hyperlink ref="C54" r:id="rId39" display="https://poolhost.com/profootball/playerstats/1655488"/>
    <hyperlink ref="C55" r:id="rId40" display="https://poolhost.com/profootball/playerstats/1678667"/>
    <hyperlink ref="C56" r:id="rId41" display="https://poolhost.com/profootball/playerstats/1729491"/>
    <hyperlink ref="C57" r:id="rId42" display="https://poolhost.com/profootball/playerstats/1659846"/>
    <hyperlink ref="C58" r:id="rId43" display="https://poolhost.com/profootball/playerstats/1681946"/>
    <hyperlink ref="C59" r:id="rId44" display="https://poolhost.com/profootball/playerstats/1732411"/>
    <hyperlink ref="C60" r:id="rId45" display="https://poolhost.com/profootball/playerstats/1674086"/>
    <hyperlink ref="C61" r:id="rId46" display="https://poolhost.com/profootball/playerstats/1678377"/>
    <hyperlink ref="C62" r:id="rId47" display="https://poolhost.com/profootball/playerstats/1732953"/>
    <hyperlink ref="C63" r:id="rId48" display="https://poolhost.com/profootball/playerstats/1729314"/>
    <hyperlink ref="C64" r:id="rId49" display="https://poolhost.com/profootball/playerstats/1732290"/>
    <hyperlink ref="C65" r:id="rId50" display="https://poolhost.com/profootball/playerstats/1667376"/>
    <hyperlink ref="C66" r:id="rId51" display="https://poolhost.com/profootball/playerstats/1725535"/>
    <hyperlink ref="C67" r:id="rId52" display="https://poolhost.com/profootball/playerstats/1667866"/>
    <hyperlink ref="C68" r:id="rId53" display="https://poolhost.com/profootball/playerstats/1665614"/>
    <hyperlink ref="C69" r:id="rId54" display="https://poolhost.com/profootball/playerstats/1731755"/>
    <hyperlink ref="C70" r:id="rId55" display="https://poolhost.com/profootball/playerstats/1676125"/>
    <hyperlink ref="C71" r:id="rId56" display="https://poolhost.com/profootball/playerstats/1654603"/>
    <hyperlink ref="C72" r:id="rId57" display="https://poolhost.com/profootball/playerstats/1727170"/>
    <hyperlink ref="C73" r:id="rId58" display="https://poolhost.com/profootball/playerstats/1673222"/>
    <hyperlink ref="C74" r:id="rId59" display="https://poolhost.com/profootball/playerstats/1733415"/>
    <hyperlink ref="C75" r:id="rId60" display="https://poolhost.com/profootball/playerstats/1705249"/>
    <hyperlink ref="C76" r:id="rId61" display="https://poolhost.com/profootball/playerstats/1673761"/>
    <hyperlink ref="C77" r:id="rId62" display="https://poolhost.com/profootball/playerstats/1671748"/>
    <hyperlink ref="C78" r:id="rId63" display="https://poolhost.com/profootball/playerstats/1662606"/>
    <hyperlink ref="C79" r:id="rId64" display="https://poolhost.com/profootball/playerstats/1699660"/>
    <hyperlink ref="C80" r:id="rId65" display="https://poolhost.com/profootball/playerstats/1699295"/>
    <hyperlink ref="C81" r:id="rId66" display="https://poolhost.com/profootball/playerstats/1659875"/>
    <hyperlink ref="C82" r:id="rId67" display="https://poolhost.com/profootball/playerstats/1726326"/>
    <hyperlink ref="C83" r:id="rId68" display="https://poolhost.com/profootball/playerstats/1670226"/>
    <hyperlink ref="C84" r:id="rId69" display="https://poolhost.com/profootball/playerstats/1668682"/>
    <hyperlink ref="C85" r:id="rId70" display="https://poolhost.com/profootball/playerstats/1672298"/>
    <hyperlink ref="C86" r:id="rId71" display="https://poolhost.com/profootball/playerstats/1681958"/>
    <hyperlink ref="C87" r:id="rId72" display="https://poolhost.com/profootball/playerstats/1730347"/>
    <hyperlink ref="C88" r:id="rId73" display="https://poolhost.com/profootball/playerstats/1722233"/>
    <hyperlink ref="C89" r:id="rId74" display="https://poolhost.com/profootball/playerstats/1682884"/>
    <hyperlink ref="C90" r:id="rId75" display="https://poolhost.com/profootball/playerstats/1669323"/>
    <hyperlink ref="C91" r:id="rId76" display="https://poolhost.com/profootball/playerstats/1674022"/>
    <hyperlink ref="C92" r:id="rId77" display="https://poolhost.com/profootball/playerstats/1677049"/>
    <hyperlink ref="C93" r:id="rId78" display="https://poolhost.com/profootball/playerstats/1671837"/>
    <hyperlink ref="C94" r:id="rId79" display="https://poolhost.com/profootball/playerstats/1728787"/>
    <hyperlink ref="C95" r:id="rId80" display="https://poolhost.com/profootball/playerstats/1701354"/>
    <hyperlink ref="C96" r:id="rId81" display="https://poolhost.com/profootball/playerstats/1679009"/>
    <hyperlink ref="C97" r:id="rId82" display="https://poolhost.com/profootball/playerstats/1656464"/>
    <hyperlink ref="C98" r:id="rId83" display="https://poolhost.com/profootball/playerstats/1673248"/>
    <hyperlink ref="C99" r:id="rId84" display="https://poolhost.com/profootball/playerstats/1666034"/>
    <hyperlink ref="C100" r:id="rId85" display="https://poolhost.com/profootball/playerstats/1654634"/>
    <hyperlink ref="C101" r:id="rId86" display="https://poolhost.com/profootball/playerstats/1661711"/>
    <hyperlink ref="C102" r:id="rId87" display="https://poolhost.com/profootball/playerstats/1730270"/>
    <hyperlink ref="C103" r:id="rId88" display="https://poolhost.com/profootball/playerstats/1686727"/>
    <hyperlink ref="C104" r:id="rId89" display="https://poolhost.com/profootball/playerstats/1657024"/>
    <hyperlink ref="C105" r:id="rId90" display="https://poolhost.com/profootball/playerstats/1705029"/>
    <hyperlink ref="C106" r:id="rId91" display="https://poolhost.com/profootball/playerstats/1727817"/>
    <hyperlink ref="C107" r:id="rId92" display="https://poolhost.com/profootball/playerstats/1683531"/>
    <hyperlink ref="C108" r:id="rId93" display="https://poolhost.com/profootball/playerstats/1685066"/>
    <hyperlink ref="C109" r:id="rId94" display="https://poolhost.com/profootball/playerstats/1680041"/>
    <hyperlink ref="C110" r:id="rId95" display="https://poolhost.com/profootball/playerstats/1658459"/>
    <hyperlink ref="C111" r:id="rId96" display="https://poolhost.com/profootball/playerstats/1732851"/>
    <hyperlink ref="C112" r:id="rId97" display="https://poolhost.com/profootball/playerstats/1654484"/>
    <hyperlink ref="C113" r:id="rId98" display="https://poolhost.com/profootball/playerstats/1697912"/>
    <hyperlink ref="C114" r:id="rId99" display="https://poolhost.com/profootball/playerstats/1732996"/>
    <hyperlink ref="C115" r:id="rId100" display="https://poolhost.com/profootball/playerstats/1668687"/>
    <hyperlink ref="C116" r:id="rId101" display="https://poolhost.com/profootball/playerstats/1695716"/>
    <hyperlink ref="C117" r:id="rId102" display="https://poolhost.com/profootball/playerstats/1708312"/>
    <hyperlink ref="C118" r:id="rId103" display="https://poolhost.com/profootball/playerstats/1669212"/>
    <hyperlink ref="C119" r:id="rId104" display="https://poolhost.com/profootball/playerstats/1666473"/>
    <hyperlink ref="C120" r:id="rId105" display="https://poolhost.com/profootball/playerstats/1694354"/>
    <hyperlink ref="C121" r:id="rId106" display="https://poolhost.com/profootball/playerstats/1679300"/>
    <hyperlink ref="C122" r:id="rId107" display="https://poolhost.com/profootball/playerstats/1694017"/>
    <hyperlink ref="C123" r:id="rId108" display="https://poolhost.com/profootball/playerstats/1722286"/>
    <hyperlink ref="C124" r:id="rId109" display="https://poolhost.com/profootball/playerstats/1683389"/>
    <hyperlink ref="C125" r:id="rId110" display="https://poolhost.com/profootball/playerstats/1667937"/>
    <hyperlink ref="C126" r:id="rId111" display="https://poolhost.com/profootball/playerstats/1705049"/>
    <hyperlink ref="C127" r:id="rId112" display="https://poolhost.com/profootball/playerstats/1704294"/>
    <hyperlink ref="C128" r:id="rId113" display="https://poolhost.com/profootball/playerstats/1703435"/>
    <hyperlink ref="C129" r:id="rId114" display="https://poolhost.com/profootball/playerstats/1712780"/>
    <hyperlink ref="C130" r:id="rId115" display="https://poolhost.com/profootball/playerstats/1654500"/>
    <hyperlink ref="C131" r:id="rId116" display="https://poolhost.com/profootball/playerstats/1709781"/>
    <hyperlink ref="C132" r:id="rId117" display="https://poolhost.com/profootball/playerstats/1731780"/>
    <hyperlink ref="C133" r:id="rId118" display="https://poolhost.com/profootball/playerstats/1673234"/>
    <hyperlink ref="C134" r:id="rId119" display="https://poolhost.com/profootball/playerstats/1722206"/>
    <hyperlink ref="C135" r:id="rId120" display="https://poolhost.com/profootball/playerstats/1665631"/>
    <hyperlink ref="C136" r:id="rId121" display="https://poolhost.com/profootball/playerstats/1668461"/>
    <hyperlink ref="C137" r:id="rId122" display="https://poolhost.com/profootball/playerstats/1734363"/>
    <hyperlink ref="C138" r:id="rId123" display="https://poolhost.com/profootball/playerstats/1687892"/>
    <hyperlink ref="C139" r:id="rId124" display="https://poolhost.com/profootball/playerstats/1708505"/>
    <hyperlink ref="C140" r:id="rId125" display="https://poolhost.com/profootball/playerstats/1659558"/>
    <hyperlink ref="C141" r:id="rId126" display="https://poolhost.com/profootball/playerstats/1699810"/>
    <hyperlink ref="C142" r:id="rId127" display="https://poolhost.com/profootball/playerstats/1657214"/>
    <hyperlink ref="C143" r:id="rId128" display="https://poolhost.com/profootball/playerstats/1676654"/>
    <hyperlink ref="C144" r:id="rId129" display="https://poolhost.com/profootball/playerstats/1705272"/>
    <hyperlink ref="C145" r:id="rId130" display="https://poolhost.com/profootball/playerstats/1666449"/>
    <hyperlink ref="C146" r:id="rId131" display="https://poolhost.com/profootball/playerstats/1681897"/>
    <hyperlink ref="C147" r:id="rId132" display="https://poolhost.com/profootball/playerstats/1669305"/>
    <hyperlink ref="C148" r:id="rId133" display="https://poolhost.com/profootball/playerstats/1721307"/>
    <hyperlink ref="C149" r:id="rId134" display="https://poolhost.com/profootball/playerstats/1663101"/>
    <hyperlink ref="C150" r:id="rId135" display="https://poolhost.com/profootball/playerstats/1741250"/>
    <hyperlink ref="C151" r:id="rId136" display="https://poolhost.com/profootball/playerstats/1711169"/>
    <hyperlink ref="C152" r:id="rId137" display="https://poolhost.com/profootball/playerstats/1684491"/>
    <hyperlink ref="C153" r:id="rId138" display="https://poolhost.com/profootball/playerstats/1649126"/>
    <hyperlink ref="C154" r:id="rId139" display="https://poolhost.com/profootball/playerstats/1735486"/>
    <hyperlink ref="C155" r:id="rId140" display="https://poolhost.com/profootball/playerstats/1726632"/>
    <hyperlink ref="C156" r:id="rId141" display="https://poolhost.com/profootball/playerstats/1691673"/>
    <hyperlink ref="C157" r:id="rId142" display="https://poolhost.com/profootball/playerstats/1700157"/>
    <hyperlink ref="C158" r:id="rId143" display="https://poolhost.com/profootball/playerstats/1649341"/>
    <hyperlink ref="C159" r:id="rId144" display="https://poolhost.com/profootball/playerstats/1666027"/>
    <hyperlink ref="C160" r:id="rId145" display="https://poolhost.com/profootball/playerstats/1700155"/>
    <hyperlink ref="C161" r:id="rId146" display="https://poolhost.com/profootball/playerstats/1702449"/>
    <hyperlink ref="C162" r:id="rId147" display="https://poolhost.com/profootball/playerstats/1679156"/>
    <hyperlink ref="C163" r:id="rId148" display="https://poolhost.com/profootball/playerstats/1665810"/>
    <hyperlink ref="C164" r:id="rId149" display="https://poolhost.com/profootball/playerstats/1724223"/>
    <hyperlink ref="C165" r:id="rId150" display="https://poolhost.com/profootball/playerstats/1708805"/>
    <hyperlink ref="C166" r:id="rId151" display="https://poolhost.com/profootball/playerstats/1654791"/>
    <hyperlink ref="C167" r:id="rId152" display="https://poolhost.com/profootball/playerstats/1732788"/>
    <hyperlink ref="C168" r:id="rId153" display="https://poolhost.com/profootball/playerstats/1682523"/>
    <hyperlink ref="C169" r:id="rId154" display="https://poolhost.com/profootball/playerstats/1684266"/>
    <hyperlink ref="C170" r:id="rId155" display="https://poolhost.com/profootball/playerstats/1684290"/>
    <hyperlink ref="C171" r:id="rId156" display="https://poolhost.com/profootball/playerstats/1654649"/>
    <hyperlink ref="C172" r:id="rId157" display="https://poolhost.com/profootball/playerstats/1707988"/>
    <hyperlink ref="C173" r:id="rId158" display="https://poolhost.com/profootball/playerstats/1686915"/>
    <hyperlink ref="C174" r:id="rId159" display="https://poolhost.com/profootball/playerstats/1728782"/>
    <hyperlink ref="C175" r:id="rId160" display="https://poolhost.com/profootball/playerstats/1704026"/>
    <hyperlink ref="C176" r:id="rId161" display="https://poolhost.com/profootball/playerstats/1734172"/>
    <hyperlink ref="C177" r:id="rId162" display="https://poolhost.com/profootball/playerstats/1663641"/>
    <hyperlink ref="C178" r:id="rId163" display="https://poolhost.com/profootball/playerstats/1672167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0"/>
  <sheetViews>
    <sheetView topLeftCell="A158" workbookViewId="0">
      <selection sqref="A1:V170"/>
    </sheetView>
  </sheetViews>
  <sheetFormatPr defaultRowHeight="14.4" x14ac:dyDescent="0.3"/>
  <sheetData>
    <row r="1" spans="1:22" x14ac:dyDescent="0.3">
      <c r="A1" s="47" t="s">
        <v>46</v>
      </c>
      <c r="B1" s="47"/>
      <c r="C1" s="2" t="s">
        <v>0</v>
      </c>
      <c r="D1" s="7">
        <v>6</v>
      </c>
      <c r="E1" s="7">
        <v>14</v>
      </c>
      <c r="F1" s="7">
        <v>7</v>
      </c>
      <c r="G1" s="7">
        <v>20</v>
      </c>
      <c r="H1" s="7">
        <v>25</v>
      </c>
      <c r="I1" s="7">
        <v>19</v>
      </c>
      <c r="J1" s="7">
        <v>14</v>
      </c>
      <c r="K1" s="7">
        <v>27</v>
      </c>
      <c r="L1" s="7">
        <v>30</v>
      </c>
      <c r="M1" s="7">
        <v>31</v>
      </c>
      <c r="N1" s="7">
        <v>42</v>
      </c>
      <c r="O1" s="7">
        <v>17</v>
      </c>
      <c r="P1" s="7">
        <v>27</v>
      </c>
      <c r="Q1" s="7">
        <v>13</v>
      </c>
      <c r="R1" s="7">
        <v>30</v>
      </c>
      <c r="S1" s="7">
        <v>9</v>
      </c>
      <c r="T1" s="47" t="s">
        <v>76</v>
      </c>
      <c r="U1" s="47" t="s">
        <v>77</v>
      </c>
      <c r="V1" s="8" t="s">
        <v>232</v>
      </c>
    </row>
    <row r="2" spans="1:22" x14ac:dyDescent="0.3">
      <c r="A2" s="47"/>
      <c r="B2" s="47"/>
      <c r="C2" s="2" t="s">
        <v>1</v>
      </c>
      <c r="D2" s="7" t="s">
        <v>48</v>
      </c>
      <c r="E2" s="7" t="s">
        <v>68</v>
      </c>
      <c r="F2" s="7" t="s">
        <v>61</v>
      </c>
      <c r="G2" s="7" t="s">
        <v>57</v>
      </c>
      <c r="H2" s="7" t="s">
        <v>51</v>
      </c>
      <c r="I2" s="7" t="s">
        <v>58</v>
      </c>
      <c r="J2" s="7" t="s">
        <v>72</v>
      </c>
      <c r="K2" s="7" t="s">
        <v>62</v>
      </c>
      <c r="L2" s="7" t="s">
        <v>55</v>
      </c>
      <c r="M2" s="7" t="s">
        <v>64</v>
      </c>
      <c r="N2" s="7" t="s">
        <v>71</v>
      </c>
      <c r="O2" s="7" t="s">
        <v>65</v>
      </c>
      <c r="P2" s="7" t="s">
        <v>60</v>
      </c>
      <c r="Q2" s="7" t="s">
        <v>47</v>
      </c>
      <c r="R2" s="7" t="s">
        <v>207</v>
      </c>
      <c r="S2" s="7" t="s">
        <v>66</v>
      </c>
      <c r="T2" s="47"/>
      <c r="U2" s="47"/>
      <c r="V2" s="8" t="s">
        <v>77</v>
      </c>
    </row>
    <row r="3" spans="1:22" x14ac:dyDescent="0.3">
      <c r="A3" s="47"/>
      <c r="B3" s="47"/>
      <c r="C3" s="2" t="s">
        <v>2</v>
      </c>
      <c r="D3" s="7">
        <v>-2.5</v>
      </c>
      <c r="E3" s="7">
        <v>-1</v>
      </c>
      <c r="F3" s="7">
        <v>4</v>
      </c>
      <c r="G3" s="7">
        <v>-3</v>
      </c>
      <c r="H3" s="7">
        <v>3.5</v>
      </c>
      <c r="I3" s="7">
        <v>7.5</v>
      </c>
      <c r="J3" s="7">
        <v>15</v>
      </c>
      <c r="K3" s="7">
        <v>4.5</v>
      </c>
      <c r="L3" s="7">
        <v>-6</v>
      </c>
      <c r="M3" s="7">
        <v>-4</v>
      </c>
      <c r="N3" s="7">
        <v>-1.5</v>
      </c>
      <c r="O3" s="7">
        <v>-3</v>
      </c>
      <c r="P3" s="7">
        <v>-5</v>
      </c>
      <c r="Q3" s="7">
        <v>3</v>
      </c>
      <c r="R3" s="7">
        <v>-7</v>
      </c>
      <c r="S3" s="7">
        <v>4.5</v>
      </c>
      <c r="T3" s="47"/>
      <c r="U3" s="47"/>
      <c r="V3" s="8">
        <v>-24</v>
      </c>
    </row>
    <row r="4" spans="1:22" x14ac:dyDescent="0.3">
      <c r="A4" s="47"/>
      <c r="B4" s="47"/>
      <c r="C4" s="2" t="s">
        <v>3</v>
      </c>
      <c r="D4" s="7" t="s">
        <v>209</v>
      </c>
      <c r="E4" s="7" t="s">
        <v>70</v>
      </c>
      <c r="F4" s="7" t="s">
        <v>210</v>
      </c>
      <c r="G4" s="7" t="s">
        <v>208</v>
      </c>
      <c r="H4" s="7" t="s">
        <v>74</v>
      </c>
      <c r="I4" s="7" t="s">
        <v>53</v>
      </c>
      <c r="J4" s="7" t="s">
        <v>52</v>
      </c>
      <c r="K4" s="7" t="s">
        <v>73</v>
      </c>
      <c r="L4" s="7" t="s">
        <v>56</v>
      </c>
      <c r="M4" s="7" t="s">
        <v>63</v>
      </c>
      <c r="N4" s="7" t="s">
        <v>75</v>
      </c>
      <c r="O4" s="7" t="s">
        <v>59</v>
      </c>
      <c r="P4" s="7" t="s">
        <v>67</v>
      </c>
      <c r="Q4" s="7" t="s">
        <v>54</v>
      </c>
      <c r="R4" s="7" t="s">
        <v>50</v>
      </c>
      <c r="S4" s="7" t="s">
        <v>69</v>
      </c>
      <c r="T4" s="47"/>
      <c r="U4" s="47"/>
      <c r="V4" s="8"/>
    </row>
    <row r="5" spans="1:22" x14ac:dyDescent="0.3">
      <c r="A5" s="47"/>
      <c r="B5" s="47"/>
      <c r="C5" s="2" t="s">
        <v>0</v>
      </c>
      <c r="D5" s="7">
        <v>12</v>
      </c>
      <c r="E5" s="7">
        <v>30</v>
      </c>
      <c r="F5" s="7">
        <v>21</v>
      </c>
      <c r="G5" s="7">
        <v>12</v>
      </c>
      <c r="H5" s="7">
        <v>32</v>
      </c>
      <c r="I5" s="7">
        <v>20</v>
      </c>
      <c r="J5" s="7">
        <v>35</v>
      </c>
      <c r="K5" s="7">
        <v>37</v>
      </c>
      <c r="L5" s="7">
        <v>17</v>
      </c>
      <c r="M5" s="7">
        <v>13</v>
      </c>
      <c r="N5" s="7">
        <v>48</v>
      </c>
      <c r="O5" s="7">
        <v>40</v>
      </c>
      <c r="P5" s="7">
        <v>13</v>
      </c>
      <c r="Q5" s="7">
        <v>30</v>
      </c>
      <c r="R5" s="7">
        <v>12</v>
      </c>
      <c r="S5" s="7">
        <v>15</v>
      </c>
      <c r="T5" s="47"/>
      <c r="U5" s="47"/>
      <c r="V5" s="8"/>
    </row>
    <row r="6" spans="1:22" x14ac:dyDescent="0.3">
      <c r="A6" s="47"/>
      <c r="B6" s="47"/>
      <c r="C6" s="2" t="s">
        <v>4</v>
      </c>
      <c r="D6" s="7" t="s">
        <v>49</v>
      </c>
      <c r="E6" s="7" t="s">
        <v>49</v>
      </c>
      <c r="F6" s="7" t="s">
        <v>49</v>
      </c>
      <c r="G6" s="7" t="s">
        <v>49</v>
      </c>
      <c r="H6" s="7" t="s">
        <v>49</v>
      </c>
      <c r="I6" s="7" t="s">
        <v>49</v>
      </c>
      <c r="J6" s="7" t="s">
        <v>49</v>
      </c>
      <c r="K6" s="7" t="s">
        <v>49</v>
      </c>
      <c r="L6" s="7" t="s">
        <v>49</v>
      </c>
      <c r="M6" s="7" t="s">
        <v>49</v>
      </c>
      <c r="N6" s="7" t="s">
        <v>49</v>
      </c>
      <c r="O6" s="7" t="s">
        <v>49</v>
      </c>
      <c r="P6" s="7" t="s">
        <v>49</v>
      </c>
      <c r="Q6" s="7" t="s">
        <v>49</v>
      </c>
      <c r="R6" s="7" t="s">
        <v>49</v>
      </c>
      <c r="S6" s="7" t="s">
        <v>49</v>
      </c>
      <c r="T6" s="47"/>
      <c r="U6" s="47"/>
      <c r="V6" s="8"/>
    </row>
    <row r="7" spans="1:22" ht="28.8" x14ac:dyDescent="0.3">
      <c r="A7" s="47"/>
      <c r="B7" s="47"/>
      <c r="C7" s="2" t="s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47"/>
      <c r="U7" s="47"/>
      <c r="V7" s="8"/>
    </row>
    <row r="8" spans="1:22" x14ac:dyDescent="0.3">
      <c r="A8" s="48">
        <v>1</v>
      </c>
      <c r="B8" s="4"/>
      <c r="C8" s="6" t="s">
        <v>129</v>
      </c>
      <c r="D8" s="5"/>
      <c r="E8" s="5" t="s">
        <v>70</v>
      </c>
      <c r="F8" s="5" t="s">
        <v>210</v>
      </c>
      <c r="G8" s="5" t="s">
        <v>208</v>
      </c>
      <c r="H8" s="5" t="s">
        <v>74</v>
      </c>
      <c r="I8" s="5" t="s">
        <v>58</v>
      </c>
      <c r="J8" s="5" t="s">
        <v>52</v>
      </c>
      <c r="K8" s="5" t="s">
        <v>73</v>
      </c>
      <c r="L8" s="5" t="s">
        <v>55</v>
      </c>
      <c r="M8" s="5" t="s">
        <v>64</v>
      </c>
      <c r="N8" s="5" t="s">
        <v>75</v>
      </c>
      <c r="O8" s="5" t="s">
        <v>59</v>
      </c>
      <c r="P8" s="5" t="s">
        <v>60</v>
      </c>
      <c r="Q8" s="5" t="s">
        <v>54</v>
      </c>
      <c r="R8" s="5" t="s">
        <v>50</v>
      </c>
      <c r="S8" s="5" t="s">
        <v>69</v>
      </c>
      <c r="T8" s="1">
        <v>13</v>
      </c>
      <c r="U8" s="1">
        <v>123</v>
      </c>
      <c r="V8" s="1">
        <v>32</v>
      </c>
    </row>
    <row r="9" spans="1:22" x14ac:dyDescent="0.3">
      <c r="A9" s="48">
        <v>2</v>
      </c>
      <c r="B9" s="4"/>
      <c r="C9" s="6" t="s">
        <v>161</v>
      </c>
      <c r="D9" s="5"/>
      <c r="E9" s="5" t="s">
        <v>68</v>
      </c>
      <c r="F9" s="5" t="s">
        <v>210</v>
      </c>
      <c r="G9" s="5" t="s">
        <v>57</v>
      </c>
      <c r="H9" s="5" t="s">
        <v>74</v>
      </c>
      <c r="I9" s="5" t="s">
        <v>58</v>
      </c>
      <c r="J9" s="5" t="s">
        <v>52</v>
      </c>
      <c r="K9" s="5" t="s">
        <v>73</v>
      </c>
      <c r="L9" s="5" t="s">
        <v>55</v>
      </c>
      <c r="M9" s="5" t="s">
        <v>64</v>
      </c>
      <c r="N9" s="5" t="s">
        <v>75</v>
      </c>
      <c r="O9" s="5" t="s">
        <v>59</v>
      </c>
      <c r="P9" s="5" t="s">
        <v>67</v>
      </c>
      <c r="Q9" s="5" t="s">
        <v>54</v>
      </c>
      <c r="R9" s="5" t="s">
        <v>207</v>
      </c>
      <c r="S9" s="5" t="s">
        <v>69</v>
      </c>
      <c r="T9" s="1">
        <v>13</v>
      </c>
      <c r="U9" s="1">
        <v>111</v>
      </c>
      <c r="V9" s="1">
        <v>42</v>
      </c>
    </row>
    <row r="10" spans="1:22" x14ac:dyDescent="0.3">
      <c r="A10" s="48">
        <v>3</v>
      </c>
      <c r="B10" s="4"/>
      <c r="C10" s="6" t="s">
        <v>83</v>
      </c>
      <c r="D10" s="5"/>
      <c r="E10" s="5" t="s">
        <v>70</v>
      </c>
      <c r="F10" s="5" t="s">
        <v>210</v>
      </c>
      <c r="G10" s="5" t="s">
        <v>57</v>
      </c>
      <c r="H10" s="5" t="s">
        <v>74</v>
      </c>
      <c r="I10" s="5" t="s">
        <v>53</v>
      </c>
      <c r="J10" s="5" t="s">
        <v>52</v>
      </c>
      <c r="K10" s="5" t="s">
        <v>73</v>
      </c>
      <c r="L10" s="5" t="s">
        <v>55</v>
      </c>
      <c r="M10" s="5" t="s">
        <v>64</v>
      </c>
      <c r="N10" s="5" t="s">
        <v>75</v>
      </c>
      <c r="O10" s="5" t="s">
        <v>65</v>
      </c>
      <c r="P10" s="5" t="s">
        <v>60</v>
      </c>
      <c r="Q10" s="5" t="s">
        <v>54</v>
      </c>
      <c r="R10" s="5" t="s">
        <v>207</v>
      </c>
      <c r="S10" s="5" t="s">
        <v>69</v>
      </c>
      <c r="T10" s="1">
        <v>13</v>
      </c>
      <c r="U10" s="1">
        <v>120</v>
      </c>
      <c r="V10" s="1">
        <v>43</v>
      </c>
    </row>
    <row r="11" spans="1:22" ht="28.8" x14ac:dyDescent="0.3">
      <c r="A11" s="48">
        <v>4</v>
      </c>
      <c r="B11" s="4"/>
      <c r="C11" s="6" t="s">
        <v>8</v>
      </c>
      <c r="D11" s="5"/>
      <c r="E11" s="5" t="s">
        <v>70</v>
      </c>
      <c r="F11" s="5" t="s">
        <v>210</v>
      </c>
      <c r="G11" s="5" t="s">
        <v>57</v>
      </c>
      <c r="H11" s="5" t="s">
        <v>51</v>
      </c>
      <c r="I11" s="5" t="s">
        <v>53</v>
      </c>
      <c r="J11" s="5" t="s">
        <v>52</v>
      </c>
      <c r="K11" s="5" t="s">
        <v>73</v>
      </c>
      <c r="L11" s="5" t="s">
        <v>55</v>
      </c>
      <c r="M11" s="5" t="s">
        <v>64</v>
      </c>
      <c r="N11" s="5" t="s">
        <v>75</v>
      </c>
      <c r="O11" s="5" t="s">
        <v>65</v>
      </c>
      <c r="P11" s="5" t="s">
        <v>60</v>
      </c>
      <c r="Q11" s="5" t="s">
        <v>54</v>
      </c>
      <c r="R11" s="5" t="s">
        <v>207</v>
      </c>
      <c r="S11" s="5" t="s">
        <v>69</v>
      </c>
      <c r="T11" s="1">
        <v>12</v>
      </c>
      <c r="U11" s="1">
        <v>110</v>
      </c>
      <c r="V11" s="1">
        <v>34</v>
      </c>
    </row>
    <row r="12" spans="1:22" ht="28.8" x14ac:dyDescent="0.3">
      <c r="A12" s="48">
        <v>5</v>
      </c>
      <c r="B12" s="4"/>
      <c r="C12" s="6" t="s">
        <v>185</v>
      </c>
      <c r="D12" s="5"/>
      <c r="E12" s="5" t="s">
        <v>68</v>
      </c>
      <c r="F12" s="5" t="s">
        <v>210</v>
      </c>
      <c r="G12" s="5" t="s">
        <v>57</v>
      </c>
      <c r="H12" s="5" t="s">
        <v>74</v>
      </c>
      <c r="I12" s="5" t="s">
        <v>58</v>
      </c>
      <c r="J12" s="5" t="s">
        <v>52</v>
      </c>
      <c r="K12" s="5" t="s">
        <v>73</v>
      </c>
      <c r="L12" s="5" t="s">
        <v>55</v>
      </c>
      <c r="M12" s="5" t="s">
        <v>63</v>
      </c>
      <c r="N12" s="5" t="s">
        <v>71</v>
      </c>
      <c r="O12" s="5" t="s">
        <v>59</v>
      </c>
      <c r="P12" s="5" t="s">
        <v>60</v>
      </c>
      <c r="Q12" s="5" t="s">
        <v>54</v>
      </c>
      <c r="R12" s="5" t="s">
        <v>207</v>
      </c>
      <c r="S12" s="5" t="s">
        <v>69</v>
      </c>
      <c r="T12" s="1">
        <v>12</v>
      </c>
      <c r="U12" s="1">
        <v>110</v>
      </c>
      <c r="V12" s="1">
        <v>46</v>
      </c>
    </row>
    <row r="13" spans="1:22" x14ac:dyDescent="0.3">
      <c r="A13" s="48">
        <v>6</v>
      </c>
      <c r="B13" s="4"/>
      <c r="C13" s="6" t="s">
        <v>42</v>
      </c>
      <c r="D13" s="5"/>
      <c r="E13" s="5" t="s">
        <v>68</v>
      </c>
      <c r="F13" s="5" t="s">
        <v>210</v>
      </c>
      <c r="G13" s="5" t="s">
        <v>57</v>
      </c>
      <c r="H13" s="5" t="s">
        <v>74</v>
      </c>
      <c r="I13" s="5" t="s">
        <v>53</v>
      </c>
      <c r="J13" s="5" t="s">
        <v>52</v>
      </c>
      <c r="K13" s="5" t="s">
        <v>73</v>
      </c>
      <c r="L13" s="5" t="s">
        <v>55</v>
      </c>
      <c r="M13" s="5" t="s">
        <v>64</v>
      </c>
      <c r="N13" s="5" t="s">
        <v>71</v>
      </c>
      <c r="O13" s="5" t="s">
        <v>59</v>
      </c>
      <c r="P13" s="5" t="s">
        <v>60</v>
      </c>
      <c r="Q13" s="5" t="s">
        <v>47</v>
      </c>
      <c r="R13" s="5" t="s">
        <v>207</v>
      </c>
      <c r="S13" s="5" t="s">
        <v>69</v>
      </c>
      <c r="T13" s="1">
        <v>11</v>
      </c>
      <c r="U13" s="1">
        <v>109</v>
      </c>
      <c r="V13" s="1">
        <v>32</v>
      </c>
    </row>
    <row r="14" spans="1:22" x14ac:dyDescent="0.3">
      <c r="A14" s="48">
        <v>7</v>
      </c>
      <c r="B14" s="4"/>
      <c r="C14" s="6" t="s">
        <v>37</v>
      </c>
      <c r="D14" s="5"/>
      <c r="E14" s="5" t="s">
        <v>70</v>
      </c>
      <c r="F14" s="5" t="s">
        <v>210</v>
      </c>
      <c r="G14" s="5" t="s">
        <v>57</v>
      </c>
      <c r="H14" s="5" t="s">
        <v>74</v>
      </c>
      <c r="I14" s="5" t="s">
        <v>58</v>
      </c>
      <c r="J14" s="5" t="s">
        <v>72</v>
      </c>
      <c r="K14" s="5" t="s">
        <v>73</v>
      </c>
      <c r="L14" s="5" t="s">
        <v>56</v>
      </c>
      <c r="M14" s="5" t="s">
        <v>64</v>
      </c>
      <c r="N14" s="5" t="s">
        <v>71</v>
      </c>
      <c r="O14" s="5" t="s">
        <v>65</v>
      </c>
      <c r="P14" s="5" t="s">
        <v>60</v>
      </c>
      <c r="Q14" s="5" t="s">
        <v>54</v>
      </c>
      <c r="R14" s="5" t="s">
        <v>207</v>
      </c>
      <c r="S14" s="5" t="s">
        <v>69</v>
      </c>
      <c r="T14" s="1">
        <v>11</v>
      </c>
      <c r="U14" s="1">
        <v>114</v>
      </c>
      <c r="V14" s="1">
        <v>34</v>
      </c>
    </row>
    <row r="15" spans="1:22" ht="28.8" x14ac:dyDescent="0.3">
      <c r="A15" s="48">
        <v>8</v>
      </c>
      <c r="B15" s="4"/>
      <c r="C15" s="6" t="s">
        <v>198</v>
      </c>
      <c r="D15" s="5"/>
      <c r="E15" s="5" t="s">
        <v>70</v>
      </c>
      <c r="F15" s="5" t="s">
        <v>210</v>
      </c>
      <c r="G15" s="5" t="s">
        <v>208</v>
      </c>
      <c r="H15" s="5" t="s">
        <v>51</v>
      </c>
      <c r="I15" s="5" t="s">
        <v>53</v>
      </c>
      <c r="J15" s="5" t="s">
        <v>52</v>
      </c>
      <c r="K15" s="5" t="s">
        <v>73</v>
      </c>
      <c r="L15" s="5" t="s">
        <v>55</v>
      </c>
      <c r="M15" s="5" t="s">
        <v>64</v>
      </c>
      <c r="N15" s="5" t="s">
        <v>75</v>
      </c>
      <c r="O15" s="5" t="s">
        <v>65</v>
      </c>
      <c r="P15" s="5" t="s">
        <v>60</v>
      </c>
      <c r="Q15" s="5" t="s">
        <v>54</v>
      </c>
      <c r="R15" s="5" t="s">
        <v>207</v>
      </c>
      <c r="S15" s="5" t="s">
        <v>69</v>
      </c>
      <c r="T15" s="1">
        <v>11</v>
      </c>
      <c r="U15" s="1">
        <v>98</v>
      </c>
      <c r="V15" s="1">
        <v>35</v>
      </c>
    </row>
    <row r="16" spans="1:22" x14ac:dyDescent="0.3">
      <c r="A16" s="48">
        <v>9</v>
      </c>
      <c r="B16" s="4"/>
      <c r="C16" s="6" t="s">
        <v>23</v>
      </c>
      <c r="D16" s="5"/>
      <c r="E16" s="5" t="s">
        <v>70</v>
      </c>
      <c r="F16" s="5" t="s">
        <v>210</v>
      </c>
      <c r="G16" s="5" t="s">
        <v>208</v>
      </c>
      <c r="H16" s="5" t="s">
        <v>74</v>
      </c>
      <c r="I16" s="5" t="s">
        <v>53</v>
      </c>
      <c r="J16" s="5" t="s">
        <v>52</v>
      </c>
      <c r="K16" s="5" t="s">
        <v>73</v>
      </c>
      <c r="L16" s="5" t="s">
        <v>55</v>
      </c>
      <c r="M16" s="5" t="s">
        <v>64</v>
      </c>
      <c r="N16" s="5" t="s">
        <v>71</v>
      </c>
      <c r="O16" s="5" t="s">
        <v>59</v>
      </c>
      <c r="P16" s="5" t="s">
        <v>67</v>
      </c>
      <c r="Q16" s="5" t="s">
        <v>54</v>
      </c>
      <c r="R16" s="5" t="s">
        <v>207</v>
      </c>
      <c r="S16" s="5" t="s">
        <v>69</v>
      </c>
      <c r="T16" s="1">
        <v>11</v>
      </c>
      <c r="U16" s="1">
        <v>108</v>
      </c>
      <c r="V16" s="1">
        <v>37</v>
      </c>
    </row>
    <row r="17" spans="1:22" ht="28.8" x14ac:dyDescent="0.3">
      <c r="A17" s="48">
        <v>10</v>
      </c>
      <c r="B17" s="4"/>
      <c r="C17" s="6" t="s">
        <v>115</v>
      </c>
      <c r="D17" s="5"/>
      <c r="E17" s="5" t="s">
        <v>70</v>
      </c>
      <c r="F17" s="5" t="s">
        <v>210</v>
      </c>
      <c r="G17" s="5" t="s">
        <v>208</v>
      </c>
      <c r="H17" s="5" t="s">
        <v>74</v>
      </c>
      <c r="I17" s="5" t="s">
        <v>53</v>
      </c>
      <c r="J17" s="5" t="s">
        <v>72</v>
      </c>
      <c r="K17" s="5" t="s">
        <v>73</v>
      </c>
      <c r="L17" s="5" t="s">
        <v>55</v>
      </c>
      <c r="M17" s="5" t="s">
        <v>64</v>
      </c>
      <c r="N17" s="5" t="s">
        <v>75</v>
      </c>
      <c r="O17" s="5" t="s">
        <v>59</v>
      </c>
      <c r="P17" s="5" t="s">
        <v>60</v>
      </c>
      <c r="Q17" s="5" t="s">
        <v>54</v>
      </c>
      <c r="R17" s="5" t="s">
        <v>207</v>
      </c>
      <c r="S17" s="5" t="s">
        <v>66</v>
      </c>
      <c r="T17" s="1">
        <v>11</v>
      </c>
      <c r="U17" s="1">
        <v>98</v>
      </c>
      <c r="V17" s="1">
        <v>39</v>
      </c>
    </row>
    <row r="18" spans="1:22" ht="28.8" x14ac:dyDescent="0.3">
      <c r="A18" s="48">
        <v>11</v>
      </c>
      <c r="B18" s="4"/>
      <c r="C18" s="6" t="s">
        <v>29</v>
      </c>
      <c r="D18" s="5"/>
      <c r="E18" s="5" t="s">
        <v>70</v>
      </c>
      <c r="F18" s="5" t="s">
        <v>210</v>
      </c>
      <c r="G18" s="5" t="s">
        <v>208</v>
      </c>
      <c r="H18" s="5" t="s">
        <v>74</v>
      </c>
      <c r="I18" s="5" t="s">
        <v>53</v>
      </c>
      <c r="J18" s="5" t="s">
        <v>52</v>
      </c>
      <c r="K18" s="5" t="s">
        <v>73</v>
      </c>
      <c r="L18" s="5" t="s">
        <v>56</v>
      </c>
      <c r="M18" s="5" t="s">
        <v>64</v>
      </c>
      <c r="N18" s="5" t="s">
        <v>75</v>
      </c>
      <c r="O18" s="5" t="s">
        <v>59</v>
      </c>
      <c r="P18" s="5" t="s">
        <v>67</v>
      </c>
      <c r="Q18" s="5" t="s">
        <v>54</v>
      </c>
      <c r="R18" s="5" t="s">
        <v>207</v>
      </c>
      <c r="S18" s="5" t="s">
        <v>69</v>
      </c>
      <c r="T18" s="1">
        <v>11</v>
      </c>
      <c r="U18" s="1">
        <v>110</v>
      </c>
      <c r="V18" s="1">
        <v>40</v>
      </c>
    </row>
    <row r="19" spans="1:22" x14ac:dyDescent="0.3">
      <c r="A19" s="48">
        <v>12</v>
      </c>
      <c r="B19" s="4"/>
      <c r="C19" s="6" t="s">
        <v>121</v>
      </c>
      <c r="D19" s="5"/>
      <c r="E19" s="5" t="s">
        <v>70</v>
      </c>
      <c r="F19" s="5" t="s">
        <v>210</v>
      </c>
      <c r="G19" s="5" t="s">
        <v>57</v>
      </c>
      <c r="H19" s="5" t="s">
        <v>74</v>
      </c>
      <c r="I19" s="5" t="s">
        <v>58</v>
      </c>
      <c r="J19" s="5" t="s">
        <v>52</v>
      </c>
      <c r="K19" s="5" t="s">
        <v>73</v>
      </c>
      <c r="L19" s="5" t="s">
        <v>55</v>
      </c>
      <c r="M19" s="5" t="s">
        <v>64</v>
      </c>
      <c r="N19" s="5" t="s">
        <v>71</v>
      </c>
      <c r="O19" s="5" t="s">
        <v>65</v>
      </c>
      <c r="P19" s="5" t="s">
        <v>67</v>
      </c>
      <c r="Q19" s="5" t="s">
        <v>47</v>
      </c>
      <c r="R19" s="5" t="s">
        <v>207</v>
      </c>
      <c r="S19" s="5" t="s">
        <v>69</v>
      </c>
      <c r="T19" s="1">
        <v>11</v>
      </c>
      <c r="U19" s="1">
        <v>116</v>
      </c>
      <c r="V19" s="1">
        <v>40</v>
      </c>
    </row>
    <row r="20" spans="1:22" x14ac:dyDescent="0.3">
      <c r="A20" s="48">
        <v>13</v>
      </c>
      <c r="B20" s="4"/>
      <c r="C20" s="6" t="s">
        <v>138</v>
      </c>
      <c r="D20" s="5"/>
      <c r="E20" s="5" t="s">
        <v>68</v>
      </c>
      <c r="F20" s="5" t="s">
        <v>210</v>
      </c>
      <c r="G20" s="5" t="s">
        <v>57</v>
      </c>
      <c r="H20" s="5" t="s">
        <v>74</v>
      </c>
      <c r="I20" s="5" t="s">
        <v>58</v>
      </c>
      <c r="J20" s="5" t="s">
        <v>52</v>
      </c>
      <c r="K20" s="5" t="s">
        <v>73</v>
      </c>
      <c r="L20" s="5" t="s">
        <v>56</v>
      </c>
      <c r="M20" s="5" t="s">
        <v>64</v>
      </c>
      <c r="N20" s="5" t="s">
        <v>71</v>
      </c>
      <c r="O20" s="5" t="s">
        <v>65</v>
      </c>
      <c r="P20" s="5" t="s">
        <v>60</v>
      </c>
      <c r="Q20" s="5" t="s">
        <v>54</v>
      </c>
      <c r="R20" s="5" t="s">
        <v>207</v>
      </c>
      <c r="S20" s="5" t="s">
        <v>69</v>
      </c>
      <c r="T20" s="1">
        <v>11</v>
      </c>
      <c r="U20" s="1">
        <v>114</v>
      </c>
      <c r="V20" s="1">
        <v>41</v>
      </c>
    </row>
    <row r="21" spans="1:22" ht="28.8" x14ac:dyDescent="0.3">
      <c r="A21" s="48">
        <v>14</v>
      </c>
      <c r="B21" s="4"/>
      <c r="C21" s="6" t="s">
        <v>153</v>
      </c>
      <c r="D21" s="5"/>
      <c r="E21" s="5" t="s">
        <v>68</v>
      </c>
      <c r="F21" s="5" t="s">
        <v>210</v>
      </c>
      <c r="G21" s="5" t="s">
        <v>57</v>
      </c>
      <c r="H21" s="5" t="s">
        <v>51</v>
      </c>
      <c r="I21" s="5" t="s">
        <v>58</v>
      </c>
      <c r="J21" s="5" t="s">
        <v>52</v>
      </c>
      <c r="K21" s="5" t="s">
        <v>73</v>
      </c>
      <c r="L21" s="5" t="s">
        <v>56</v>
      </c>
      <c r="M21" s="5" t="s">
        <v>64</v>
      </c>
      <c r="N21" s="5" t="s">
        <v>75</v>
      </c>
      <c r="O21" s="5" t="s">
        <v>59</v>
      </c>
      <c r="P21" s="5" t="s">
        <v>67</v>
      </c>
      <c r="Q21" s="5" t="s">
        <v>54</v>
      </c>
      <c r="R21" s="5" t="s">
        <v>207</v>
      </c>
      <c r="S21" s="5" t="s">
        <v>69</v>
      </c>
      <c r="T21" s="1">
        <v>11</v>
      </c>
      <c r="U21" s="1">
        <v>107</v>
      </c>
      <c r="V21" s="1">
        <v>41</v>
      </c>
    </row>
    <row r="22" spans="1:22" x14ac:dyDescent="0.3">
      <c r="A22" s="48">
        <v>15</v>
      </c>
      <c r="B22" s="4"/>
      <c r="C22" s="6" t="s">
        <v>95</v>
      </c>
      <c r="D22" s="5"/>
      <c r="E22" s="5" t="s">
        <v>68</v>
      </c>
      <c r="F22" s="5" t="s">
        <v>210</v>
      </c>
      <c r="G22" s="5" t="s">
        <v>57</v>
      </c>
      <c r="H22" s="5" t="s">
        <v>51</v>
      </c>
      <c r="I22" s="5" t="s">
        <v>53</v>
      </c>
      <c r="J22" s="5" t="s">
        <v>52</v>
      </c>
      <c r="K22" s="5" t="s">
        <v>73</v>
      </c>
      <c r="L22" s="5" t="s">
        <v>55</v>
      </c>
      <c r="M22" s="5" t="s">
        <v>64</v>
      </c>
      <c r="N22" s="5" t="s">
        <v>75</v>
      </c>
      <c r="O22" s="5" t="s">
        <v>59</v>
      </c>
      <c r="P22" s="5" t="s">
        <v>67</v>
      </c>
      <c r="Q22" s="5" t="s">
        <v>54</v>
      </c>
      <c r="R22" s="5" t="s">
        <v>207</v>
      </c>
      <c r="S22" s="5" t="s">
        <v>69</v>
      </c>
      <c r="T22" s="1">
        <v>11</v>
      </c>
      <c r="U22" s="1">
        <v>111</v>
      </c>
      <c r="V22" s="1">
        <v>41</v>
      </c>
    </row>
    <row r="23" spans="1:22" ht="28.8" x14ac:dyDescent="0.3">
      <c r="A23" s="48">
        <v>16</v>
      </c>
      <c r="B23" s="4"/>
      <c r="C23" s="6" t="s">
        <v>193</v>
      </c>
      <c r="D23" s="5"/>
      <c r="E23" s="5" t="s">
        <v>70</v>
      </c>
      <c r="F23" s="5" t="s">
        <v>61</v>
      </c>
      <c r="G23" s="5" t="s">
        <v>57</v>
      </c>
      <c r="H23" s="5" t="s">
        <v>74</v>
      </c>
      <c r="I23" s="5" t="s">
        <v>53</v>
      </c>
      <c r="J23" s="5" t="s">
        <v>52</v>
      </c>
      <c r="K23" s="5" t="s">
        <v>73</v>
      </c>
      <c r="L23" s="5" t="s">
        <v>55</v>
      </c>
      <c r="M23" s="5" t="s">
        <v>64</v>
      </c>
      <c r="N23" s="5" t="s">
        <v>71</v>
      </c>
      <c r="O23" s="5" t="s">
        <v>65</v>
      </c>
      <c r="P23" s="5" t="s">
        <v>60</v>
      </c>
      <c r="Q23" s="5" t="s">
        <v>54</v>
      </c>
      <c r="R23" s="5" t="s">
        <v>207</v>
      </c>
      <c r="S23" s="5" t="s">
        <v>69</v>
      </c>
      <c r="T23" s="1">
        <v>11</v>
      </c>
      <c r="U23" s="1">
        <v>104</v>
      </c>
      <c r="V23" s="1">
        <v>42</v>
      </c>
    </row>
    <row r="24" spans="1:22" x14ac:dyDescent="0.3">
      <c r="A24" s="48">
        <v>17</v>
      </c>
      <c r="B24" s="4"/>
      <c r="C24" s="6" t="s">
        <v>190</v>
      </c>
      <c r="D24" s="5"/>
      <c r="E24" s="5" t="s">
        <v>68</v>
      </c>
      <c r="F24" s="5" t="s">
        <v>210</v>
      </c>
      <c r="G24" s="5" t="s">
        <v>57</v>
      </c>
      <c r="H24" s="5" t="s">
        <v>74</v>
      </c>
      <c r="I24" s="5" t="s">
        <v>53</v>
      </c>
      <c r="J24" s="5" t="s">
        <v>52</v>
      </c>
      <c r="K24" s="5" t="s">
        <v>73</v>
      </c>
      <c r="L24" s="5" t="s">
        <v>55</v>
      </c>
      <c r="M24" s="5" t="s">
        <v>64</v>
      </c>
      <c r="N24" s="5" t="s">
        <v>71</v>
      </c>
      <c r="O24" s="5" t="s">
        <v>59</v>
      </c>
      <c r="P24" s="5" t="s">
        <v>67</v>
      </c>
      <c r="Q24" s="5" t="s">
        <v>54</v>
      </c>
      <c r="R24" s="5" t="s">
        <v>207</v>
      </c>
      <c r="S24" s="5" t="s">
        <v>69</v>
      </c>
      <c r="T24" s="1">
        <v>11</v>
      </c>
      <c r="U24" s="1">
        <v>115</v>
      </c>
      <c r="V24" s="1">
        <v>42</v>
      </c>
    </row>
    <row r="25" spans="1:22" ht="28.8" x14ac:dyDescent="0.3">
      <c r="A25" s="48">
        <v>18</v>
      </c>
      <c r="B25" s="4"/>
      <c r="C25" s="6" t="s">
        <v>135</v>
      </c>
      <c r="D25" s="5"/>
      <c r="E25" s="5" t="s">
        <v>70</v>
      </c>
      <c r="F25" s="5" t="s">
        <v>61</v>
      </c>
      <c r="G25" s="5" t="s">
        <v>57</v>
      </c>
      <c r="H25" s="5" t="s">
        <v>51</v>
      </c>
      <c r="I25" s="5" t="s">
        <v>58</v>
      </c>
      <c r="J25" s="5" t="s">
        <v>72</v>
      </c>
      <c r="K25" s="5" t="s">
        <v>62</v>
      </c>
      <c r="L25" s="5" t="s">
        <v>55</v>
      </c>
      <c r="M25" s="5" t="s">
        <v>64</v>
      </c>
      <c r="N25" s="5" t="s">
        <v>75</v>
      </c>
      <c r="O25" s="5" t="s">
        <v>59</v>
      </c>
      <c r="P25" s="5" t="s">
        <v>60</v>
      </c>
      <c r="Q25" s="5" t="s">
        <v>54</v>
      </c>
      <c r="R25" s="5" t="s">
        <v>207</v>
      </c>
      <c r="S25" s="5" t="s">
        <v>69</v>
      </c>
      <c r="T25" s="1">
        <v>11</v>
      </c>
      <c r="U25" s="1">
        <v>111</v>
      </c>
      <c r="V25" s="1">
        <v>43</v>
      </c>
    </row>
    <row r="26" spans="1:22" x14ac:dyDescent="0.3">
      <c r="A26" s="48">
        <v>19</v>
      </c>
      <c r="B26" s="4"/>
      <c r="C26" s="6" t="s">
        <v>84</v>
      </c>
      <c r="D26" s="5"/>
      <c r="E26" s="5" t="s">
        <v>70</v>
      </c>
      <c r="F26" s="5" t="s">
        <v>210</v>
      </c>
      <c r="G26" s="5" t="s">
        <v>208</v>
      </c>
      <c r="H26" s="5" t="s">
        <v>51</v>
      </c>
      <c r="I26" s="5" t="s">
        <v>58</v>
      </c>
      <c r="J26" s="5" t="s">
        <v>52</v>
      </c>
      <c r="K26" s="5" t="s">
        <v>73</v>
      </c>
      <c r="L26" s="5" t="s">
        <v>55</v>
      </c>
      <c r="M26" s="5" t="s">
        <v>64</v>
      </c>
      <c r="N26" s="5" t="s">
        <v>75</v>
      </c>
      <c r="O26" s="5" t="s">
        <v>65</v>
      </c>
      <c r="P26" s="5" t="s">
        <v>60</v>
      </c>
      <c r="Q26" s="5" t="s">
        <v>54</v>
      </c>
      <c r="R26" s="5" t="s">
        <v>207</v>
      </c>
      <c r="S26" s="5" t="s">
        <v>66</v>
      </c>
      <c r="T26" s="1">
        <v>11</v>
      </c>
      <c r="U26" s="1">
        <v>104</v>
      </c>
      <c r="V26" s="1">
        <v>43</v>
      </c>
    </row>
    <row r="27" spans="1:22" ht="28.8" x14ac:dyDescent="0.3">
      <c r="A27" s="48">
        <v>20</v>
      </c>
      <c r="B27" s="4"/>
      <c r="C27" s="6" t="s">
        <v>148</v>
      </c>
      <c r="D27" s="5"/>
      <c r="E27" s="5" t="s">
        <v>70</v>
      </c>
      <c r="F27" s="5" t="s">
        <v>210</v>
      </c>
      <c r="G27" s="5" t="s">
        <v>208</v>
      </c>
      <c r="H27" s="5" t="s">
        <v>51</v>
      </c>
      <c r="I27" s="5" t="s">
        <v>58</v>
      </c>
      <c r="J27" s="5" t="s">
        <v>52</v>
      </c>
      <c r="K27" s="5" t="s">
        <v>62</v>
      </c>
      <c r="L27" s="5" t="s">
        <v>55</v>
      </c>
      <c r="M27" s="5" t="s">
        <v>64</v>
      </c>
      <c r="N27" s="5" t="s">
        <v>71</v>
      </c>
      <c r="O27" s="5" t="s">
        <v>59</v>
      </c>
      <c r="P27" s="5" t="s">
        <v>60</v>
      </c>
      <c r="Q27" s="5" t="s">
        <v>54</v>
      </c>
      <c r="R27" s="5" t="s">
        <v>207</v>
      </c>
      <c r="S27" s="5" t="s">
        <v>69</v>
      </c>
      <c r="T27" s="1">
        <v>11</v>
      </c>
      <c r="U27" s="1">
        <v>112</v>
      </c>
      <c r="V27" s="1">
        <v>43</v>
      </c>
    </row>
    <row r="28" spans="1:22" x14ac:dyDescent="0.3">
      <c r="A28" s="48">
        <v>21</v>
      </c>
      <c r="B28" s="4"/>
      <c r="C28" s="6" t="s">
        <v>31</v>
      </c>
      <c r="D28" s="5"/>
      <c r="E28" s="5" t="s">
        <v>70</v>
      </c>
      <c r="F28" s="5" t="s">
        <v>210</v>
      </c>
      <c r="G28" s="5" t="s">
        <v>57</v>
      </c>
      <c r="H28" s="5" t="s">
        <v>51</v>
      </c>
      <c r="I28" s="5" t="s">
        <v>53</v>
      </c>
      <c r="J28" s="5" t="s">
        <v>52</v>
      </c>
      <c r="K28" s="5" t="s">
        <v>73</v>
      </c>
      <c r="L28" s="5" t="s">
        <v>55</v>
      </c>
      <c r="M28" s="5" t="s">
        <v>63</v>
      </c>
      <c r="N28" s="5" t="s">
        <v>75</v>
      </c>
      <c r="O28" s="5" t="s">
        <v>65</v>
      </c>
      <c r="P28" s="5" t="s">
        <v>60</v>
      </c>
      <c r="Q28" s="5" t="s">
        <v>54</v>
      </c>
      <c r="R28" s="5" t="s">
        <v>207</v>
      </c>
      <c r="S28" s="5" t="s">
        <v>69</v>
      </c>
      <c r="T28" s="1">
        <v>11</v>
      </c>
      <c r="U28" s="1">
        <v>100</v>
      </c>
      <c r="V28" s="1">
        <v>44</v>
      </c>
    </row>
    <row r="29" spans="1:22" ht="28.8" x14ac:dyDescent="0.3">
      <c r="A29" s="48">
        <v>22</v>
      </c>
      <c r="B29" s="4"/>
      <c r="C29" s="6" t="s">
        <v>140</v>
      </c>
      <c r="D29" s="5"/>
      <c r="E29" s="5" t="s">
        <v>70</v>
      </c>
      <c r="F29" s="5" t="s">
        <v>210</v>
      </c>
      <c r="G29" s="5" t="s">
        <v>57</v>
      </c>
      <c r="H29" s="5" t="s">
        <v>74</v>
      </c>
      <c r="I29" s="5" t="s">
        <v>53</v>
      </c>
      <c r="J29" s="5" t="s">
        <v>52</v>
      </c>
      <c r="K29" s="5" t="s">
        <v>73</v>
      </c>
      <c r="L29" s="5" t="s">
        <v>55</v>
      </c>
      <c r="M29" s="5" t="s">
        <v>64</v>
      </c>
      <c r="N29" s="5" t="s">
        <v>71</v>
      </c>
      <c r="O29" s="5" t="s">
        <v>59</v>
      </c>
      <c r="P29" s="5" t="s">
        <v>60</v>
      </c>
      <c r="Q29" s="5" t="s">
        <v>47</v>
      </c>
      <c r="R29" s="5" t="s">
        <v>50</v>
      </c>
      <c r="S29" s="5" t="s">
        <v>69</v>
      </c>
      <c r="T29" s="1">
        <v>11</v>
      </c>
      <c r="U29" s="1">
        <v>107</v>
      </c>
      <c r="V29" s="1">
        <v>44</v>
      </c>
    </row>
    <row r="30" spans="1:22" x14ac:dyDescent="0.3">
      <c r="A30" s="48">
        <v>23</v>
      </c>
      <c r="B30" s="4"/>
      <c r="C30" s="6" t="s">
        <v>97</v>
      </c>
      <c r="D30" s="5"/>
      <c r="E30" s="5" t="s">
        <v>68</v>
      </c>
      <c r="F30" s="5" t="s">
        <v>210</v>
      </c>
      <c r="G30" s="5" t="s">
        <v>57</v>
      </c>
      <c r="H30" s="5" t="s">
        <v>74</v>
      </c>
      <c r="I30" s="5" t="s">
        <v>53</v>
      </c>
      <c r="J30" s="5" t="s">
        <v>52</v>
      </c>
      <c r="K30" s="5" t="s">
        <v>73</v>
      </c>
      <c r="L30" s="5" t="s">
        <v>55</v>
      </c>
      <c r="M30" s="5" t="s">
        <v>64</v>
      </c>
      <c r="N30" s="5" t="s">
        <v>71</v>
      </c>
      <c r="O30" s="5" t="s">
        <v>59</v>
      </c>
      <c r="P30" s="5" t="s">
        <v>67</v>
      </c>
      <c r="Q30" s="5" t="s">
        <v>54</v>
      </c>
      <c r="R30" s="5" t="s">
        <v>207</v>
      </c>
      <c r="S30" s="5" t="s">
        <v>69</v>
      </c>
      <c r="T30" s="1">
        <v>11</v>
      </c>
      <c r="U30" s="1">
        <v>99</v>
      </c>
      <c r="V30" s="1">
        <v>47</v>
      </c>
    </row>
    <row r="31" spans="1:22" ht="28.8" x14ac:dyDescent="0.3">
      <c r="A31" s="48">
        <v>24</v>
      </c>
      <c r="B31" s="4"/>
      <c r="C31" s="6" t="s">
        <v>113</v>
      </c>
      <c r="D31" s="5"/>
      <c r="E31" s="5" t="s">
        <v>70</v>
      </c>
      <c r="F31" s="5" t="s">
        <v>210</v>
      </c>
      <c r="G31" s="5" t="s">
        <v>208</v>
      </c>
      <c r="H31" s="5" t="s">
        <v>51</v>
      </c>
      <c r="I31" s="5" t="s">
        <v>53</v>
      </c>
      <c r="J31" s="5" t="s">
        <v>52</v>
      </c>
      <c r="K31" s="5" t="s">
        <v>73</v>
      </c>
      <c r="L31" s="5" t="s">
        <v>55</v>
      </c>
      <c r="M31" s="5" t="s">
        <v>64</v>
      </c>
      <c r="N31" s="5" t="s">
        <v>75</v>
      </c>
      <c r="O31" s="5" t="s">
        <v>65</v>
      </c>
      <c r="P31" s="5" t="s">
        <v>60</v>
      </c>
      <c r="Q31" s="5" t="s">
        <v>54</v>
      </c>
      <c r="R31" s="5" t="s">
        <v>207</v>
      </c>
      <c r="S31" s="5" t="s">
        <v>69</v>
      </c>
      <c r="T31" s="1">
        <v>11</v>
      </c>
      <c r="U31" s="1">
        <v>111</v>
      </c>
      <c r="V31" s="1">
        <v>48</v>
      </c>
    </row>
    <row r="32" spans="1:22" ht="28.8" x14ac:dyDescent="0.3">
      <c r="A32" s="48">
        <v>25</v>
      </c>
      <c r="B32" s="4"/>
      <c r="C32" s="6" t="s">
        <v>27</v>
      </c>
      <c r="D32" s="5"/>
      <c r="E32" s="5" t="s">
        <v>70</v>
      </c>
      <c r="F32" s="5" t="s">
        <v>210</v>
      </c>
      <c r="G32" s="5" t="s">
        <v>208</v>
      </c>
      <c r="H32" s="5" t="s">
        <v>74</v>
      </c>
      <c r="I32" s="5" t="s">
        <v>53</v>
      </c>
      <c r="J32" s="5" t="s">
        <v>72</v>
      </c>
      <c r="K32" s="5" t="s">
        <v>73</v>
      </c>
      <c r="L32" s="5" t="s">
        <v>55</v>
      </c>
      <c r="M32" s="5" t="s">
        <v>64</v>
      </c>
      <c r="N32" s="5" t="s">
        <v>75</v>
      </c>
      <c r="O32" s="5" t="s">
        <v>65</v>
      </c>
      <c r="P32" s="5" t="s">
        <v>60</v>
      </c>
      <c r="Q32" s="5" t="s">
        <v>54</v>
      </c>
      <c r="R32" s="5" t="s">
        <v>207</v>
      </c>
      <c r="S32" s="5" t="s">
        <v>69</v>
      </c>
      <c r="T32" s="1">
        <v>11</v>
      </c>
      <c r="U32" s="1">
        <v>123</v>
      </c>
      <c r="V32" s="1">
        <v>49</v>
      </c>
    </row>
    <row r="33" spans="1:22" ht="28.8" x14ac:dyDescent="0.3">
      <c r="A33" s="48">
        <v>26</v>
      </c>
      <c r="B33" s="4"/>
      <c r="C33" s="6" t="s">
        <v>123</v>
      </c>
      <c r="D33" s="5"/>
      <c r="E33" s="5" t="s">
        <v>70</v>
      </c>
      <c r="F33" s="5" t="s">
        <v>210</v>
      </c>
      <c r="G33" s="5" t="s">
        <v>57</v>
      </c>
      <c r="H33" s="5" t="s">
        <v>74</v>
      </c>
      <c r="I33" s="5" t="s">
        <v>53</v>
      </c>
      <c r="J33" s="5" t="s">
        <v>52</v>
      </c>
      <c r="K33" s="5" t="s">
        <v>73</v>
      </c>
      <c r="L33" s="5" t="s">
        <v>56</v>
      </c>
      <c r="M33" s="5" t="s">
        <v>63</v>
      </c>
      <c r="N33" s="5" t="s">
        <v>75</v>
      </c>
      <c r="O33" s="5" t="s">
        <v>59</v>
      </c>
      <c r="P33" s="5" t="s">
        <v>60</v>
      </c>
      <c r="Q33" s="5" t="s">
        <v>54</v>
      </c>
      <c r="R33" s="5" t="s">
        <v>207</v>
      </c>
      <c r="S33" s="5" t="s">
        <v>66</v>
      </c>
      <c r="T33" s="1">
        <v>11</v>
      </c>
      <c r="U33" s="1">
        <v>110</v>
      </c>
      <c r="V33" s="1">
        <v>53</v>
      </c>
    </row>
    <row r="34" spans="1:22" ht="28.8" x14ac:dyDescent="0.3">
      <c r="A34" s="48">
        <v>27</v>
      </c>
      <c r="B34" s="4"/>
      <c r="C34" s="6" t="s">
        <v>34</v>
      </c>
      <c r="D34" s="5"/>
      <c r="E34" s="5" t="s">
        <v>68</v>
      </c>
      <c r="F34" s="5" t="s">
        <v>61</v>
      </c>
      <c r="G34" s="5" t="s">
        <v>57</v>
      </c>
      <c r="H34" s="5" t="s">
        <v>74</v>
      </c>
      <c r="I34" s="5" t="s">
        <v>53</v>
      </c>
      <c r="J34" s="5" t="s">
        <v>52</v>
      </c>
      <c r="K34" s="5" t="s">
        <v>73</v>
      </c>
      <c r="L34" s="5" t="s">
        <v>55</v>
      </c>
      <c r="M34" s="5" t="s">
        <v>64</v>
      </c>
      <c r="N34" s="5" t="s">
        <v>75</v>
      </c>
      <c r="O34" s="5" t="s">
        <v>65</v>
      </c>
      <c r="P34" s="5" t="s">
        <v>67</v>
      </c>
      <c r="Q34" s="5" t="s">
        <v>54</v>
      </c>
      <c r="R34" s="5" t="s">
        <v>207</v>
      </c>
      <c r="S34" s="5" t="s">
        <v>69</v>
      </c>
      <c r="T34" s="1">
        <v>10</v>
      </c>
      <c r="U34" s="1">
        <v>104</v>
      </c>
      <c r="V34" s="1">
        <v>27</v>
      </c>
    </row>
    <row r="35" spans="1:22" ht="28.8" x14ac:dyDescent="0.3">
      <c r="A35" s="48">
        <v>28</v>
      </c>
      <c r="B35" s="4"/>
      <c r="C35" s="6" t="s">
        <v>6</v>
      </c>
      <c r="D35" s="5"/>
      <c r="E35" s="5" t="s">
        <v>70</v>
      </c>
      <c r="F35" s="5" t="s">
        <v>210</v>
      </c>
      <c r="G35" s="5" t="s">
        <v>57</v>
      </c>
      <c r="H35" s="5" t="s">
        <v>51</v>
      </c>
      <c r="I35" s="5" t="s">
        <v>53</v>
      </c>
      <c r="J35" s="5" t="s">
        <v>52</v>
      </c>
      <c r="K35" s="5" t="s">
        <v>73</v>
      </c>
      <c r="L35" s="5" t="s">
        <v>55</v>
      </c>
      <c r="M35" s="5" t="s">
        <v>64</v>
      </c>
      <c r="N35" s="5" t="s">
        <v>71</v>
      </c>
      <c r="O35" s="5" t="s">
        <v>65</v>
      </c>
      <c r="P35" s="5" t="s">
        <v>60</v>
      </c>
      <c r="Q35" s="5" t="s">
        <v>47</v>
      </c>
      <c r="R35" s="5" t="s">
        <v>207</v>
      </c>
      <c r="S35" s="5" t="s">
        <v>69</v>
      </c>
      <c r="T35" s="1">
        <v>10</v>
      </c>
      <c r="U35" s="1">
        <v>101</v>
      </c>
      <c r="V35" s="1">
        <v>31</v>
      </c>
    </row>
    <row r="36" spans="1:22" x14ac:dyDescent="0.3">
      <c r="A36" s="48">
        <v>29</v>
      </c>
      <c r="B36" s="4"/>
      <c r="C36" s="6" t="s">
        <v>14</v>
      </c>
      <c r="D36" s="5"/>
      <c r="E36" s="5" t="s">
        <v>68</v>
      </c>
      <c r="F36" s="5" t="s">
        <v>210</v>
      </c>
      <c r="G36" s="5" t="s">
        <v>208</v>
      </c>
      <c r="H36" s="5" t="s">
        <v>74</v>
      </c>
      <c r="I36" s="5" t="s">
        <v>53</v>
      </c>
      <c r="J36" s="5" t="s">
        <v>52</v>
      </c>
      <c r="K36" s="5" t="s">
        <v>73</v>
      </c>
      <c r="L36" s="5" t="s">
        <v>55</v>
      </c>
      <c r="M36" s="5" t="s">
        <v>64</v>
      </c>
      <c r="N36" s="5" t="s">
        <v>71</v>
      </c>
      <c r="O36" s="5" t="s">
        <v>59</v>
      </c>
      <c r="P36" s="5" t="s">
        <v>60</v>
      </c>
      <c r="Q36" s="5" t="s">
        <v>47</v>
      </c>
      <c r="R36" s="5" t="s">
        <v>207</v>
      </c>
      <c r="S36" s="5" t="s">
        <v>69</v>
      </c>
      <c r="T36" s="1">
        <v>10</v>
      </c>
      <c r="U36" s="1">
        <v>113</v>
      </c>
      <c r="V36" s="1">
        <v>34</v>
      </c>
    </row>
    <row r="37" spans="1:22" ht="28.8" x14ac:dyDescent="0.3">
      <c r="A37" s="48">
        <v>30</v>
      </c>
      <c r="B37" s="4"/>
      <c r="C37" s="6" t="s">
        <v>158</v>
      </c>
      <c r="D37" s="5"/>
      <c r="E37" s="5" t="s">
        <v>70</v>
      </c>
      <c r="F37" s="5" t="s">
        <v>210</v>
      </c>
      <c r="G37" s="5" t="s">
        <v>208</v>
      </c>
      <c r="H37" s="5" t="s">
        <v>74</v>
      </c>
      <c r="I37" s="5" t="s">
        <v>53</v>
      </c>
      <c r="J37" s="5" t="s">
        <v>52</v>
      </c>
      <c r="K37" s="5" t="s">
        <v>73</v>
      </c>
      <c r="L37" s="5" t="s">
        <v>55</v>
      </c>
      <c r="M37" s="5" t="s">
        <v>64</v>
      </c>
      <c r="N37" s="5" t="s">
        <v>75</v>
      </c>
      <c r="O37" s="5" t="s">
        <v>65</v>
      </c>
      <c r="P37" s="5" t="s">
        <v>67</v>
      </c>
      <c r="Q37" s="5" t="s">
        <v>54</v>
      </c>
      <c r="R37" s="5" t="s">
        <v>50</v>
      </c>
      <c r="S37" s="5" t="s">
        <v>69</v>
      </c>
      <c r="T37" s="1">
        <v>10</v>
      </c>
      <c r="U37" s="1">
        <v>97</v>
      </c>
      <c r="V37" s="1">
        <v>38</v>
      </c>
    </row>
    <row r="38" spans="1:22" x14ac:dyDescent="0.3">
      <c r="A38" s="48">
        <v>31</v>
      </c>
      <c r="B38" s="4"/>
      <c r="C38" s="6" t="s">
        <v>35</v>
      </c>
      <c r="D38" s="5"/>
      <c r="E38" s="5" t="s">
        <v>68</v>
      </c>
      <c r="F38" s="5" t="s">
        <v>210</v>
      </c>
      <c r="G38" s="5" t="s">
        <v>57</v>
      </c>
      <c r="H38" s="5" t="s">
        <v>74</v>
      </c>
      <c r="I38" s="5" t="s">
        <v>53</v>
      </c>
      <c r="J38" s="5" t="s">
        <v>72</v>
      </c>
      <c r="K38" s="5" t="s">
        <v>73</v>
      </c>
      <c r="L38" s="5" t="s">
        <v>55</v>
      </c>
      <c r="M38" s="5" t="s">
        <v>64</v>
      </c>
      <c r="N38" s="5" t="s">
        <v>71</v>
      </c>
      <c r="O38" s="5" t="s">
        <v>65</v>
      </c>
      <c r="P38" s="5" t="s">
        <v>60</v>
      </c>
      <c r="Q38" s="5" t="s">
        <v>54</v>
      </c>
      <c r="R38" s="5" t="s">
        <v>207</v>
      </c>
      <c r="S38" s="5" t="s">
        <v>69</v>
      </c>
      <c r="T38" s="1">
        <v>10</v>
      </c>
      <c r="U38" s="1">
        <v>107</v>
      </c>
      <c r="V38" s="1">
        <v>40</v>
      </c>
    </row>
    <row r="39" spans="1:22" ht="28.8" x14ac:dyDescent="0.3">
      <c r="A39" s="48">
        <v>32</v>
      </c>
      <c r="B39" s="4"/>
      <c r="C39" s="6" t="s">
        <v>160</v>
      </c>
      <c r="D39" s="5"/>
      <c r="E39" s="5" t="s">
        <v>70</v>
      </c>
      <c r="F39" s="5" t="s">
        <v>61</v>
      </c>
      <c r="G39" s="5" t="s">
        <v>208</v>
      </c>
      <c r="H39" s="5" t="s">
        <v>74</v>
      </c>
      <c r="I39" s="5" t="s">
        <v>58</v>
      </c>
      <c r="J39" s="5" t="s">
        <v>52</v>
      </c>
      <c r="K39" s="5" t="s">
        <v>62</v>
      </c>
      <c r="L39" s="5" t="s">
        <v>55</v>
      </c>
      <c r="M39" s="5" t="s">
        <v>64</v>
      </c>
      <c r="N39" s="5" t="s">
        <v>75</v>
      </c>
      <c r="O39" s="5" t="s">
        <v>65</v>
      </c>
      <c r="P39" s="5" t="s">
        <v>67</v>
      </c>
      <c r="Q39" s="5" t="s">
        <v>54</v>
      </c>
      <c r="R39" s="5" t="s">
        <v>207</v>
      </c>
      <c r="S39" s="5" t="s">
        <v>69</v>
      </c>
      <c r="T39" s="1">
        <v>10</v>
      </c>
      <c r="U39" s="1">
        <v>72</v>
      </c>
      <c r="V39" s="1">
        <v>41</v>
      </c>
    </row>
    <row r="40" spans="1:22" ht="28.8" x14ac:dyDescent="0.3">
      <c r="A40" s="48">
        <v>33</v>
      </c>
      <c r="B40" s="4"/>
      <c r="C40" s="6" t="s">
        <v>159</v>
      </c>
      <c r="D40" s="5"/>
      <c r="E40" s="5" t="s">
        <v>68</v>
      </c>
      <c r="F40" s="5" t="s">
        <v>210</v>
      </c>
      <c r="G40" s="5" t="s">
        <v>208</v>
      </c>
      <c r="H40" s="5" t="s">
        <v>74</v>
      </c>
      <c r="I40" s="5" t="s">
        <v>53</v>
      </c>
      <c r="J40" s="5" t="s">
        <v>52</v>
      </c>
      <c r="K40" s="5" t="s">
        <v>73</v>
      </c>
      <c r="L40" s="5" t="s">
        <v>56</v>
      </c>
      <c r="M40" s="5" t="s">
        <v>64</v>
      </c>
      <c r="N40" s="5" t="s">
        <v>75</v>
      </c>
      <c r="O40" s="5" t="s">
        <v>59</v>
      </c>
      <c r="P40" s="5" t="s">
        <v>67</v>
      </c>
      <c r="Q40" s="5" t="s">
        <v>54</v>
      </c>
      <c r="R40" s="5" t="s">
        <v>207</v>
      </c>
      <c r="S40" s="5" t="s">
        <v>69</v>
      </c>
      <c r="T40" s="1">
        <v>10</v>
      </c>
      <c r="U40" s="1">
        <v>97</v>
      </c>
      <c r="V40" s="1">
        <v>41</v>
      </c>
    </row>
    <row r="41" spans="1:22" ht="28.8" x14ac:dyDescent="0.3">
      <c r="A41" s="48">
        <v>34</v>
      </c>
      <c r="B41" s="4"/>
      <c r="C41" s="6" t="s">
        <v>146</v>
      </c>
      <c r="D41" s="5"/>
      <c r="E41" s="5" t="s">
        <v>70</v>
      </c>
      <c r="F41" s="5" t="s">
        <v>210</v>
      </c>
      <c r="G41" s="5" t="s">
        <v>208</v>
      </c>
      <c r="H41" s="5" t="s">
        <v>74</v>
      </c>
      <c r="I41" s="5" t="s">
        <v>58</v>
      </c>
      <c r="J41" s="5" t="s">
        <v>52</v>
      </c>
      <c r="K41" s="5" t="s">
        <v>73</v>
      </c>
      <c r="L41" s="5" t="s">
        <v>56</v>
      </c>
      <c r="M41" s="5" t="s">
        <v>64</v>
      </c>
      <c r="N41" s="5" t="s">
        <v>75</v>
      </c>
      <c r="O41" s="5" t="s">
        <v>65</v>
      </c>
      <c r="P41" s="5" t="s">
        <v>67</v>
      </c>
      <c r="Q41" s="5" t="s">
        <v>47</v>
      </c>
      <c r="R41" s="5" t="s">
        <v>207</v>
      </c>
      <c r="S41" s="5" t="s">
        <v>69</v>
      </c>
      <c r="T41" s="1">
        <v>10</v>
      </c>
      <c r="U41" s="1">
        <v>111</v>
      </c>
      <c r="V41" s="1">
        <v>41</v>
      </c>
    </row>
    <row r="42" spans="1:22" ht="28.8" x14ac:dyDescent="0.3">
      <c r="A42" s="48">
        <v>35</v>
      </c>
      <c r="B42" s="4"/>
      <c r="C42" s="6" t="s">
        <v>20</v>
      </c>
      <c r="D42" s="5"/>
      <c r="E42" s="5" t="s">
        <v>68</v>
      </c>
      <c r="F42" s="5" t="s">
        <v>210</v>
      </c>
      <c r="G42" s="5" t="s">
        <v>57</v>
      </c>
      <c r="H42" s="5" t="s">
        <v>74</v>
      </c>
      <c r="I42" s="5" t="s">
        <v>53</v>
      </c>
      <c r="J42" s="5" t="s">
        <v>72</v>
      </c>
      <c r="K42" s="5" t="s">
        <v>73</v>
      </c>
      <c r="L42" s="5" t="s">
        <v>55</v>
      </c>
      <c r="M42" s="5" t="s">
        <v>64</v>
      </c>
      <c r="N42" s="5" t="s">
        <v>71</v>
      </c>
      <c r="O42" s="5" t="s">
        <v>59</v>
      </c>
      <c r="P42" s="5" t="s">
        <v>67</v>
      </c>
      <c r="Q42" s="5" t="s">
        <v>54</v>
      </c>
      <c r="R42" s="5" t="s">
        <v>207</v>
      </c>
      <c r="S42" s="5" t="s">
        <v>69</v>
      </c>
      <c r="T42" s="1">
        <v>10</v>
      </c>
      <c r="U42" s="1">
        <v>109</v>
      </c>
      <c r="V42" s="1">
        <v>42</v>
      </c>
    </row>
    <row r="43" spans="1:22" ht="28.8" x14ac:dyDescent="0.3">
      <c r="A43" s="48">
        <v>36</v>
      </c>
      <c r="B43" s="4"/>
      <c r="C43" s="6" t="s">
        <v>17</v>
      </c>
      <c r="D43" s="5"/>
      <c r="E43" s="5" t="s">
        <v>70</v>
      </c>
      <c r="F43" s="5" t="s">
        <v>210</v>
      </c>
      <c r="G43" s="5" t="s">
        <v>208</v>
      </c>
      <c r="H43" s="5" t="s">
        <v>74</v>
      </c>
      <c r="I43" s="5" t="s">
        <v>58</v>
      </c>
      <c r="J43" s="5" t="s">
        <v>72</v>
      </c>
      <c r="K43" s="5" t="s">
        <v>73</v>
      </c>
      <c r="L43" s="5" t="s">
        <v>56</v>
      </c>
      <c r="M43" s="5" t="s">
        <v>64</v>
      </c>
      <c r="N43" s="5" t="s">
        <v>71</v>
      </c>
      <c r="O43" s="5" t="s">
        <v>59</v>
      </c>
      <c r="P43" s="5" t="s">
        <v>60</v>
      </c>
      <c r="Q43" s="5" t="s">
        <v>47</v>
      </c>
      <c r="R43" s="5" t="s">
        <v>207</v>
      </c>
      <c r="S43" s="5" t="s">
        <v>69</v>
      </c>
      <c r="T43" s="1">
        <v>10</v>
      </c>
      <c r="U43" s="1">
        <v>112</v>
      </c>
      <c r="V43" s="1">
        <v>42</v>
      </c>
    </row>
    <row r="44" spans="1:22" x14ac:dyDescent="0.3">
      <c r="A44" s="48">
        <v>37</v>
      </c>
      <c r="B44" s="4"/>
      <c r="C44" s="6" t="s">
        <v>16</v>
      </c>
      <c r="D44" s="5"/>
      <c r="E44" s="5" t="s">
        <v>68</v>
      </c>
      <c r="F44" s="5" t="s">
        <v>210</v>
      </c>
      <c r="G44" s="5" t="s">
        <v>208</v>
      </c>
      <c r="H44" s="5" t="s">
        <v>74</v>
      </c>
      <c r="I44" s="5" t="s">
        <v>58</v>
      </c>
      <c r="J44" s="5" t="s">
        <v>72</v>
      </c>
      <c r="K44" s="5" t="s">
        <v>73</v>
      </c>
      <c r="L44" s="5" t="s">
        <v>55</v>
      </c>
      <c r="M44" s="5" t="s">
        <v>64</v>
      </c>
      <c r="N44" s="5" t="s">
        <v>71</v>
      </c>
      <c r="O44" s="5" t="s">
        <v>59</v>
      </c>
      <c r="P44" s="5" t="s">
        <v>67</v>
      </c>
      <c r="Q44" s="5" t="s">
        <v>54</v>
      </c>
      <c r="R44" s="5" t="s">
        <v>207</v>
      </c>
      <c r="S44" s="5" t="s">
        <v>69</v>
      </c>
      <c r="T44" s="1">
        <v>10</v>
      </c>
      <c r="U44" s="1">
        <v>116</v>
      </c>
      <c r="V44" s="1">
        <v>42</v>
      </c>
    </row>
    <row r="45" spans="1:22" ht="28.8" x14ac:dyDescent="0.3">
      <c r="A45" s="48">
        <v>38</v>
      </c>
      <c r="B45" s="4"/>
      <c r="C45" s="6" t="s">
        <v>125</v>
      </c>
      <c r="D45" s="5"/>
      <c r="E45" s="5" t="s">
        <v>68</v>
      </c>
      <c r="F45" s="5" t="s">
        <v>210</v>
      </c>
      <c r="G45" s="5" t="s">
        <v>57</v>
      </c>
      <c r="H45" s="5" t="s">
        <v>74</v>
      </c>
      <c r="I45" s="5" t="s">
        <v>58</v>
      </c>
      <c r="J45" s="5" t="s">
        <v>72</v>
      </c>
      <c r="K45" s="5" t="s">
        <v>73</v>
      </c>
      <c r="L45" s="5" t="s">
        <v>55</v>
      </c>
      <c r="M45" s="5" t="s">
        <v>64</v>
      </c>
      <c r="N45" s="5" t="s">
        <v>75</v>
      </c>
      <c r="O45" s="5" t="s">
        <v>65</v>
      </c>
      <c r="P45" s="5" t="s">
        <v>67</v>
      </c>
      <c r="Q45" s="5" t="s">
        <v>54</v>
      </c>
      <c r="R45" s="5" t="s">
        <v>50</v>
      </c>
      <c r="S45" s="5" t="s">
        <v>69</v>
      </c>
      <c r="T45" s="1">
        <v>10</v>
      </c>
      <c r="U45" s="1">
        <v>111</v>
      </c>
      <c r="V45" s="1">
        <v>42</v>
      </c>
    </row>
    <row r="46" spans="1:22" ht="28.8" x14ac:dyDescent="0.3">
      <c r="A46" s="48">
        <v>39</v>
      </c>
      <c r="B46" s="4"/>
      <c r="C46" s="6" t="s">
        <v>174</v>
      </c>
      <c r="D46" s="5"/>
      <c r="E46" s="5" t="s">
        <v>70</v>
      </c>
      <c r="F46" s="5" t="s">
        <v>210</v>
      </c>
      <c r="G46" s="5" t="s">
        <v>57</v>
      </c>
      <c r="H46" s="5" t="s">
        <v>74</v>
      </c>
      <c r="I46" s="5" t="s">
        <v>53</v>
      </c>
      <c r="J46" s="5" t="s">
        <v>72</v>
      </c>
      <c r="K46" s="5" t="s">
        <v>73</v>
      </c>
      <c r="L46" s="5" t="s">
        <v>56</v>
      </c>
      <c r="M46" s="5" t="s">
        <v>64</v>
      </c>
      <c r="N46" s="5" t="s">
        <v>71</v>
      </c>
      <c r="O46" s="5" t="s">
        <v>59</v>
      </c>
      <c r="P46" s="5" t="s">
        <v>60</v>
      </c>
      <c r="Q46" s="5" t="s">
        <v>47</v>
      </c>
      <c r="R46" s="5" t="s">
        <v>207</v>
      </c>
      <c r="S46" s="5" t="s">
        <v>69</v>
      </c>
      <c r="T46" s="1">
        <v>10</v>
      </c>
      <c r="U46" s="1">
        <v>112</v>
      </c>
      <c r="V46" s="1">
        <v>45</v>
      </c>
    </row>
    <row r="47" spans="1:22" ht="28.8" x14ac:dyDescent="0.3">
      <c r="A47" s="48">
        <v>40</v>
      </c>
      <c r="B47" s="4"/>
      <c r="C47" s="6" t="s">
        <v>30</v>
      </c>
      <c r="D47" s="5"/>
      <c r="E47" s="5" t="s">
        <v>70</v>
      </c>
      <c r="F47" s="5" t="s">
        <v>210</v>
      </c>
      <c r="G47" s="5" t="s">
        <v>57</v>
      </c>
      <c r="H47" s="5" t="s">
        <v>74</v>
      </c>
      <c r="I47" s="5" t="s">
        <v>53</v>
      </c>
      <c r="J47" s="5" t="s">
        <v>72</v>
      </c>
      <c r="K47" s="5" t="s">
        <v>73</v>
      </c>
      <c r="L47" s="5" t="s">
        <v>56</v>
      </c>
      <c r="M47" s="5" t="s">
        <v>64</v>
      </c>
      <c r="N47" s="5" t="s">
        <v>71</v>
      </c>
      <c r="O47" s="5" t="s">
        <v>65</v>
      </c>
      <c r="P47" s="5" t="s">
        <v>60</v>
      </c>
      <c r="Q47" s="5" t="s">
        <v>54</v>
      </c>
      <c r="R47" s="5" t="s">
        <v>207</v>
      </c>
      <c r="S47" s="5" t="s">
        <v>69</v>
      </c>
      <c r="T47" s="1">
        <v>10</v>
      </c>
      <c r="U47" s="1">
        <v>109</v>
      </c>
      <c r="V47" s="1">
        <v>45</v>
      </c>
    </row>
    <row r="48" spans="1:22" x14ac:dyDescent="0.3">
      <c r="A48" s="48">
        <v>41</v>
      </c>
      <c r="B48" s="4"/>
      <c r="C48" s="6" t="s">
        <v>120</v>
      </c>
      <c r="D48" s="5"/>
      <c r="E48" s="5" t="s">
        <v>68</v>
      </c>
      <c r="F48" s="5" t="s">
        <v>210</v>
      </c>
      <c r="G48" s="5" t="s">
        <v>208</v>
      </c>
      <c r="H48" s="5" t="s">
        <v>51</v>
      </c>
      <c r="I48" s="5" t="s">
        <v>53</v>
      </c>
      <c r="J48" s="5" t="s">
        <v>72</v>
      </c>
      <c r="K48" s="5" t="s">
        <v>73</v>
      </c>
      <c r="L48" s="5" t="s">
        <v>55</v>
      </c>
      <c r="M48" s="5" t="s">
        <v>64</v>
      </c>
      <c r="N48" s="5" t="s">
        <v>75</v>
      </c>
      <c r="O48" s="5" t="s">
        <v>59</v>
      </c>
      <c r="P48" s="5" t="s">
        <v>60</v>
      </c>
      <c r="Q48" s="5" t="s">
        <v>54</v>
      </c>
      <c r="R48" s="5" t="s">
        <v>207</v>
      </c>
      <c r="S48" s="5" t="s">
        <v>69</v>
      </c>
      <c r="T48" s="1">
        <v>10</v>
      </c>
      <c r="U48" s="1">
        <v>103</v>
      </c>
      <c r="V48" s="1">
        <v>45</v>
      </c>
    </row>
    <row r="49" spans="1:22" x14ac:dyDescent="0.3">
      <c r="A49" s="48">
        <v>42</v>
      </c>
      <c r="B49" s="4"/>
      <c r="C49" s="6" t="s">
        <v>181</v>
      </c>
      <c r="D49" s="5"/>
      <c r="E49" s="5" t="s">
        <v>70</v>
      </c>
      <c r="F49" s="5" t="s">
        <v>210</v>
      </c>
      <c r="G49" s="5" t="s">
        <v>57</v>
      </c>
      <c r="H49" s="5" t="s">
        <v>74</v>
      </c>
      <c r="I49" s="5" t="s">
        <v>53</v>
      </c>
      <c r="J49" s="5" t="s">
        <v>52</v>
      </c>
      <c r="K49" s="5" t="s">
        <v>73</v>
      </c>
      <c r="L49" s="5" t="s">
        <v>55</v>
      </c>
      <c r="M49" s="5" t="s">
        <v>64</v>
      </c>
      <c r="N49" s="5" t="s">
        <v>71</v>
      </c>
      <c r="O49" s="5" t="s">
        <v>65</v>
      </c>
      <c r="P49" s="5" t="s">
        <v>67</v>
      </c>
      <c r="Q49" s="5" t="s">
        <v>47</v>
      </c>
      <c r="R49" s="5" t="s">
        <v>207</v>
      </c>
      <c r="S49" s="5" t="s">
        <v>69</v>
      </c>
      <c r="T49" s="1">
        <v>10</v>
      </c>
      <c r="U49" s="1">
        <v>105</v>
      </c>
      <c r="V49" s="1">
        <v>45</v>
      </c>
    </row>
    <row r="50" spans="1:22" ht="43.2" x14ac:dyDescent="0.3">
      <c r="A50" s="48">
        <v>43</v>
      </c>
      <c r="B50" s="4"/>
      <c r="C50" s="6" t="s">
        <v>171</v>
      </c>
      <c r="D50" s="5"/>
      <c r="E50" s="5" t="s">
        <v>70</v>
      </c>
      <c r="F50" s="5" t="s">
        <v>210</v>
      </c>
      <c r="G50" s="5" t="s">
        <v>208</v>
      </c>
      <c r="H50" s="5" t="s">
        <v>74</v>
      </c>
      <c r="I50" s="5" t="s">
        <v>58</v>
      </c>
      <c r="J50" s="5" t="s">
        <v>52</v>
      </c>
      <c r="K50" s="5" t="s">
        <v>62</v>
      </c>
      <c r="L50" s="5" t="s">
        <v>55</v>
      </c>
      <c r="M50" s="5" t="s">
        <v>64</v>
      </c>
      <c r="N50" s="5" t="s">
        <v>75</v>
      </c>
      <c r="O50" s="5" t="s">
        <v>65</v>
      </c>
      <c r="P50" s="5" t="s">
        <v>67</v>
      </c>
      <c r="Q50" s="5" t="s">
        <v>54</v>
      </c>
      <c r="R50" s="5" t="s">
        <v>207</v>
      </c>
      <c r="S50" s="5" t="s">
        <v>66</v>
      </c>
      <c r="T50" s="1">
        <v>10</v>
      </c>
      <c r="U50" s="1">
        <v>105</v>
      </c>
      <c r="V50" s="1">
        <v>45</v>
      </c>
    </row>
    <row r="51" spans="1:22" x14ac:dyDescent="0.3">
      <c r="A51" s="48">
        <v>44</v>
      </c>
      <c r="B51" s="4"/>
      <c r="C51" s="6" t="s">
        <v>94</v>
      </c>
      <c r="D51" s="5"/>
      <c r="E51" s="5" t="s">
        <v>68</v>
      </c>
      <c r="F51" s="5" t="s">
        <v>210</v>
      </c>
      <c r="G51" s="5" t="s">
        <v>208</v>
      </c>
      <c r="H51" s="5" t="s">
        <v>74</v>
      </c>
      <c r="I51" s="5" t="s">
        <v>53</v>
      </c>
      <c r="J51" s="5" t="s">
        <v>52</v>
      </c>
      <c r="K51" s="5" t="s">
        <v>73</v>
      </c>
      <c r="L51" s="5" t="s">
        <v>55</v>
      </c>
      <c r="M51" s="5" t="s">
        <v>64</v>
      </c>
      <c r="N51" s="5" t="s">
        <v>75</v>
      </c>
      <c r="O51" s="5" t="s">
        <v>59</v>
      </c>
      <c r="P51" s="5" t="s">
        <v>67</v>
      </c>
      <c r="Q51" s="5" t="s">
        <v>54</v>
      </c>
      <c r="R51" s="5" t="s">
        <v>50</v>
      </c>
      <c r="S51" s="5" t="s">
        <v>69</v>
      </c>
      <c r="T51" s="1">
        <v>10</v>
      </c>
      <c r="U51" s="1">
        <v>120</v>
      </c>
      <c r="V51" s="1">
        <v>48</v>
      </c>
    </row>
    <row r="52" spans="1:22" ht="28.8" x14ac:dyDescent="0.3">
      <c r="A52" s="48">
        <v>45</v>
      </c>
      <c r="B52" s="4"/>
      <c r="C52" s="6" t="s">
        <v>107</v>
      </c>
      <c r="D52" s="5"/>
      <c r="E52" s="5" t="s">
        <v>70</v>
      </c>
      <c r="F52" s="5" t="s">
        <v>210</v>
      </c>
      <c r="G52" s="5" t="s">
        <v>57</v>
      </c>
      <c r="H52" s="5" t="s">
        <v>74</v>
      </c>
      <c r="I52" s="5" t="s">
        <v>53</v>
      </c>
      <c r="J52" s="5" t="s">
        <v>52</v>
      </c>
      <c r="K52" s="5" t="s">
        <v>73</v>
      </c>
      <c r="L52" s="5" t="s">
        <v>56</v>
      </c>
      <c r="M52" s="5" t="s">
        <v>64</v>
      </c>
      <c r="N52" s="5" t="s">
        <v>71</v>
      </c>
      <c r="O52" s="5" t="s">
        <v>65</v>
      </c>
      <c r="P52" s="5" t="s">
        <v>67</v>
      </c>
      <c r="Q52" s="5" t="s">
        <v>54</v>
      </c>
      <c r="R52" s="5" t="s">
        <v>207</v>
      </c>
      <c r="S52" s="5" t="s">
        <v>69</v>
      </c>
      <c r="T52" s="1">
        <v>10</v>
      </c>
      <c r="U52" s="1">
        <v>105</v>
      </c>
      <c r="V52" s="1">
        <v>48</v>
      </c>
    </row>
    <row r="53" spans="1:22" ht="43.2" x14ac:dyDescent="0.3">
      <c r="A53" s="48">
        <v>46</v>
      </c>
      <c r="B53" s="4"/>
      <c r="C53" s="6" t="s">
        <v>188</v>
      </c>
      <c r="D53" s="5"/>
      <c r="E53" s="5" t="s">
        <v>70</v>
      </c>
      <c r="F53" s="5" t="s">
        <v>210</v>
      </c>
      <c r="G53" s="5" t="s">
        <v>57</v>
      </c>
      <c r="H53" s="5" t="s">
        <v>74</v>
      </c>
      <c r="I53" s="5" t="s">
        <v>53</v>
      </c>
      <c r="J53" s="5" t="s">
        <v>52</v>
      </c>
      <c r="K53" s="5" t="s">
        <v>73</v>
      </c>
      <c r="L53" s="5" t="s">
        <v>56</v>
      </c>
      <c r="M53" s="5" t="s">
        <v>64</v>
      </c>
      <c r="N53" s="5" t="s">
        <v>75</v>
      </c>
      <c r="O53" s="5" t="s">
        <v>65</v>
      </c>
      <c r="P53" s="5" t="s">
        <v>67</v>
      </c>
      <c r="Q53" s="5" t="s">
        <v>47</v>
      </c>
      <c r="R53" s="5" t="s">
        <v>207</v>
      </c>
      <c r="S53" s="5" t="s">
        <v>69</v>
      </c>
      <c r="T53" s="1">
        <v>10</v>
      </c>
      <c r="U53" s="1">
        <v>105</v>
      </c>
      <c r="V53" s="1">
        <v>52</v>
      </c>
    </row>
    <row r="54" spans="1:22" ht="28.8" x14ac:dyDescent="0.3">
      <c r="A54" s="48">
        <v>47</v>
      </c>
      <c r="B54" s="4"/>
      <c r="C54" s="6" t="s">
        <v>200</v>
      </c>
      <c r="D54" s="5"/>
      <c r="E54" s="5" t="s">
        <v>70</v>
      </c>
      <c r="F54" s="5" t="s">
        <v>61</v>
      </c>
      <c r="G54" s="5" t="s">
        <v>208</v>
      </c>
      <c r="H54" s="5" t="s">
        <v>74</v>
      </c>
      <c r="I54" s="5" t="s">
        <v>53</v>
      </c>
      <c r="J54" s="5" t="s">
        <v>52</v>
      </c>
      <c r="K54" s="5" t="s">
        <v>73</v>
      </c>
      <c r="L54" s="5" t="s">
        <v>55</v>
      </c>
      <c r="M54" s="5" t="s">
        <v>64</v>
      </c>
      <c r="N54" s="5" t="s">
        <v>71</v>
      </c>
      <c r="O54" s="5" t="s">
        <v>59</v>
      </c>
      <c r="P54" s="5" t="s">
        <v>67</v>
      </c>
      <c r="Q54" s="5" t="s">
        <v>54</v>
      </c>
      <c r="R54" s="5" t="s">
        <v>207</v>
      </c>
      <c r="S54" s="5" t="s">
        <v>69</v>
      </c>
      <c r="T54" s="1">
        <v>10</v>
      </c>
      <c r="U54" s="1">
        <v>92</v>
      </c>
      <c r="V54" s="1">
        <v>58</v>
      </c>
    </row>
    <row r="55" spans="1:22" ht="28.8" x14ac:dyDescent="0.3">
      <c r="A55" s="48">
        <v>48</v>
      </c>
      <c r="B55" s="4"/>
      <c r="C55" s="6" t="s">
        <v>196</v>
      </c>
      <c r="D55" s="5"/>
      <c r="E55" s="5" t="s">
        <v>70</v>
      </c>
      <c r="F55" s="5" t="s">
        <v>210</v>
      </c>
      <c r="G55" s="5" t="s">
        <v>208</v>
      </c>
      <c r="H55" s="5" t="s">
        <v>51</v>
      </c>
      <c r="I55" s="5" t="s">
        <v>58</v>
      </c>
      <c r="J55" s="5" t="s">
        <v>52</v>
      </c>
      <c r="K55" s="5" t="s">
        <v>73</v>
      </c>
      <c r="L55" s="5" t="s">
        <v>55</v>
      </c>
      <c r="M55" s="5" t="s">
        <v>63</v>
      </c>
      <c r="N55" s="5" t="s">
        <v>75</v>
      </c>
      <c r="O55" s="5" t="s">
        <v>59</v>
      </c>
      <c r="P55" s="5" t="s">
        <v>67</v>
      </c>
      <c r="Q55" s="5" t="s">
        <v>47</v>
      </c>
      <c r="R55" s="5" t="s">
        <v>50</v>
      </c>
      <c r="S55" s="5" t="s">
        <v>69</v>
      </c>
      <c r="T55" s="1">
        <v>9</v>
      </c>
      <c r="U55" s="1">
        <v>95</v>
      </c>
      <c r="V55" s="1">
        <v>35</v>
      </c>
    </row>
    <row r="56" spans="1:22" ht="28.8" x14ac:dyDescent="0.3">
      <c r="A56" s="48">
        <v>49</v>
      </c>
      <c r="B56" s="4"/>
      <c r="C56" s="6" t="s">
        <v>137</v>
      </c>
      <c r="D56" s="5"/>
      <c r="E56" s="5" t="s">
        <v>68</v>
      </c>
      <c r="F56" s="5" t="s">
        <v>210</v>
      </c>
      <c r="G56" s="5" t="s">
        <v>208</v>
      </c>
      <c r="H56" s="5" t="s">
        <v>74</v>
      </c>
      <c r="I56" s="5" t="s">
        <v>53</v>
      </c>
      <c r="J56" s="5" t="s">
        <v>52</v>
      </c>
      <c r="K56" s="5" t="s">
        <v>73</v>
      </c>
      <c r="L56" s="5" t="s">
        <v>55</v>
      </c>
      <c r="M56" s="5" t="s">
        <v>64</v>
      </c>
      <c r="N56" s="5" t="s">
        <v>75</v>
      </c>
      <c r="O56" s="5" t="s">
        <v>65</v>
      </c>
      <c r="P56" s="5" t="s">
        <v>67</v>
      </c>
      <c r="Q56" s="5" t="s">
        <v>54</v>
      </c>
      <c r="R56" s="5" t="s">
        <v>50</v>
      </c>
      <c r="S56" s="5" t="s">
        <v>69</v>
      </c>
      <c r="T56" s="1">
        <v>9</v>
      </c>
      <c r="U56" s="1">
        <v>102</v>
      </c>
      <c r="V56" s="1">
        <v>35</v>
      </c>
    </row>
    <row r="57" spans="1:22" x14ac:dyDescent="0.3">
      <c r="A57" s="48">
        <v>50</v>
      </c>
      <c r="B57" s="4"/>
      <c r="C57" s="6" t="s">
        <v>18</v>
      </c>
      <c r="D57" s="5"/>
      <c r="E57" s="5" t="s">
        <v>68</v>
      </c>
      <c r="F57" s="5" t="s">
        <v>61</v>
      </c>
      <c r="G57" s="5" t="s">
        <v>57</v>
      </c>
      <c r="H57" s="5" t="s">
        <v>51</v>
      </c>
      <c r="I57" s="5" t="s">
        <v>58</v>
      </c>
      <c r="J57" s="5" t="s">
        <v>72</v>
      </c>
      <c r="K57" s="5" t="s">
        <v>73</v>
      </c>
      <c r="L57" s="5" t="s">
        <v>56</v>
      </c>
      <c r="M57" s="5" t="s">
        <v>64</v>
      </c>
      <c r="N57" s="5" t="s">
        <v>75</v>
      </c>
      <c r="O57" s="5" t="s">
        <v>65</v>
      </c>
      <c r="P57" s="5" t="s">
        <v>60</v>
      </c>
      <c r="Q57" s="5" t="s">
        <v>54</v>
      </c>
      <c r="R57" s="5" t="s">
        <v>207</v>
      </c>
      <c r="S57" s="5" t="s">
        <v>69</v>
      </c>
      <c r="T57" s="1">
        <v>9</v>
      </c>
      <c r="U57" s="1">
        <v>94</v>
      </c>
      <c r="V57" s="1">
        <v>40</v>
      </c>
    </row>
    <row r="58" spans="1:22" ht="28.8" x14ac:dyDescent="0.3">
      <c r="A58" s="48">
        <v>51</v>
      </c>
      <c r="B58" s="4"/>
      <c r="C58" s="6" t="s">
        <v>104</v>
      </c>
      <c r="D58" s="5"/>
      <c r="E58" s="5" t="s">
        <v>68</v>
      </c>
      <c r="F58" s="5" t="s">
        <v>61</v>
      </c>
      <c r="G58" s="5" t="s">
        <v>57</v>
      </c>
      <c r="H58" s="5" t="s">
        <v>51</v>
      </c>
      <c r="I58" s="5" t="s">
        <v>53</v>
      </c>
      <c r="J58" s="5" t="s">
        <v>52</v>
      </c>
      <c r="K58" s="5" t="s">
        <v>73</v>
      </c>
      <c r="L58" s="5" t="s">
        <v>55</v>
      </c>
      <c r="M58" s="5" t="s">
        <v>64</v>
      </c>
      <c r="N58" s="5" t="s">
        <v>71</v>
      </c>
      <c r="O58" s="5" t="s">
        <v>59</v>
      </c>
      <c r="P58" s="5" t="s">
        <v>60</v>
      </c>
      <c r="Q58" s="5" t="s">
        <v>54</v>
      </c>
      <c r="R58" s="5" t="s">
        <v>207</v>
      </c>
      <c r="S58" s="5" t="s">
        <v>66</v>
      </c>
      <c r="T58" s="1">
        <v>9</v>
      </c>
      <c r="U58" s="1">
        <v>101</v>
      </c>
      <c r="V58" s="1">
        <v>40</v>
      </c>
    </row>
    <row r="59" spans="1:22" x14ac:dyDescent="0.3">
      <c r="A59" s="48">
        <v>52</v>
      </c>
      <c r="B59" s="4"/>
      <c r="C59" s="6" t="s">
        <v>19</v>
      </c>
      <c r="D59" s="5"/>
      <c r="E59" s="5" t="s">
        <v>68</v>
      </c>
      <c r="F59" s="5" t="s">
        <v>210</v>
      </c>
      <c r="G59" s="5" t="s">
        <v>208</v>
      </c>
      <c r="H59" s="5" t="s">
        <v>74</v>
      </c>
      <c r="I59" s="5" t="s">
        <v>53</v>
      </c>
      <c r="J59" s="5" t="s">
        <v>52</v>
      </c>
      <c r="K59" s="5" t="s">
        <v>73</v>
      </c>
      <c r="L59" s="5" t="s">
        <v>55</v>
      </c>
      <c r="M59" s="5" t="s">
        <v>64</v>
      </c>
      <c r="N59" s="5" t="s">
        <v>71</v>
      </c>
      <c r="O59" s="5" t="s">
        <v>65</v>
      </c>
      <c r="P59" s="5" t="s">
        <v>67</v>
      </c>
      <c r="Q59" s="5" t="s">
        <v>54</v>
      </c>
      <c r="R59" s="5" t="s">
        <v>207</v>
      </c>
      <c r="S59" s="5" t="s">
        <v>69</v>
      </c>
      <c r="T59" s="1">
        <v>9</v>
      </c>
      <c r="U59" s="1">
        <v>115</v>
      </c>
      <c r="V59" s="1">
        <v>42</v>
      </c>
    </row>
    <row r="60" spans="1:22" x14ac:dyDescent="0.3">
      <c r="A60" s="48">
        <v>53</v>
      </c>
      <c r="B60" s="4"/>
      <c r="C60" s="6" t="s">
        <v>88</v>
      </c>
      <c r="D60" s="5"/>
      <c r="E60" s="5" t="s">
        <v>70</v>
      </c>
      <c r="F60" s="5" t="s">
        <v>61</v>
      </c>
      <c r="G60" s="5" t="s">
        <v>57</v>
      </c>
      <c r="H60" s="5" t="s">
        <v>74</v>
      </c>
      <c r="I60" s="5" t="s">
        <v>58</v>
      </c>
      <c r="J60" s="5" t="s">
        <v>72</v>
      </c>
      <c r="K60" s="5" t="s">
        <v>73</v>
      </c>
      <c r="L60" s="5" t="s">
        <v>56</v>
      </c>
      <c r="M60" s="5" t="s">
        <v>64</v>
      </c>
      <c r="N60" s="5" t="s">
        <v>71</v>
      </c>
      <c r="O60" s="5" t="s">
        <v>59</v>
      </c>
      <c r="P60" s="5" t="s">
        <v>67</v>
      </c>
      <c r="Q60" s="5" t="s">
        <v>47</v>
      </c>
      <c r="R60" s="5" t="s">
        <v>207</v>
      </c>
      <c r="S60" s="5" t="s">
        <v>69</v>
      </c>
      <c r="T60" s="1">
        <v>9</v>
      </c>
      <c r="U60" s="1">
        <v>112</v>
      </c>
      <c r="V60" s="1">
        <v>42</v>
      </c>
    </row>
    <row r="61" spans="1:22" ht="28.8" x14ac:dyDescent="0.3">
      <c r="A61" s="48">
        <v>54</v>
      </c>
      <c r="B61" s="4"/>
      <c r="C61" s="6" t="s">
        <v>133</v>
      </c>
      <c r="D61" s="5"/>
      <c r="E61" s="5" t="s">
        <v>68</v>
      </c>
      <c r="F61" s="5" t="s">
        <v>210</v>
      </c>
      <c r="G61" s="5" t="s">
        <v>57</v>
      </c>
      <c r="H61" s="5" t="s">
        <v>74</v>
      </c>
      <c r="I61" s="5" t="s">
        <v>53</v>
      </c>
      <c r="J61" s="5" t="s">
        <v>52</v>
      </c>
      <c r="K61" s="5" t="s">
        <v>73</v>
      </c>
      <c r="L61" s="5" t="s">
        <v>56</v>
      </c>
      <c r="M61" s="5" t="s">
        <v>64</v>
      </c>
      <c r="N61" s="5" t="s">
        <v>75</v>
      </c>
      <c r="O61" s="5" t="s">
        <v>65</v>
      </c>
      <c r="P61" s="5" t="s">
        <v>67</v>
      </c>
      <c r="Q61" s="5" t="s">
        <v>47</v>
      </c>
      <c r="R61" s="5" t="s">
        <v>207</v>
      </c>
      <c r="S61" s="5" t="s">
        <v>69</v>
      </c>
      <c r="T61" s="1">
        <v>9</v>
      </c>
      <c r="U61" s="1">
        <v>100</v>
      </c>
      <c r="V61" s="1">
        <v>42</v>
      </c>
    </row>
    <row r="62" spans="1:22" x14ac:dyDescent="0.3">
      <c r="A62" s="48">
        <v>55</v>
      </c>
      <c r="B62" s="4"/>
      <c r="C62" s="6" t="s">
        <v>33</v>
      </c>
      <c r="D62" s="5"/>
      <c r="E62" s="5" t="s">
        <v>70</v>
      </c>
      <c r="F62" s="5" t="s">
        <v>61</v>
      </c>
      <c r="G62" s="5" t="s">
        <v>208</v>
      </c>
      <c r="H62" s="5" t="s">
        <v>51</v>
      </c>
      <c r="I62" s="5" t="s">
        <v>53</v>
      </c>
      <c r="J62" s="5" t="s">
        <v>72</v>
      </c>
      <c r="K62" s="5" t="s">
        <v>73</v>
      </c>
      <c r="L62" s="5" t="s">
        <v>55</v>
      </c>
      <c r="M62" s="5" t="s">
        <v>64</v>
      </c>
      <c r="N62" s="5" t="s">
        <v>75</v>
      </c>
      <c r="O62" s="5" t="s">
        <v>65</v>
      </c>
      <c r="P62" s="5" t="s">
        <v>60</v>
      </c>
      <c r="Q62" s="5" t="s">
        <v>54</v>
      </c>
      <c r="R62" s="5" t="s">
        <v>207</v>
      </c>
      <c r="S62" s="5" t="s">
        <v>69</v>
      </c>
      <c r="T62" s="1">
        <v>9</v>
      </c>
      <c r="U62" s="1">
        <v>103</v>
      </c>
      <c r="V62" s="1">
        <v>42</v>
      </c>
    </row>
    <row r="63" spans="1:22" x14ac:dyDescent="0.3">
      <c r="A63" s="48">
        <v>56</v>
      </c>
      <c r="B63" s="4"/>
      <c r="C63" s="6" t="s">
        <v>157</v>
      </c>
      <c r="D63" s="5"/>
      <c r="E63" s="5" t="s">
        <v>68</v>
      </c>
      <c r="F63" s="5" t="s">
        <v>210</v>
      </c>
      <c r="G63" s="5" t="s">
        <v>208</v>
      </c>
      <c r="H63" s="5" t="s">
        <v>51</v>
      </c>
      <c r="I63" s="5" t="s">
        <v>53</v>
      </c>
      <c r="J63" s="5" t="s">
        <v>52</v>
      </c>
      <c r="K63" s="5" t="s">
        <v>73</v>
      </c>
      <c r="L63" s="5" t="s">
        <v>55</v>
      </c>
      <c r="M63" s="5" t="s">
        <v>64</v>
      </c>
      <c r="N63" s="5" t="s">
        <v>71</v>
      </c>
      <c r="O63" s="5" t="s">
        <v>59</v>
      </c>
      <c r="P63" s="5" t="s">
        <v>60</v>
      </c>
      <c r="Q63" s="5" t="s">
        <v>54</v>
      </c>
      <c r="R63" s="5" t="s">
        <v>207</v>
      </c>
      <c r="S63" s="5" t="s">
        <v>66</v>
      </c>
      <c r="T63" s="1">
        <v>9</v>
      </c>
      <c r="U63" s="1">
        <v>102</v>
      </c>
      <c r="V63" s="1">
        <v>42</v>
      </c>
    </row>
    <row r="64" spans="1:22" x14ac:dyDescent="0.3">
      <c r="A64" s="48">
        <v>57</v>
      </c>
      <c r="B64" s="4"/>
      <c r="C64" s="6" t="s">
        <v>183</v>
      </c>
      <c r="D64" s="5"/>
      <c r="E64" s="5" t="s">
        <v>68</v>
      </c>
      <c r="F64" s="5" t="s">
        <v>210</v>
      </c>
      <c r="G64" s="5" t="s">
        <v>57</v>
      </c>
      <c r="H64" s="5" t="s">
        <v>74</v>
      </c>
      <c r="I64" s="5" t="s">
        <v>53</v>
      </c>
      <c r="J64" s="5" t="s">
        <v>52</v>
      </c>
      <c r="K64" s="5" t="s">
        <v>73</v>
      </c>
      <c r="L64" s="5" t="s">
        <v>55</v>
      </c>
      <c r="M64" s="5" t="s">
        <v>64</v>
      </c>
      <c r="N64" s="5" t="s">
        <v>71</v>
      </c>
      <c r="O64" s="5" t="s">
        <v>65</v>
      </c>
      <c r="P64" s="5" t="s">
        <v>67</v>
      </c>
      <c r="Q64" s="5" t="s">
        <v>47</v>
      </c>
      <c r="R64" s="5" t="s">
        <v>207</v>
      </c>
      <c r="S64" s="5" t="s">
        <v>69</v>
      </c>
      <c r="T64" s="1">
        <v>9</v>
      </c>
      <c r="U64" s="1">
        <v>101</v>
      </c>
      <c r="V64" s="1">
        <v>42</v>
      </c>
    </row>
    <row r="65" spans="1:22" ht="28.8" x14ac:dyDescent="0.3">
      <c r="A65" s="48">
        <v>58</v>
      </c>
      <c r="B65" s="4"/>
      <c r="C65" s="6" t="s">
        <v>9</v>
      </c>
      <c r="D65" s="5"/>
      <c r="E65" s="5" t="s">
        <v>68</v>
      </c>
      <c r="F65" s="5" t="s">
        <v>210</v>
      </c>
      <c r="G65" s="5" t="s">
        <v>57</v>
      </c>
      <c r="H65" s="5" t="s">
        <v>74</v>
      </c>
      <c r="I65" s="5" t="s">
        <v>53</v>
      </c>
      <c r="J65" s="5" t="s">
        <v>52</v>
      </c>
      <c r="K65" s="5" t="s">
        <v>73</v>
      </c>
      <c r="L65" s="5" t="s">
        <v>55</v>
      </c>
      <c r="M65" s="5" t="s">
        <v>64</v>
      </c>
      <c r="N65" s="5" t="s">
        <v>71</v>
      </c>
      <c r="O65" s="5" t="s">
        <v>65</v>
      </c>
      <c r="P65" s="5" t="s">
        <v>60</v>
      </c>
      <c r="Q65" s="5" t="s">
        <v>47</v>
      </c>
      <c r="R65" s="5" t="s">
        <v>207</v>
      </c>
      <c r="S65" s="5" t="s">
        <v>66</v>
      </c>
      <c r="T65" s="1">
        <v>9</v>
      </c>
      <c r="U65" s="1">
        <v>116</v>
      </c>
      <c r="V65" s="1">
        <v>42</v>
      </c>
    </row>
    <row r="66" spans="1:22" ht="28.8" x14ac:dyDescent="0.3">
      <c r="A66" s="48">
        <v>59</v>
      </c>
      <c r="B66" s="4"/>
      <c r="C66" s="6" t="s">
        <v>182</v>
      </c>
      <c r="D66" s="5"/>
      <c r="E66" s="5" t="s">
        <v>70</v>
      </c>
      <c r="F66" s="5" t="s">
        <v>210</v>
      </c>
      <c r="G66" s="5" t="s">
        <v>57</v>
      </c>
      <c r="H66" s="5" t="s">
        <v>74</v>
      </c>
      <c r="I66" s="5" t="s">
        <v>58</v>
      </c>
      <c r="J66" s="5" t="s">
        <v>72</v>
      </c>
      <c r="K66" s="5" t="s">
        <v>73</v>
      </c>
      <c r="L66" s="5" t="s">
        <v>55</v>
      </c>
      <c r="M66" s="5" t="s">
        <v>64</v>
      </c>
      <c r="N66" s="5" t="s">
        <v>71</v>
      </c>
      <c r="O66" s="5" t="s">
        <v>65</v>
      </c>
      <c r="P66" s="5" t="s">
        <v>67</v>
      </c>
      <c r="Q66" s="5" t="s">
        <v>54</v>
      </c>
      <c r="R66" s="5" t="s">
        <v>50</v>
      </c>
      <c r="S66" s="5" t="s">
        <v>66</v>
      </c>
      <c r="T66" s="1">
        <v>9</v>
      </c>
      <c r="U66" s="1">
        <v>81</v>
      </c>
      <c r="V66" s="1">
        <v>42</v>
      </c>
    </row>
    <row r="67" spans="1:22" x14ac:dyDescent="0.3">
      <c r="A67" s="48">
        <v>60</v>
      </c>
      <c r="B67" s="4"/>
      <c r="C67" s="6" t="s">
        <v>45</v>
      </c>
      <c r="D67" s="5"/>
      <c r="E67" s="5" t="s">
        <v>70</v>
      </c>
      <c r="F67" s="5" t="s">
        <v>210</v>
      </c>
      <c r="G67" s="5" t="s">
        <v>208</v>
      </c>
      <c r="H67" s="5" t="s">
        <v>74</v>
      </c>
      <c r="I67" s="5" t="s">
        <v>53</v>
      </c>
      <c r="J67" s="5" t="s">
        <v>52</v>
      </c>
      <c r="K67" s="5" t="s">
        <v>62</v>
      </c>
      <c r="L67" s="5" t="s">
        <v>55</v>
      </c>
      <c r="M67" s="5" t="s">
        <v>64</v>
      </c>
      <c r="N67" s="5" t="s">
        <v>71</v>
      </c>
      <c r="O67" s="5" t="s">
        <v>65</v>
      </c>
      <c r="P67" s="5" t="s">
        <v>67</v>
      </c>
      <c r="Q67" s="5" t="s">
        <v>54</v>
      </c>
      <c r="R67" s="5" t="s">
        <v>207</v>
      </c>
      <c r="S67" s="5" t="s">
        <v>69</v>
      </c>
      <c r="T67" s="1">
        <v>9</v>
      </c>
      <c r="U67" s="1">
        <v>94</v>
      </c>
      <c r="V67" s="1">
        <v>44</v>
      </c>
    </row>
    <row r="68" spans="1:22" ht="28.8" x14ac:dyDescent="0.3">
      <c r="A68" s="48">
        <v>61</v>
      </c>
      <c r="B68" s="4"/>
      <c r="C68" s="6" t="s">
        <v>117</v>
      </c>
      <c r="D68" s="5"/>
      <c r="E68" s="5" t="s">
        <v>68</v>
      </c>
      <c r="F68" s="5" t="s">
        <v>210</v>
      </c>
      <c r="G68" s="5" t="s">
        <v>57</v>
      </c>
      <c r="H68" s="5" t="s">
        <v>74</v>
      </c>
      <c r="I68" s="5" t="s">
        <v>53</v>
      </c>
      <c r="J68" s="5" t="s">
        <v>52</v>
      </c>
      <c r="K68" s="5" t="s">
        <v>73</v>
      </c>
      <c r="L68" s="5" t="s">
        <v>56</v>
      </c>
      <c r="M68" s="5" t="s">
        <v>64</v>
      </c>
      <c r="N68" s="5" t="s">
        <v>71</v>
      </c>
      <c r="O68" s="5" t="s">
        <v>59</v>
      </c>
      <c r="P68" s="5" t="s">
        <v>67</v>
      </c>
      <c r="Q68" s="5" t="s">
        <v>47</v>
      </c>
      <c r="R68" s="5" t="s">
        <v>207</v>
      </c>
      <c r="S68" s="5" t="s">
        <v>69</v>
      </c>
      <c r="T68" s="1">
        <v>9</v>
      </c>
      <c r="U68" s="1">
        <v>113</v>
      </c>
      <c r="V68" s="1">
        <v>44</v>
      </c>
    </row>
    <row r="69" spans="1:22" x14ac:dyDescent="0.3">
      <c r="A69" s="48">
        <v>62</v>
      </c>
      <c r="B69" s="4"/>
      <c r="C69" s="6" t="s">
        <v>43</v>
      </c>
      <c r="D69" s="5"/>
      <c r="E69" s="5" t="s">
        <v>68</v>
      </c>
      <c r="F69" s="5" t="s">
        <v>61</v>
      </c>
      <c r="G69" s="5" t="s">
        <v>208</v>
      </c>
      <c r="H69" s="5" t="s">
        <v>74</v>
      </c>
      <c r="I69" s="5" t="s">
        <v>53</v>
      </c>
      <c r="J69" s="5" t="s">
        <v>52</v>
      </c>
      <c r="K69" s="5" t="s">
        <v>73</v>
      </c>
      <c r="L69" s="5" t="s">
        <v>55</v>
      </c>
      <c r="M69" s="5" t="s">
        <v>63</v>
      </c>
      <c r="N69" s="5" t="s">
        <v>71</v>
      </c>
      <c r="O69" s="5" t="s">
        <v>59</v>
      </c>
      <c r="P69" s="5" t="s">
        <v>60</v>
      </c>
      <c r="Q69" s="5" t="s">
        <v>54</v>
      </c>
      <c r="R69" s="5" t="s">
        <v>207</v>
      </c>
      <c r="S69" s="5" t="s">
        <v>69</v>
      </c>
      <c r="T69" s="1">
        <v>9</v>
      </c>
      <c r="U69" s="1">
        <v>109</v>
      </c>
      <c r="V69" s="1">
        <v>44</v>
      </c>
    </row>
    <row r="70" spans="1:22" ht="28.8" x14ac:dyDescent="0.3">
      <c r="A70" s="48">
        <v>63</v>
      </c>
      <c r="B70" s="4"/>
      <c r="C70" s="6" t="s">
        <v>28</v>
      </c>
      <c r="D70" s="5"/>
      <c r="E70" s="5" t="s">
        <v>70</v>
      </c>
      <c r="F70" s="5" t="s">
        <v>210</v>
      </c>
      <c r="G70" s="5" t="s">
        <v>57</v>
      </c>
      <c r="H70" s="5" t="s">
        <v>74</v>
      </c>
      <c r="I70" s="5" t="s">
        <v>53</v>
      </c>
      <c r="J70" s="5" t="s">
        <v>72</v>
      </c>
      <c r="K70" s="5" t="s">
        <v>73</v>
      </c>
      <c r="L70" s="5" t="s">
        <v>55</v>
      </c>
      <c r="M70" s="5" t="s">
        <v>63</v>
      </c>
      <c r="N70" s="5" t="s">
        <v>71</v>
      </c>
      <c r="O70" s="5" t="s">
        <v>65</v>
      </c>
      <c r="P70" s="5" t="s">
        <v>60</v>
      </c>
      <c r="Q70" s="5" t="s">
        <v>54</v>
      </c>
      <c r="R70" s="5" t="s">
        <v>50</v>
      </c>
      <c r="S70" s="5" t="s">
        <v>69</v>
      </c>
      <c r="T70" s="1">
        <v>9</v>
      </c>
      <c r="U70" s="1">
        <v>97</v>
      </c>
      <c r="V70" s="1">
        <v>45</v>
      </c>
    </row>
    <row r="71" spans="1:22" x14ac:dyDescent="0.3">
      <c r="A71" s="48">
        <v>64</v>
      </c>
      <c r="B71" s="4"/>
      <c r="C71" s="6" t="s">
        <v>79</v>
      </c>
      <c r="D71" s="5"/>
      <c r="E71" s="5" t="s">
        <v>70</v>
      </c>
      <c r="F71" s="5" t="s">
        <v>210</v>
      </c>
      <c r="G71" s="5" t="s">
        <v>208</v>
      </c>
      <c r="H71" s="5" t="s">
        <v>74</v>
      </c>
      <c r="I71" s="5" t="s">
        <v>53</v>
      </c>
      <c r="J71" s="5" t="s">
        <v>52</v>
      </c>
      <c r="K71" s="5" t="s">
        <v>73</v>
      </c>
      <c r="L71" s="5" t="s">
        <v>55</v>
      </c>
      <c r="M71" s="5" t="s">
        <v>64</v>
      </c>
      <c r="N71" s="5" t="s">
        <v>71</v>
      </c>
      <c r="O71" s="5" t="s">
        <v>65</v>
      </c>
      <c r="P71" s="5" t="s">
        <v>67</v>
      </c>
      <c r="Q71" s="5" t="s">
        <v>54</v>
      </c>
      <c r="R71" s="5" t="s">
        <v>50</v>
      </c>
      <c r="S71" s="5" t="s">
        <v>69</v>
      </c>
      <c r="T71" s="1">
        <v>9</v>
      </c>
      <c r="U71" s="1">
        <v>104</v>
      </c>
      <c r="V71" s="1">
        <v>45</v>
      </c>
    </row>
    <row r="72" spans="1:22" x14ac:dyDescent="0.3">
      <c r="A72" s="48">
        <v>65</v>
      </c>
      <c r="B72" s="4"/>
      <c r="C72" s="6" t="s">
        <v>180</v>
      </c>
      <c r="D72" s="5"/>
      <c r="E72" s="5" t="s">
        <v>70</v>
      </c>
      <c r="F72" s="5" t="s">
        <v>61</v>
      </c>
      <c r="G72" s="5" t="s">
        <v>57</v>
      </c>
      <c r="H72" s="5" t="s">
        <v>74</v>
      </c>
      <c r="I72" s="5" t="s">
        <v>53</v>
      </c>
      <c r="J72" s="5" t="s">
        <v>52</v>
      </c>
      <c r="K72" s="5" t="s">
        <v>73</v>
      </c>
      <c r="L72" s="5" t="s">
        <v>55</v>
      </c>
      <c r="M72" s="5" t="s">
        <v>63</v>
      </c>
      <c r="N72" s="5" t="s">
        <v>71</v>
      </c>
      <c r="O72" s="5" t="s">
        <v>65</v>
      </c>
      <c r="P72" s="5" t="s">
        <v>60</v>
      </c>
      <c r="Q72" s="5" t="s">
        <v>47</v>
      </c>
      <c r="R72" s="5" t="s">
        <v>207</v>
      </c>
      <c r="S72" s="5" t="s">
        <v>69</v>
      </c>
      <c r="T72" s="1">
        <v>9</v>
      </c>
      <c r="U72" s="1">
        <v>112</v>
      </c>
      <c r="V72" s="1">
        <v>45</v>
      </c>
    </row>
    <row r="73" spans="1:22" ht="28.8" x14ac:dyDescent="0.3">
      <c r="A73" s="48">
        <v>66</v>
      </c>
      <c r="B73" s="4"/>
      <c r="C73" s="6" t="s">
        <v>177</v>
      </c>
      <c r="D73" s="5"/>
      <c r="E73" s="5" t="s">
        <v>68</v>
      </c>
      <c r="F73" s="5" t="s">
        <v>210</v>
      </c>
      <c r="G73" s="5" t="s">
        <v>57</v>
      </c>
      <c r="H73" s="5" t="s">
        <v>74</v>
      </c>
      <c r="I73" s="5" t="s">
        <v>53</v>
      </c>
      <c r="J73" s="5" t="s">
        <v>52</v>
      </c>
      <c r="K73" s="5" t="s">
        <v>73</v>
      </c>
      <c r="L73" s="5" t="s">
        <v>55</v>
      </c>
      <c r="M73" s="5" t="s">
        <v>63</v>
      </c>
      <c r="N73" s="5" t="s">
        <v>71</v>
      </c>
      <c r="O73" s="5" t="s">
        <v>65</v>
      </c>
      <c r="P73" s="5" t="s">
        <v>60</v>
      </c>
      <c r="Q73" s="5" t="s">
        <v>47</v>
      </c>
      <c r="R73" s="5" t="s">
        <v>207</v>
      </c>
      <c r="S73" s="5" t="s">
        <v>69</v>
      </c>
      <c r="T73" s="1">
        <v>9</v>
      </c>
      <c r="U73" s="1">
        <v>114</v>
      </c>
      <c r="V73" s="1">
        <v>45</v>
      </c>
    </row>
    <row r="74" spans="1:22" ht="28.8" x14ac:dyDescent="0.3">
      <c r="A74" s="48">
        <v>67</v>
      </c>
      <c r="B74" s="4"/>
      <c r="C74" s="6" t="s">
        <v>103</v>
      </c>
      <c r="D74" s="5"/>
      <c r="E74" s="5" t="s">
        <v>68</v>
      </c>
      <c r="F74" s="5" t="s">
        <v>210</v>
      </c>
      <c r="G74" s="5" t="s">
        <v>208</v>
      </c>
      <c r="H74" s="5" t="s">
        <v>74</v>
      </c>
      <c r="I74" s="5" t="s">
        <v>53</v>
      </c>
      <c r="J74" s="5" t="s">
        <v>52</v>
      </c>
      <c r="K74" s="5" t="s">
        <v>73</v>
      </c>
      <c r="L74" s="5" t="s">
        <v>55</v>
      </c>
      <c r="M74" s="5" t="s">
        <v>64</v>
      </c>
      <c r="N74" s="5" t="s">
        <v>75</v>
      </c>
      <c r="O74" s="5" t="s">
        <v>59</v>
      </c>
      <c r="P74" s="5" t="s">
        <v>67</v>
      </c>
      <c r="Q74" s="5" t="s">
        <v>47</v>
      </c>
      <c r="R74" s="5" t="s">
        <v>207</v>
      </c>
      <c r="S74" s="5" t="s">
        <v>66</v>
      </c>
      <c r="T74" s="1">
        <v>9</v>
      </c>
      <c r="U74" s="1">
        <v>111</v>
      </c>
      <c r="V74" s="1">
        <v>45</v>
      </c>
    </row>
    <row r="75" spans="1:22" x14ac:dyDescent="0.3">
      <c r="A75" s="48">
        <v>68</v>
      </c>
      <c r="B75" s="4"/>
      <c r="C75" s="6" t="s">
        <v>85</v>
      </c>
      <c r="D75" s="5"/>
      <c r="E75" s="5" t="s">
        <v>70</v>
      </c>
      <c r="F75" s="5" t="s">
        <v>210</v>
      </c>
      <c r="G75" s="5" t="s">
        <v>208</v>
      </c>
      <c r="H75" s="5" t="s">
        <v>74</v>
      </c>
      <c r="I75" s="5" t="s">
        <v>53</v>
      </c>
      <c r="J75" s="5" t="s">
        <v>52</v>
      </c>
      <c r="K75" s="5" t="s">
        <v>73</v>
      </c>
      <c r="L75" s="5" t="s">
        <v>56</v>
      </c>
      <c r="M75" s="5" t="s">
        <v>64</v>
      </c>
      <c r="N75" s="5" t="s">
        <v>75</v>
      </c>
      <c r="O75" s="5" t="s">
        <v>59</v>
      </c>
      <c r="P75" s="5" t="s">
        <v>67</v>
      </c>
      <c r="Q75" s="5" t="s">
        <v>47</v>
      </c>
      <c r="R75" s="5" t="s">
        <v>50</v>
      </c>
      <c r="S75" s="5" t="s">
        <v>69</v>
      </c>
      <c r="T75" s="1">
        <v>9</v>
      </c>
      <c r="U75" s="1">
        <v>113</v>
      </c>
      <c r="V75" s="1">
        <v>45</v>
      </c>
    </row>
    <row r="76" spans="1:22" ht="28.8" x14ac:dyDescent="0.3">
      <c r="A76" s="48">
        <v>69</v>
      </c>
      <c r="B76" s="4"/>
      <c r="C76" s="6" t="s">
        <v>139</v>
      </c>
      <c r="D76" s="5"/>
      <c r="E76" s="5" t="s">
        <v>68</v>
      </c>
      <c r="F76" s="5" t="s">
        <v>210</v>
      </c>
      <c r="G76" s="5" t="s">
        <v>57</v>
      </c>
      <c r="H76" s="5" t="s">
        <v>51</v>
      </c>
      <c r="I76" s="5" t="s">
        <v>53</v>
      </c>
      <c r="J76" s="5" t="s">
        <v>72</v>
      </c>
      <c r="K76" s="5" t="s">
        <v>73</v>
      </c>
      <c r="L76" s="5" t="s">
        <v>55</v>
      </c>
      <c r="M76" s="5" t="s">
        <v>64</v>
      </c>
      <c r="N76" s="5" t="s">
        <v>75</v>
      </c>
      <c r="O76" s="5" t="s">
        <v>65</v>
      </c>
      <c r="P76" s="5" t="s">
        <v>67</v>
      </c>
      <c r="Q76" s="5" t="s">
        <v>54</v>
      </c>
      <c r="R76" s="5" t="s">
        <v>207</v>
      </c>
      <c r="S76" s="5" t="s">
        <v>69</v>
      </c>
      <c r="T76" s="1">
        <v>9</v>
      </c>
      <c r="U76" s="1">
        <v>120</v>
      </c>
      <c r="V76" s="1">
        <v>45</v>
      </c>
    </row>
    <row r="77" spans="1:22" ht="43.2" x14ac:dyDescent="0.3">
      <c r="A77" s="48">
        <v>70</v>
      </c>
      <c r="B77" s="4"/>
      <c r="C77" s="6" t="s">
        <v>132</v>
      </c>
      <c r="D77" s="5"/>
      <c r="E77" s="5" t="s">
        <v>70</v>
      </c>
      <c r="F77" s="5" t="s">
        <v>61</v>
      </c>
      <c r="G77" s="5" t="s">
        <v>208</v>
      </c>
      <c r="H77" s="5" t="s">
        <v>74</v>
      </c>
      <c r="I77" s="5" t="s">
        <v>53</v>
      </c>
      <c r="J77" s="5" t="s">
        <v>52</v>
      </c>
      <c r="K77" s="5" t="s">
        <v>73</v>
      </c>
      <c r="L77" s="5" t="s">
        <v>56</v>
      </c>
      <c r="M77" s="5" t="s">
        <v>64</v>
      </c>
      <c r="N77" s="5" t="s">
        <v>75</v>
      </c>
      <c r="O77" s="5" t="s">
        <v>59</v>
      </c>
      <c r="P77" s="5" t="s">
        <v>67</v>
      </c>
      <c r="Q77" s="5" t="s">
        <v>54</v>
      </c>
      <c r="R77" s="5" t="s">
        <v>207</v>
      </c>
      <c r="S77" s="5" t="s">
        <v>66</v>
      </c>
      <c r="T77" s="1">
        <v>9</v>
      </c>
      <c r="U77" s="1">
        <v>101</v>
      </c>
      <c r="V77" s="1">
        <v>46</v>
      </c>
    </row>
    <row r="78" spans="1:22" ht="28.8" x14ac:dyDescent="0.3">
      <c r="A78" s="48">
        <v>71</v>
      </c>
      <c r="B78" s="4"/>
      <c r="C78" s="6" t="s">
        <v>192</v>
      </c>
      <c r="D78" s="5"/>
      <c r="E78" s="5" t="s">
        <v>70</v>
      </c>
      <c r="F78" s="5" t="s">
        <v>210</v>
      </c>
      <c r="G78" s="5" t="s">
        <v>57</v>
      </c>
      <c r="H78" s="5" t="s">
        <v>74</v>
      </c>
      <c r="I78" s="5" t="s">
        <v>53</v>
      </c>
      <c r="J78" s="5" t="s">
        <v>52</v>
      </c>
      <c r="K78" s="5" t="s">
        <v>62</v>
      </c>
      <c r="L78" s="5" t="s">
        <v>56</v>
      </c>
      <c r="M78" s="5" t="s">
        <v>63</v>
      </c>
      <c r="N78" s="5" t="s">
        <v>75</v>
      </c>
      <c r="O78" s="5" t="s">
        <v>59</v>
      </c>
      <c r="P78" s="5" t="s">
        <v>60</v>
      </c>
      <c r="Q78" s="5" t="s">
        <v>47</v>
      </c>
      <c r="R78" s="5" t="s">
        <v>207</v>
      </c>
      <c r="S78" s="5" t="s">
        <v>66</v>
      </c>
      <c r="T78" s="1">
        <v>9</v>
      </c>
      <c r="U78" s="1">
        <v>119</v>
      </c>
      <c r="V78" s="1">
        <v>47</v>
      </c>
    </row>
    <row r="79" spans="1:22" x14ac:dyDescent="0.3">
      <c r="A79" s="48">
        <v>72</v>
      </c>
      <c r="B79" s="4"/>
      <c r="C79" s="6" t="s">
        <v>187</v>
      </c>
      <c r="D79" s="5"/>
      <c r="E79" s="5" t="s">
        <v>70</v>
      </c>
      <c r="F79" s="5" t="s">
        <v>210</v>
      </c>
      <c r="G79" s="5" t="s">
        <v>208</v>
      </c>
      <c r="H79" s="5" t="s">
        <v>51</v>
      </c>
      <c r="I79" s="5" t="s">
        <v>53</v>
      </c>
      <c r="J79" s="5" t="s">
        <v>52</v>
      </c>
      <c r="K79" s="5" t="s">
        <v>62</v>
      </c>
      <c r="L79" s="5" t="s">
        <v>56</v>
      </c>
      <c r="M79" s="5" t="s">
        <v>64</v>
      </c>
      <c r="N79" s="5" t="s">
        <v>75</v>
      </c>
      <c r="O79" s="5" t="s">
        <v>59</v>
      </c>
      <c r="P79" s="5" t="s">
        <v>67</v>
      </c>
      <c r="Q79" s="5" t="s">
        <v>54</v>
      </c>
      <c r="R79" s="5" t="s">
        <v>207</v>
      </c>
      <c r="S79" s="5" t="s">
        <v>69</v>
      </c>
      <c r="T79" s="1">
        <v>9</v>
      </c>
      <c r="U79" s="1">
        <v>108</v>
      </c>
      <c r="V79" s="1">
        <v>47</v>
      </c>
    </row>
    <row r="80" spans="1:22" ht="28.8" x14ac:dyDescent="0.3">
      <c r="A80" s="48">
        <v>73</v>
      </c>
      <c r="B80" s="4"/>
      <c r="C80" s="6" t="s">
        <v>92</v>
      </c>
      <c r="D80" s="5"/>
      <c r="E80" s="5" t="s">
        <v>68</v>
      </c>
      <c r="F80" s="5" t="s">
        <v>61</v>
      </c>
      <c r="G80" s="5" t="s">
        <v>208</v>
      </c>
      <c r="H80" s="5" t="s">
        <v>74</v>
      </c>
      <c r="I80" s="5" t="s">
        <v>53</v>
      </c>
      <c r="J80" s="5" t="s">
        <v>52</v>
      </c>
      <c r="K80" s="5" t="s">
        <v>73</v>
      </c>
      <c r="L80" s="5" t="s">
        <v>55</v>
      </c>
      <c r="M80" s="5" t="s">
        <v>64</v>
      </c>
      <c r="N80" s="5" t="s">
        <v>75</v>
      </c>
      <c r="O80" s="5" t="s">
        <v>65</v>
      </c>
      <c r="P80" s="5" t="s">
        <v>67</v>
      </c>
      <c r="Q80" s="5" t="s">
        <v>54</v>
      </c>
      <c r="R80" s="5" t="s">
        <v>207</v>
      </c>
      <c r="S80" s="5" t="s">
        <v>69</v>
      </c>
      <c r="T80" s="1">
        <v>9</v>
      </c>
      <c r="U80" s="1">
        <v>98</v>
      </c>
      <c r="V80" s="1">
        <v>48</v>
      </c>
    </row>
    <row r="81" spans="1:22" ht="28.8" x14ac:dyDescent="0.3">
      <c r="A81" s="48">
        <v>74</v>
      </c>
      <c r="B81" s="4"/>
      <c r="C81" s="6" t="s">
        <v>176</v>
      </c>
      <c r="D81" s="5"/>
      <c r="E81" s="5" t="s">
        <v>68</v>
      </c>
      <c r="F81" s="5" t="s">
        <v>210</v>
      </c>
      <c r="G81" s="5" t="s">
        <v>208</v>
      </c>
      <c r="H81" s="5" t="s">
        <v>51</v>
      </c>
      <c r="I81" s="5" t="s">
        <v>53</v>
      </c>
      <c r="J81" s="5" t="s">
        <v>52</v>
      </c>
      <c r="K81" s="5" t="s">
        <v>73</v>
      </c>
      <c r="L81" s="5" t="s">
        <v>55</v>
      </c>
      <c r="M81" s="5" t="s">
        <v>64</v>
      </c>
      <c r="N81" s="5" t="s">
        <v>71</v>
      </c>
      <c r="O81" s="5" t="s">
        <v>59</v>
      </c>
      <c r="P81" s="5" t="s">
        <v>67</v>
      </c>
      <c r="Q81" s="5" t="s">
        <v>54</v>
      </c>
      <c r="R81" s="5" t="s">
        <v>207</v>
      </c>
      <c r="S81" s="5" t="s">
        <v>69</v>
      </c>
      <c r="T81" s="1">
        <v>9</v>
      </c>
      <c r="U81" s="1">
        <v>110</v>
      </c>
      <c r="V81" s="1">
        <v>52</v>
      </c>
    </row>
    <row r="82" spans="1:22" x14ac:dyDescent="0.3">
      <c r="A82" s="48">
        <v>75</v>
      </c>
      <c r="B82" s="4"/>
      <c r="C82" s="6" t="s">
        <v>128</v>
      </c>
      <c r="D82" s="5"/>
      <c r="E82" s="5" t="s">
        <v>70</v>
      </c>
      <c r="F82" s="5" t="s">
        <v>61</v>
      </c>
      <c r="G82" s="5" t="s">
        <v>208</v>
      </c>
      <c r="H82" s="5" t="s">
        <v>51</v>
      </c>
      <c r="I82" s="5" t="s">
        <v>58</v>
      </c>
      <c r="J82" s="5" t="s">
        <v>72</v>
      </c>
      <c r="K82" s="5" t="s">
        <v>73</v>
      </c>
      <c r="L82" s="5" t="s">
        <v>55</v>
      </c>
      <c r="M82" s="5" t="s">
        <v>64</v>
      </c>
      <c r="N82" s="5" t="s">
        <v>75</v>
      </c>
      <c r="O82" s="5" t="s">
        <v>59</v>
      </c>
      <c r="P82" s="5" t="s">
        <v>67</v>
      </c>
      <c r="Q82" s="5" t="s">
        <v>54</v>
      </c>
      <c r="R82" s="5" t="s">
        <v>207</v>
      </c>
      <c r="S82" s="5" t="s">
        <v>66</v>
      </c>
      <c r="T82" s="1">
        <v>9</v>
      </c>
      <c r="U82" s="1">
        <v>98</v>
      </c>
      <c r="V82" s="1">
        <v>55</v>
      </c>
    </row>
    <row r="83" spans="1:22" x14ac:dyDescent="0.3">
      <c r="A83" s="48">
        <v>76</v>
      </c>
      <c r="B83" s="4"/>
      <c r="C83" s="6" t="s">
        <v>110</v>
      </c>
      <c r="D83" s="5"/>
      <c r="E83" s="5" t="s">
        <v>68</v>
      </c>
      <c r="F83" s="5" t="s">
        <v>61</v>
      </c>
      <c r="G83" s="5" t="s">
        <v>57</v>
      </c>
      <c r="H83" s="5" t="s">
        <v>74</v>
      </c>
      <c r="I83" s="5" t="s">
        <v>53</v>
      </c>
      <c r="J83" s="5" t="s">
        <v>52</v>
      </c>
      <c r="K83" s="5" t="s">
        <v>73</v>
      </c>
      <c r="L83" s="5" t="s">
        <v>56</v>
      </c>
      <c r="M83" s="5" t="s">
        <v>64</v>
      </c>
      <c r="N83" s="5" t="s">
        <v>71</v>
      </c>
      <c r="O83" s="5" t="s">
        <v>65</v>
      </c>
      <c r="P83" s="5" t="s">
        <v>67</v>
      </c>
      <c r="Q83" s="5" t="s">
        <v>54</v>
      </c>
      <c r="R83" s="5" t="s">
        <v>207</v>
      </c>
      <c r="S83" s="5" t="s">
        <v>69</v>
      </c>
      <c r="T83" s="1">
        <v>8</v>
      </c>
      <c r="U83" s="1">
        <v>112</v>
      </c>
      <c r="V83" s="1">
        <v>35</v>
      </c>
    </row>
    <row r="84" spans="1:22" ht="28.8" x14ac:dyDescent="0.3">
      <c r="A84" s="48">
        <v>77</v>
      </c>
      <c r="B84" s="4"/>
      <c r="C84" s="6" t="s">
        <v>134</v>
      </c>
      <c r="D84" s="5"/>
      <c r="E84" s="5" t="s">
        <v>70</v>
      </c>
      <c r="F84" s="5" t="s">
        <v>61</v>
      </c>
      <c r="G84" s="5" t="s">
        <v>208</v>
      </c>
      <c r="H84" s="5" t="s">
        <v>51</v>
      </c>
      <c r="I84" s="5" t="s">
        <v>53</v>
      </c>
      <c r="J84" s="5" t="s">
        <v>72</v>
      </c>
      <c r="K84" s="5" t="s">
        <v>73</v>
      </c>
      <c r="L84" s="5" t="s">
        <v>55</v>
      </c>
      <c r="M84" s="5" t="s">
        <v>63</v>
      </c>
      <c r="N84" s="5" t="s">
        <v>71</v>
      </c>
      <c r="O84" s="5" t="s">
        <v>59</v>
      </c>
      <c r="P84" s="5" t="s">
        <v>60</v>
      </c>
      <c r="Q84" s="5" t="s">
        <v>54</v>
      </c>
      <c r="R84" s="5" t="s">
        <v>207</v>
      </c>
      <c r="S84" s="5" t="s">
        <v>69</v>
      </c>
      <c r="T84" s="1">
        <v>8</v>
      </c>
      <c r="U84" s="1">
        <v>99</v>
      </c>
      <c r="V84" s="1">
        <v>37</v>
      </c>
    </row>
    <row r="85" spans="1:22" ht="28.8" x14ac:dyDescent="0.3">
      <c r="A85" s="48">
        <v>78</v>
      </c>
      <c r="B85" s="4"/>
      <c r="C85" s="6" t="s">
        <v>22</v>
      </c>
      <c r="D85" s="5"/>
      <c r="E85" s="5" t="s">
        <v>68</v>
      </c>
      <c r="F85" s="5" t="s">
        <v>210</v>
      </c>
      <c r="G85" s="5" t="s">
        <v>208</v>
      </c>
      <c r="H85" s="5" t="s">
        <v>74</v>
      </c>
      <c r="I85" s="5" t="s">
        <v>53</v>
      </c>
      <c r="J85" s="5" t="s">
        <v>52</v>
      </c>
      <c r="K85" s="5" t="s">
        <v>73</v>
      </c>
      <c r="L85" s="5" t="s">
        <v>55</v>
      </c>
      <c r="M85" s="5" t="s">
        <v>63</v>
      </c>
      <c r="N85" s="5" t="s">
        <v>71</v>
      </c>
      <c r="O85" s="5" t="s">
        <v>59</v>
      </c>
      <c r="P85" s="5" t="s">
        <v>67</v>
      </c>
      <c r="Q85" s="5" t="s">
        <v>47</v>
      </c>
      <c r="R85" s="5" t="s">
        <v>207</v>
      </c>
      <c r="S85" s="5" t="s">
        <v>69</v>
      </c>
      <c r="T85" s="1">
        <v>8</v>
      </c>
      <c r="U85" s="1">
        <v>113</v>
      </c>
      <c r="V85" s="1">
        <v>37</v>
      </c>
    </row>
    <row r="86" spans="1:22" x14ac:dyDescent="0.3">
      <c r="A86" s="48">
        <v>79</v>
      </c>
      <c r="B86" s="4"/>
      <c r="C86" s="6" t="s">
        <v>186</v>
      </c>
      <c r="D86" s="5"/>
      <c r="E86" s="5" t="s">
        <v>68</v>
      </c>
      <c r="F86" s="5" t="s">
        <v>210</v>
      </c>
      <c r="G86" s="5" t="s">
        <v>57</v>
      </c>
      <c r="H86" s="5" t="s">
        <v>51</v>
      </c>
      <c r="I86" s="5" t="s">
        <v>58</v>
      </c>
      <c r="J86" s="5" t="s">
        <v>72</v>
      </c>
      <c r="K86" s="5" t="s">
        <v>73</v>
      </c>
      <c r="L86" s="5" t="s">
        <v>55</v>
      </c>
      <c r="M86" s="5" t="s">
        <v>64</v>
      </c>
      <c r="N86" s="5" t="s">
        <v>71</v>
      </c>
      <c r="O86" s="5" t="s">
        <v>59</v>
      </c>
      <c r="P86" s="5" t="s">
        <v>67</v>
      </c>
      <c r="Q86" s="5" t="s">
        <v>47</v>
      </c>
      <c r="R86" s="5" t="s">
        <v>207</v>
      </c>
      <c r="S86" s="5" t="s">
        <v>66</v>
      </c>
      <c r="T86" s="1">
        <v>8</v>
      </c>
      <c r="U86" s="1">
        <v>105</v>
      </c>
      <c r="V86" s="1">
        <v>37</v>
      </c>
    </row>
    <row r="87" spans="1:22" ht="28.8" x14ac:dyDescent="0.3">
      <c r="A87" s="48">
        <v>80</v>
      </c>
      <c r="B87" s="4"/>
      <c r="C87" s="6" t="s">
        <v>164</v>
      </c>
      <c r="D87" s="5"/>
      <c r="E87" s="5" t="s">
        <v>70</v>
      </c>
      <c r="F87" s="5" t="s">
        <v>210</v>
      </c>
      <c r="G87" s="5" t="s">
        <v>208</v>
      </c>
      <c r="H87" s="5" t="s">
        <v>74</v>
      </c>
      <c r="I87" s="5" t="s">
        <v>53</v>
      </c>
      <c r="J87" s="5" t="s">
        <v>52</v>
      </c>
      <c r="K87" s="5" t="s">
        <v>73</v>
      </c>
      <c r="L87" s="5" t="s">
        <v>56</v>
      </c>
      <c r="M87" s="5" t="s">
        <v>64</v>
      </c>
      <c r="N87" s="5" t="s">
        <v>71</v>
      </c>
      <c r="O87" s="5" t="s">
        <v>65</v>
      </c>
      <c r="P87" s="5" t="s">
        <v>67</v>
      </c>
      <c r="Q87" s="5" t="s">
        <v>54</v>
      </c>
      <c r="R87" s="5" t="s">
        <v>50</v>
      </c>
      <c r="S87" s="5" t="s">
        <v>69</v>
      </c>
      <c r="T87" s="1">
        <v>8</v>
      </c>
      <c r="U87" s="1">
        <v>105</v>
      </c>
      <c r="V87" s="1">
        <v>38</v>
      </c>
    </row>
    <row r="88" spans="1:22" x14ac:dyDescent="0.3">
      <c r="A88" s="48">
        <v>81</v>
      </c>
      <c r="B88" s="4"/>
      <c r="C88" s="6" t="s">
        <v>21</v>
      </c>
      <c r="D88" s="5"/>
      <c r="E88" s="5" t="s">
        <v>68</v>
      </c>
      <c r="F88" s="5" t="s">
        <v>210</v>
      </c>
      <c r="G88" s="5" t="s">
        <v>208</v>
      </c>
      <c r="H88" s="5" t="s">
        <v>74</v>
      </c>
      <c r="I88" s="5" t="s">
        <v>53</v>
      </c>
      <c r="J88" s="5" t="s">
        <v>52</v>
      </c>
      <c r="K88" s="5" t="s">
        <v>73</v>
      </c>
      <c r="L88" s="5" t="s">
        <v>56</v>
      </c>
      <c r="M88" s="5" t="s">
        <v>64</v>
      </c>
      <c r="N88" s="5" t="s">
        <v>75</v>
      </c>
      <c r="O88" s="5" t="s">
        <v>65</v>
      </c>
      <c r="P88" s="5" t="s">
        <v>67</v>
      </c>
      <c r="Q88" s="5" t="s">
        <v>54</v>
      </c>
      <c r="R88" s="5" t="s">
        <v>50</v>
      </c>
      <c r="S88" s="5" t="s">
        <v>69</v>
      </c>
      <c r="T88" s="1">
        <v>8</v>
      </c>
      <c r="U88" s="1">
        <v>100</v>
      </c>
      <c r="V88" s="1">
        <v>41</v>
      </c>
    </row>
    <row r="89" spans="1:22" ht="28.8" x14ac:dyDescent="0.3">
      <c r="A89" s="48">
        <v>82</v>
      </c>
      <c r="B89" s="4"/>
      <c r="C89" s="6" t="s">
        <v>32</v>
      </c>
      <c r="D89" s="5"/>
      <c r="E89" s="5" t="s">
        <v>68</v>
      </c>
      <c r="F89" s="5" t="s">
        <v>61</v>
      </c>
      <c r="G89" s="5" t="s">
        <v>57</v>
      </c>
      <c r="H89" s="5" t="s">
        <v>51</v>
      </c>
      <c r="I89" s="5" t="s">
        <v>58</v>
      </c>
      <c r="J89" s="5" t="s">
        <v>72</v>
      </c>
      <c r="K89" s="5" t="s">
        <v>62</v>
      </c>
      <c r="L89" s="5" t="s">
        <v>55</v>
      </c>
      <c r="M89" s="5" t="s">
        <v>64</v>
      </c>
      <c r="N89" s="5" t="s">
        <v>75</v>
      </c>
      <c r="O89" s="5" t="s">
        <v>65</v>
      </c>
      <c r="P89" s="5" t="s">
        <v>60</v>
      </c>
      <c r="Q89" s="5" t="s">
        <v>54</v>
      </c>
      <c r="R89" s="5" t="s">
        <v>50</v>
      </c>
      <c r="S89" s="5" t="s">
        <v>69</v>
      </c>
      <c r="T89" s="1">
        <v>8</v>
      </c>
      <c r="U89" s="1">
        <v>107</v>
      </c>
      <c r="V89" s="1">
        <v>41</v>
      </c>
    </row>
    <row r="90" spans="1:22" x14ac:dyDescent="0.3">
      <c r="A90" s="48">
        <v>83</v>
      </c>
      <c r="B90" s="4"/>
      <c r="C90" s="6" t="s">
        <v>156</v>
      </c>
      <c r="D90" s="5"/>
      <c r="E90" s="5" t="s">
        <v>68</v>
      </c>
      <c r="F90" s="5" t="s">
        <v>61</v>
      </c>
      <c r="G90" s="5" t="s">
        <v>208</v>
      </c>
      <c r="H90" s="5" t="s">
        <v>74</v>
      </c>
      <c r="I90" s="5" t="s">
        <v>58</v>
      </c>
      <c r="J90" s="5" t="s">
        <v>72</v>
      </c>
      <c r="K90" s="5" t="s">
        <v>73</v>
      </c>
      <c r="L90" s="5" t="s">
        <v>55</v>
      </c>
      <c r="M90" s="5" t="s">
        <v>64</v>
      </c>
      <c r="N90" s="5" t="s">
        <v>71</v>
      </c>
      <c r="O90" s="5" t="s">
        <v>65</v>
      </c>
      <c r="P90" s="5" t="s">
        <v>67</v>
      </c>
      <c r="Q90" s="5" t="s">
        <v>54</v>
      </c>
      <c r="R90" s="5" t="s">
        <v>207</v>
      </c>
      <c r="S90" s="5" t="s">
        <v>69</v>
      </c>
      <c r="T90" s="1">
        <v>8</v>
      </c>
      <c r="U90" s="1">
        <v>116</v>
      </c>
      <c r="V90" s="1">
        <v>41</v>
      </c>
    </row>
    <row r="91" spans="1:22" x14ac:dyDescent="0.3">
      <c r="A91" s="48">
        <v>84</v>
      </c>
      <c r="B91" s="4"/>
      <c r="C91" s="6" t="s">
        <v>168</v>
      </c>
      <c r="D91" s="5"/>
      <c r="E91" s="5" t="s">
        <v>68</v>
      </c>
      <c r="F91" s="5" t="s">
        <v>61</v>
      </c>
      <c r="G91" s="5" t="s">
        <v>208</v>
      </c>
      <c r="H91" s="5" t="s">
        <v>51</v>
      </c>
      <c r="I91" s="5" t="s">
        <v>53</v>
      </c>
      <c r="J91" s="5" t="s">
        <v>72</v>
      </c>
      <c r="K91" s="5" t="s">
        <v>73</v>
      </c>
      <c r="L91" s="5" t="s">
        <v>55</v>
      </c>
      <c r="M91" s="5" t="s">
        <v>64</v>
      </c>
      <c r="N91" s="5" t="s">
        <v>75</v>
      </c>
      <c r="O91" s="5" t="s">
        <v>59</v>
      </c>
      <c r="P91" s="5" t="s">
        <v>60</v>
      </c>
      <c r="Q91" s="5" t="s">
        <v>47</v>
      </c>
      <c r="R91" s="5" t="s">
        <v>207</v>
      </c>
      <c r="S91" s="5" t="s">
        <v>69</v>
      </c>
      <c r="T91" s="1">
        <v>8</v>
      </c>
      <c r="U91" s="1">
        <v>106</v>
      </c>
      <c r="V91" s="1">
        <v>42</v>
      </c>
    </row>
    <row r="92" spans="1:22" x14ac:dyDescent="0.3">
      <c r="A92" s="48">
        <v>85</v>
      </c>
      <c r="B92" s="4"/>
      <c r="C92" s="6" t="s">
        <v>105</v>
      </c>
      <c r="D92" s="5"/>
      <c r="E92" s="5" t="s">
        <v>68</v>
      </c>
      <c r="F92" s="5" t="s">
        <v>61</v>
      </c>
      <c r="G92" s="5" t="s">
        <v>57</v>
      </c>
      <c r="H92" s="5" t="s">
        <v>51</v>
      </c>
      <c r="I92" s="5" t="s">
        <v>53</v>
      </c>
      <c r="J92" s="5" t="s">
        <v>72</v>
      </c>
      <c r="K92" s="5" t="s">
        <v>73</v>
      </c>
      <c r="L92" s="5" t="s">
        <v>56</v>
      </c>
      <c r="M92" s="5" t="s">
        <v>64</v>
      </c>
      <c r="N92" s="5" t="s">
        <v>75</v>
      </c>
      <c r="O92" s="5" t="s">
        <v>65</v>
      </c>
      <c r="P92" s="5" t="s">
        <v>60</v>
      </c>
      <c r="Q92" s="5" t="s">
        <v>54</v>
      </c>
      <c r="R92" s="5" t="s">
        <v>207</v>
      </c>
      <c r="S92" s="5" t="s">
        <v>69</v>
      </c>
      <c r="T92" s="1">
        <v>8</v>
      </c>
      <c r="U92" s="1">
        <v>103</v>
      </c>
      <c r="V92" s="1">
        <v>42</v>
      </c>
    </row>
    <row r="93" spans="1:22" x14ac:dyDescent="0.3">
      <c r="A93" s="48">
        <v>86</v>
      </c>
      <c r="B93" s="4"/>
      <c r="C93" s="6" t="s">
        <v>39</v>
      </c>
      <c r="D93" s="5"/>
      <c r="E93" s="5" t="s">
        <v>68</v>
      </c>
      <c r="F93" s="5" t="s">
        <v>210</v>
      </c>
      <c r="G93" s="5" t="s">
        <v>57</v>
      </c>
      <c r="H93" s="5" t="s">
        <v>51</v>
      </c>
      <c r="I93" s="5" t="s">
        <v>53</v>
      </c>
      <c r="J93" s="5" t="s">
        <v>52</v>
      </c>
      <c r="K93" s="5" t="s">
        <v>62</v>
      </c>
      <c r="L93" s="5" t="s">
        <v>55</v>
      </c>
      <c r="M93" s="5" t="s">
        <v>63</v>
      </c>
      <c r="N93" s="5" t="s">
        <v>75</v>
      </c>
      <c r="O93" s="5" t="s">
        <v>59</v>
      </c>
      <c r="P93" s="5" t="s">
        <v>60</v>
      </c>
      <c r="Q93" s="5" t="s">
        <v>54</v>
      </c>
      <c r="R93" s="5" t="s">
        <v>50</v>
      </c>
      <c r="S93" s="5" t="s">
        <v>66</v>
      </c>
      <c r="T93" s="1">
        <v>8</v>
      </c>
      <c r="U93" s="1">
        <v>101</v>
      </c>
      <c r="V93" s="1">
        <v>43</v>
      </c>
    </row>
    <row r="94" spans="1:22" ht="28.8" x14ac:dyDescent="0.3">
      <c r="A94" s="48">
        <v>87</v>
      </c>
      <c r="B94" s="4"/>
      <c r="C94" s="6" t="s">
        <v>108</v>
      </c>
      <c r="D94" s="5"/>
      <c r="E94" s="5" t="s">
        <v>68</v>
      </c>
      <c r="F94" s="5" t="s">
        <v>210</v>
      </c>
      <c r="G94" s="5" t="s">
        <v>57</v>
      </c>
      <c r="H94" s="5" t="s">
        <v>74</v>
      </c>
      <c r="I94" s="5" t="s">
        <v>58</v>
      </c>
      <c r="J94" s="5" t="s">
        <v>72</v>
      </c>
      <c r="K94" s="5" t="s">
        <v>62</v>
      </c>
      <c r="L94" s="5" t="s">
        <v>55</v>
      </c>
      <c r="M94" s="5" t="s">
        <v>64</v>
      </c>
      <c r="N94" s="5" t="s">
        <v>71</v>
      </c>
      <c r="O94" s="5" t="s">
        <v>65</v>
      </c>
      <c r="P94" s="5" t="s">
        <v>60</v>
      </c>
      <c r="Q94" s="5" t="s">
        <v>47</v>
      </c>
      <c r="R94" s="5" t="s">
        <v>207</v>
      </c>
      <c r="S94" s="5" t="s">
        <v>66</v>
      </c>
      <c r="T94" s="1">
        <v>8</v>
      </c>
      <c r="U94" s="1">
        <v>108</v>
      </c>
      <c r="V94" s="1">
        <v>43</v>
      </c>
    </row>
    <row r="95" spans="1:22" x14ac:dyDescent="0.3">
      <c r="A95" s="48">
        <v>88</v>
      </c>
      <c r="B95" s="4"/>
      <c r="C95" s="6" t="s">
        <v>100</v>
      </c>
      <c r="D95" s="5"/>
      <c r="E95" s="5" t="s">
        <v>68</v>
      </c>
      <c r="F95" s="5" t="s">
        <v>210</v>
      </c>
      <c r="G95" s="5" t="s">
        <v>208</v>
      </c>
      <c r="H95" s="5" t="s">
        <v>74</v>
      </c>
      <c r="I95" s="5" t="s">
        <v>53</v>
      </c>
      <c r="J95" s="5" t="s">
        <v>72</v>
      </c>
      <c r="K95" s="5" t="s">
        <v>73</v>
      </c>
      <c r="L95" s="5" t="s">
        <v>55</v>
      </c>
      <c r="M95" s="5" t="s">
        <v>64</v>
      </c>
      <c r="N95" s="5" t="s">
        <v>75</v>
      </c>
      <c r="O95" s="5" t="s">
        <v>65</v>
      </c>
      <c r="P95" s="5" t="s">
        <v>67</v>
      </c>
      <c r="Q95" s="5" t="s">
        <v>54</v>
      </c>
      <c r="R95" s="5" t="s">
        <v>207</v>
      </c>
      <c r="S95" s="5" t="s">
        <v>66</v>
      </c>
      <c r="T95" s="1">
        <v>8</v>
      </c>
      <c r="U95" s="1">
        <v>108</v>
      </c>
      <c r="V95" s="1">
        <v>43</v>
      </c>
    </row>
    <row r="96" spans="1:22" x14ac:dyDescent="0.3">
      <c r="A96" s="48">
        <v>89</v>
      </c>
      <c r="B96" s="4"/>
      <c r="C96" s="6" t="s">
        <v>40</v>
      </c>
      <c r="D96" s="5"/>
      <c r="E96" s="5" t="s">
        <v>68</v>
      </c>
      <c r="F96" s="5" t="s">
        <v>210</v>
      </c>
      <c r="G96" s="5" t="s">
        <v>57</v>
      </c>
      <c r="H96" s="5" t="s">
        <v>51</v>
      </c>
      <c r="I96" s="5" t="s">
        <v>58</v>
      </c>
      <c r="J96" s="5" t="s">
        <v>52</v>
      </c>
      <c r="K96" s="5" t="s">
        <v>73</v>
      </c>
      <c r="L96" s="5" t="s">
        <v>55</v>
      </c>
      <c r="M96" s="5" t="s">
        <v>64</v>
      </c>
      <c r="N96" s="5" t="s">
        <v>71</v>
      </c>
      <c r="O96" s="5" t="s">
        <v>59</v>
      </c>
      <c r="P96" s="5" t="s">
        <v>67</v>
      </c>
      <c r="Q96" s="5" t="s">
        <v>47</v>
      </c>
      <c r="R96" s="5" t="s">
        <v>50</v>
      </c>
      <c r="S96" s="5" t="s">
        <v>66</v>
      </c>
      <c r="T96" s="1">
        <v>8</v>
      </c>
      <c r="U96" s="1">
        <v>107</v>
      </c>
      <c r="V96" s="1">
        <v>44</v>
      </c>
    </row>
    <row r="97" spans="1:22" ht="28.8" x14ac:dyDescent="0.3">
      <c r="A97" s="48">
        <v>90</v>
      </c>
      <c r="B97" s="4"/>
      <c r="C97" s="6" t="s">
        <v>99</v>
      </c>
      <c r="D97" s="5"/>
      <c r="E97" s="5" t="s">
        <v>70</v>
      </c>
      <c r="F97" s="5" t="s">
        <v>210</v>
      </c>
      <c r="G97" s="5" t="s">
        <v>208</v>
      </c>
      <c r="H97" s="5" t="s">
        <v>51</v>
      </c>
      <c r="I97" s="5" t="s">
        <v>53</v>
      </c>
      <c r="J97" s="5" t="s">
        <v>52</v>
      </c>
      <c r="K97" s="5" t="s">
        <v>73</v>
      </c>
      <c r="L97" s="5" t="s">
        <v>55</v>
      </c>
      <c r="M97" s="5" t="s">
        <v>63</v>
      </c>
      <c r="N97" s="5" t="s">
        <v>71</v>
      </c>
      <c r="O97" s="5" t="s">
        <v>65</v>
      </c>
      <c r="P97" s="5" t="s">
        <v>67</v>
      </c>
      <c r="Q97" s="5" t="s">
        <v>54</v>
      </c>
      <c r="R97" s="5" t="s">
        <v>207</v>
      </c>
      <c r="S97" s="5" t="s">
        <v>69</v>
      </c>
      <c r="T97" s="1">
        <v>8</v>
      </c>
      <c r="U97" s="1">
        <v>122</v>
      </c>
      <c r="V97" s="1">
        <v>44</v>
      </c>
    </row>
    <row r="98" spans="1:22" x14ac:dyDescent="0.3">
      <c r="A98" s="48">
        <v>91</v>
      </c>
      <c r="B98" s="4"/>
      <c r="C98" s="6" t="s">
        <v>82</v>
      </c>
      <c r="D98" s="5"/>
      <c r="E98" s="5" t="s">
        <v>70</v>
      </c>
      <c r="F98" s="5" t="s">
        <v>210</v>
      </c>
      <c r="G98" s="5" t="s">
        <v>57</v>
      </c>
      <c r="H98" s="5" t="s">
        <v>51</v>
      </c>
      <c r="I98" s="5" t="s">
        <v>53</v>
      </c>
      <c r="J98" s="5" t="s">
        <v>72</v>
      </c>
      <c r="K98" s="5" t="s">
        <v>73</v>
      </c>
      <c r="L98" s="5" t="s">
        <v>55</v>
      </c>
      <c r="M98" s="5" t="s">
        <v>63</v>
      </c>
      <c r="N98" s="5" t="s">
        <v>71</v>
      </c>
      <c r="O98" s="5" t="s">
        <v>65</v>
      </c>
      <c r="P98" s="5" t="s">
        <v>60</v>
      </c>
      <c r="Q98" s="5" t="s">
        <v>54</v>
      </c>
      <c r="R98" s="5" t="s">
        <v>207</v>
      </c>
      <c r="S98" s="5" t="s">
        <v>66</v>
      </c>
      <c r="T98" s="1">
        <v>8</v>
      </c>
      <c r="U98" s="1">
        <v>105</v>
      </c>
      <c r="V98" s="1">
        <v>44</v>
      </c>
    </row>
    <row r="99" spans="1:22" ht="28.8" x14ac:dyDescent="0.3">
      <c r="A99" s="48">
        <v>92</v>
      </c>
      <c r="B99" s="4"/>
      <c r="C99" s="6" t="s">
        <v>172</v>
      </c>
      <c r="D99" s="5"/>
      <c r="E99" s="5" t="s">
        <v>70</v>
      </c>
      <c r="F99" s="5" t="s">
        <v>210</v>
      </c>
      <c r="G99" s="5" t="s">
        <v>208</v>
      </c>
      <c r="H99" s="5" t="s">
        <v>74</v>
      </c>
      <c r="I99" s="5" t="s">
        <v>58</v>
      </c>
      <c r="J99" s="5" t="s">
        <v>72</v>
      </c>
      <c r="K99" s="5" t="s">
        <v>73</v>
      </c>
      <c r="L99" s="5" t="s">
        <v>55</v>
      </c>
      <c r="M99" s="5" t="s">
        <v>63</v>
      </c>
      <c r="N99" s="5" t="s">
        <v>71</v>
      </c>
      <c r="O99" s="5" t="s">
        <v>59</v>
      </c>
      <c r="P99" s="5" t="s">
        <v>67</v>
      </c>
      <c r="Q99" s="5" t="s">
        <v>47</v>
      </c>
      <c r="R99" s="5" t="s">
        <v>50</v>
      </c>
      <c r="S99" s="5" t="s">
        <v>69</v>
      </c>
      <c r="T99" s="1">
        <v>8</v>
      </c>
      <c r="U99" s="1">
        <v>106</v>
      </c>
      <c r="V99" s="1">
        <v>44</v>
      </c>
    </row>
    <row r="100" spans="1:22" x14ac:dyDescent="0.3">
      <c r="A100" s="48">
        <v>93</v>
      </c>
      <c r="B100" s="4"/>
      <c r="C100" s="6" t="s">
        <v>150</v>
      </c>
      <c r="D100" s="5"/>
      <c r="E100" s="5" t="s">
        <v>68</v>
      </c>
      <c r="F100" s="5" t="s">
        <v>61</v>
      </c>
      <c r="G100" s="5" t="s">
        <v>208</v>
      </c>
      <c r="H100" s="5" t="s">
        <v>51</v>
      </c>
      <c r="I100" s="5" t="s">
        <v>53</v>
      </c>
      <c r="J100" s="5" t="s">
        <v>52</v>
      </c>
      <c r="K100" s="5" t="s">
        <v>73</v>
      </c>
      <c r="L100" s="5" t="s">
        <v>56</v>
      </c>
      <c r="M100" s="5" t="s">
        <v>64</v>
      </c>
      <c r="N100" s="5" t="s">
        <v>75</v>
      </c>
      <c r="O100" s="5" t="s">
        <v>59</v>
      </c>
      <c r="P100" s="5" t="s">
        <v>60</v>
      </c>
      <c r="Q100" s="5" t="s">
        <v>54</v>
      </c>
      <c r="R100" s="5" t="s">
        <v>50</v>
      </c>
      <c r="S100" s="5" t="s">
        <v>69</v>
      </c>
      <c r="T100" s="1">
        <v>8</v>
      </c>
      <c r="U100" s="1">
        <v>108</v>
      </c>
      <c r="V100" s="1">
        <v>44</v>
      </c>
    </row>
    <row r="101" spans="1:22" x14ac:dyDescent="0.3">
      <c r="A101" s="48">
        <v>94</v>
      </c>
      <c r="B101" s="4"/>
      <c r="C101" s="6" t="s">
        <v>26</v>
      </c>
      <c r="D101" s="5"/>
      <c r="E101" s="5" t="s">
        <v>68</v>
      </c>
      <c r="F101" s="5" t="s">
        <v>61</v>
      </c>
      <c r="G101" s="5" t="s">
        <v>208</v>
      </c>
      <c r="H101" s="5" t="s">
        <v>51</v>
      </c>
      <c r="I101" s="5" t="s">
        <v>58</v>
      </c>
      <c r="J101" s="5" t="s">
        <v>52</v>
      </c>
      <c r="K101" s="5" t="s">
        <v>73</v>
      </c>
      <c r="L101" s="5" t="s">
        <v>55</v>
      </c>
      <c r="M101" s="5" t="s">
        <v>64</v>
      </c>
      <c r="N101" s="5" t="s">
        <v>75</v>
      </c>
      <c r="O101" s="5" t="s">
        <v>65</v>
      </c>
      <c r="P101" s="5" t="s">
        <v>67</v>
      </c>
      <c r="Q101" s="5" t="s">
        <v>47</v>
      </c>
      <c r="R101" s="5" t="s">
        <v>207</v>
      </c>
      <c r="S101" s="5" t="s">
        <v>69</v>
      </c>
      <c r="T101" s="1">
        <v>8</v>
      </c>
      <c r="U101" s="1">
        <v>105</v>
      </c>
      <c r="V101" s="1">
        <v>45</v>
      </c>
    </row>
    <row r="102" spans="1:22" x14ac:dyDescent="0.3">
      <c r="A102" s="48">
        <v>95</v>
      </c>
      <c r="B102" s="4"/>
      <c r="C102" s="6" t="s">
        <v>86</v>
      </c>
      <c r="D102" s="5"/>
      <c r="E102" s="5" t="s">
        <v>70</v>
      </c>
      <c r="F102" s="5" t="s">
        <v>210</v>
      </c>
      <c r="G102" s="5" t="s">
        <v>57</v>
      </c>
      <c r="H102" s="5" t="s">
        <v>74</v>
      </c>
      <c r="I102" s="5" t="s">
        <v>58</v>
      </c>
      <c r="J102" s="5" t="s">
        <v>72</v>
      </c>
      <c r="K102" s="5" t="s">
        <v>62</v>
      </c>
      <c r="L102" s="5" t="s">
        <v>55</v>
      </c>
      <c r="M102" s="5" t="s">
        <v>64</v>
      </c>
      <c r="N102" s="5" t="s">
        <v>71</v>
      </c>
      <c r="O102" s="5" t="s">
        <v>65</v>
      </c>
      <c r="P102" s="5" t="s">
        <v>67</v>
      </c>
      <c r="Q102" s="5" t="s">
        <v>47</v>
      </c>
      <c r="R102" s="5" t="s">
        <v>50</v>
      </c>
      <c r="S102" s="5" t="s">
        <v>69</v>
      </c>
      <c r="T102" s="1">
        <v>8</v>
      </c>
      <c r="U102" s="1">
        <v>103</v>
      </c>
      <c r="V102" s="1">
        <v>45</v>
      </c>
    </row>
    <row r="103" spans="1:22" ht="28.8" x14ac:dyDescent="0.3">
      <c r="A103" s="48">
        <v>96</v>
      </c>
      <c r="B103" s="4"/>
      <c r="C103" s="6" t="s">
        <v>90</v>
      </c>
      <c r="D103" s="5"/>
      <c r="E103" s="5" t="s">
        <v>68</v>
      </c>
      <c r="F103" s="5" t="s">
        <v>61</v>
      </c>
      <c r="G103" s="5" t="s">
        <v>208</v>
      </c>
      <c r="H103" s="5" t="s">
        <v>74</v>
      </c>
      <c r="I103" s="5" t="s">
        <v>53</v>
      </c>
      <c r="J103" s="5" t="s">
        <v>52</v>
      </c>
      <c r="K103" s="5" t="s">
        <v>73</v>
      </c>
      <c r="L103" s="5" t="s">
        <v>56</v>
      </c>
      <c r="M103" s="5" t="s">
        <v>63</v>
      </c>
      <c r="N103" s="5" t="s">
        <v>75</v>
      </c>
      <c r="O103" s="5" t="s">
        <v>59</v>
      </c>
      <c r="P103" s="5" t="s">
        <v>60</v>
      </c>
      <c r="Q103" s="5" t="s">
        <v>54</v>
      </c>
      <c r="R103" s="5" t="s">
        <v>207</v>
      </c>
      <c r="S103" s="5" t="s">
        <v>66</v>
      </c>
      <c r="T103" s="1">
        <v>8</v>
      </c>
      <c r="U103" s="1">
        <v>99</v>
      </c>
      <c r="V103" s="1">
        <v>45</v>
      </c>
    </row>
    <row r="104" spans="1:22" x14ac:dyDescent="0.3">
      <c r="A104" s="48">
        <v>97</v>
      </c>
      <c r="B104" s="4"/>
      <c r="C104" s="6" t="s">
        <v>151</v>
      </c>
      <c r="D104" s="5"/>
      <c r="E104" s="5" t="s">
        <v>68</v>
      </c>
      <c r="F104" s="5" t="s">
        <v>210</v>
      </c>
      <c r="G104" s="5" t="s">
        <v>208</v>
      </c>
      <c r="H104" s="5" t="s">
        <v>51</v>
      </c>
      <c r="I104" s="5" t="s">
        <v>53</v>
      </c>
      <c r="J104" s="5" t="s">
        <v>52</v>
      </c>
      <c r="K104" s="5" t="s">
        <v>73</v>
      </c>
      <c r="L104" s="5" t="s">
        <v>55</v>
      </c>
      <c r="M104" s="5" t="s">
        <v>64</v>
      </c>
      <c r="N104" s="5" t="s">
        <v>71</v>
      </c>
      <c r="O104" s="5" t="s">
        <v>59</v>
      </c>
      <c r="P104" s="5" t="s">
        <v>60</v>
      </c>
      <c r="Q104" s="5" t="s">
        <v>47</v>
      </c>
      <c r="R104" s="5" t="s">
        <v>50</v>
      </c>
      <c r="S104" s="5" t="s">
        <v>69</v>
      </c>
      <c r="T104" s="1">
        <v>8</v>
      </c>
      <c r="U104" s="1">
        <v>102</v>
      </c>
      <c r="V104" s="1">
        <v>45</v>
      </c>
    </row>
    <row r="105" spans="1:22" ht="28.8" x14ac:dyDescent="0.3">
      <c r="A105" s="48">
        <v>98</v>
      </c>
      <c r="B105" s="4"/>
      <c r="C105" s="6" t="s">
        <v>162</v>
      </c>
      <c r="D105" s="5"/>
      <c r="E105" s="5" t="s">
        <v>68</v>
      </c>
      <c r="F105" s="5" t="s">
        <v>210</v>
      </c>
      <c r="G105" s="5" t="s">
        <v>208</v>
      </c>
      <c r="H105" s="5" t="s">
        <v>51</v>
      </c>
      <c r="I105" s="5" t="s">
        <v>58</v>
      </c>
      <c r="J105" s="5" t="s">
        <v>72</v>
      </c>
      <c r="K105" s="5" t="s">
        <v>73</v>
      </c>
      <c r="L105" s="5" t="s">
        <v>55</v>
      </c>
      <c r="M105" s="5" t="s">
        <v>64</v>
      </c>
      <c r="N105" s="5" t="s">
        <v>75</v>
      </c>
      <c r="O105" s="5" t="s">
        <v>65</v>
      </c>
      <c r="P105" s="5" t="s">
        <v>60</v>
      </c>
      <c r="Q105" s="5" t="s">
        <v>54</v>
      </c>
      <c r="R105" s="5" t="s">
        <v>50</v>
      </c>
      <c r="S105" s="5" t="s">
        <v>66</v>
      </c>
      <c r="T105" s="1">
        <v>8</v>
      </c>
      <c r="U105" s="1">
        <v>110</v>
      </c>
      <c r="V105" s="1">
        <v>45</v>
      </c>
    </row>
    <row r="106" spans="1:22" ht="28.8" x14ac:dyDescent="0.3">
      <c r="A106" s="48">
        <v>99</v>
      </c>
      <c r="B106" s="4"/>
      <c r="C106" s="6" t="s">
        <v>197</v>
      </c>
      <c r="D106" s="5"/>
      <c r="E106" s="5" t="s">
        <v>68</v>
      </c>
      <c r="F106" s="5" t="s">
        <v>210</v>
      </c>
      <c r="G106" s="5" t="s">
        <v>57</v>
      </c>
      <c r="H106" s="5" t="s">
        <v>51</v>
      </c>
      <c r="I106" s="5" t="s">
        <v>53</v>
      </c>
      <c r="J106" s="5" t="s">
        <v>52</v>
      </c>
      <c r="K106" s="5" t="s">
        <v>73</v>
      </c>
      <c r="L106" s="5" t="s">
        <v>56</v>
      </c>
      <c r="M106" s="5" t="s">
        <v>64</v>
      </c>
      <c r="N106" s="5" t="s">
        <v>75</v>
      </c>
      <c r="O106" s="5" t="s">
        <v>65</v>
      </c>
      <c r="P106" s="5" t="s">
        <v>60</v>
      </c>
      <c r="Q106" s="5" t="s">
        <v>54</v>
      </c>
      <c r="R106" s="5" t="s">
        <v>50</v>
      </c>
      <c r="S106" s="5" t="s">
        <v>66</v>
      </c>
      <c r="T106" s="1">
        <v>8</v>
      </c>
      <c r="U106" s="1">
        <v>70</v>
      </c>
      <c r="V106" s="1">
        <v>45</v>
      </c>
    </row>
    <row r="107" spans="1:22" x14ac:dyDescent="0.3">
      <c r="A107" s="48">
        <v>100</v>
      </c>
      <c r="B107" s="4"/>
      <c r="C107" s="6" t="s">
        <v>38</v>
      </c>
      <c r="D107" s="5"/>
      <c r="E107" s="5" t="s">
        <v>68</v>
      </c>
      <c r="F107" s="5" t="s">
        <v>210</v>
      </c>
      <c r="G107" s="5" t="s">
        <v>57</v>
      </c>
      <c r="H107" s="5" t="s">
        <v>74</v>
      </c>
      <c r="I107" s="5" t="s">
        <v>58</v>
      </c>
      <c r="J107" s="5" t="s">
        <v>72</v>
      </c>
      <c r="K107" s="5" t="s">
        <v>62</v>
      </c>
      <c r="L107" s="5" t="s">
        <v>56</v>
      </c>
      <c r="M107" s="5" t="s">
        <v>63</v>
      </c>
      <c r="N107" s="5" t="s">
        <v>75</v>
      </c>
      <c r="O107" s="5" t="s">
        <v>59</v>
      </c>
      <c r="P107" s="5" t="s">
        <v>60</v>
      </c>
      <c r="Q107" s="5" t="s">
        <v>54</v>
      </c>
      <c r="R107" s="5" t="s">
        <v>50</v>
      </c>
      <c r="S107" s="5" t="s">
        <v>66</v>
      </c>
      <c r="T107" s="1">
        <v>8</v>
      </c>
      <c r="U107" s="1">
        <v>114</v>
      </c>
      <c r="V107" s="1">
        <v>47</v>
      </c>
    </row>
    <row r="108" spans="1:22" ht="28.8" x14ac:dyDescent="0.3">
      <c r="A108" s="48">
        <v>101</v>
      </c>
      <c r="B108" s="4"/>
      <c r="C108" s="6" t="s">
        <v>122</v>
      </c>
      <c r="D108" s="5"/>
      <c r="E108" s="5" t="s">
        <v>68</v>
      </c>
      <c r="F108" s="5" t="s">
        <v>210</v>
      </c>
      <c r="G108" s="5" t="s">
        <v>208</v>
      </c>
      <c r="H108" s="5" t="s">
        <v>51</v>
      </c>
      <c r="I108" s="5" t="s">
        <v>58</v>
      </c>
      <c r="J108" s="5" t="s">
        <v>72</v>
      </c>
      <c r="K108" s="5" t="s">
        <v>73</v>
      </c>
      <c r="L108" s="5" t="s">
        <v>56</v>
      </c>
      <c r="M108" s="5" t="s">
        <v>64</v>
      </c>
      <c r="N108" s="5" t="s">
        <v>75</v>
      </c>
      <c r="O108" s="5" t="s">
        <v>65</v>
      </c>
      <c r="P108" s="5" t="s">
        <v>60</v>
      </c>
      <c r="Q108" s="5" t="s">
        <v>54</v>
      </c>
      <c r="R108" s="5" t="s">
        <v>50</v>
      </c>
      <c r="S108" s="5" t="s">
        <v>69</v>
      </c>
      <c r="T108" s="1">
        <v>8</v>
      </c>
      <c r="U108" s="1">
        <v>104</v>
      </c>
      <c r="V108" s="1">
        <v>47</v>
      </c>
    </row>
    <row r="109" spans="1:22" ht="28.8" x14ac:dyDescent="0.3">
      <c r="A109" s="48">
        <v>102</v>
      </c>
      <c r="B109" s="4"/>
      <c r="C109" s="6" t="s">
        <v>89</v>
      </c>
      <c r="D109" s="5"/>
      <c r="E109" s="5" t="s">
        <v>68</v>
      </c>
      <c r="F109" s="5" t="s">
        <v>210</v>
      </c>
      <c r="G109" s="5" t="s">
        <v>208</v>
      </c>
      <c r="H109" s="5" t="s">
        <v>51</v>
      </c>
      <c r="I109" s="5" t="s">
        <v>53</v>
      </c>
      <c r="J109" s="5" t="s">
        <v>72</v>
      </c>
      <c r="K109" s="5" t="s">
        <v>73</v>
      </c>
      <c r="L109" s="5" t="s">
        <v>56</v>
      </c>
      <c r="M109" s="5" t="s">
        <v>64</v>
      </c>
      <c r="N109" s="5" t="s">
        <v>71</v>
      </c>
      <c r="O109" s="5" t="s">
        <v>59</v>
      </c>
      <c r="P109" s="5" t="s">
        <v>60</v>
      </c>
      <c r="Q109" s="5" t="s">
        <v>54</v>
      </c>
      <c r="R109" s="5" t="s">
        <v>207</v>
      </c>
      <c r="S109" s="5" t="s">
        <v>69</v>
      </c>
      <c r="T109" s="1">
        <v>8</v>
      </c>
      <c r="U109" s="1">
        <v>104</v>
      </c>
      <c r="V109" s="1">
        <v>47</v>
      </c>
    </row>
    <row r="110" spans="1:22" ht="28.8" x14ac:dyDescent="0.3">
      <c r="A110" s="48">
        <v>103</v>
      </c>
      <c r="B110" s="4"/>
      <c r="C110" s="6" t="s">
        <v>147</v>
      </c>
      <c r="D110" s="5"/>
      <c r="E110" s="5" t="s">
        <v>68</v>
      </c>
      <c r="F110" s="5" t="s">
        <v>61</v>
      </c>
      <c r="G110" s="5" t="s">
        <v>57</v>
      </c>
      <c r="H110" s="5" t="s">
        <v>51</v>
      </c>
      <c r="I110" s="5" t="s">
        <v>58</v>
      </c>
      <c r="J110" s="5" t="s">
        <v>72</v>
      </c>
      <c r="K110" s="5" t="s">
        <v>73</v>
      </c>
      <c r="L110" s="5" t="s">
        <v>56</v>
      </c>
      <c r="M110" s="5" t="s">
        <v>64</v>
      </c>
      <c r="N110" s="5" t="s">
        <v>71</v>
      </c>
      <c r="O110" s="5" t="s">
        <v>65</v>
      </c>
      <c r="P110" s="5" t="s">
        <v>60</v>
      </c>
      <c r="Q110" s="5" t="s">
        <v>54</v>
      </c>
      <c r="R110" s="5" t="s">
        <v>207</v>
      </c>
      <c r="S110" s="5" t="s">
        <v>69</v>
      </c>
      <c r="T110" s="1">
        <v>8</v>
      </c>
      <c r="U110" s="1">
        <v>113</v>
      </c>
      <c r="V110" s="1">
        <v>48</v>
      </c>
    </row>
    <row r="111" spans="1:22" x14ac:dyDescent="0.3">
      <c r="A111" s="48">
        <v>104</v>
      </c>
      <c r="B111" s="4"/>
      <c r="C111" s="6" t="s">
        <v>106</v>
      </c>
      <c r="D111" s="5"/>
      <c r="E111" s="5" t="s">
        <v>70</v>
      </c>
      <c r="F111" s="5" t="s">
        <v>61</v>
      </c>
      <c r="G111" s="5" t="s">
        <v>57</v>
      </c>
      <c r="H111" s="5" t="s">
        <v>51</v>
      </c>
      <c r="I111" s="5" t="s">
        <v>53</v>
      </c>
      <c r="J111" s="5" t="s">
        <v>52</v>
      </c>
      <c r="K111" s="5" t="s">
        <v>62</v>
      </c>
      <c r="L111" s="5" t="s">
        <v>55</v>
      </c>
      <c r="M111" s="5" t="s">
        <v>63</v>
      </c>
      <c r="N111" s="5" t="s">
        <v>75</v>
      </c>
      <c r="O111" s="5" t="s">
        <v>59</v>
      </c>
      <c r="P111" s="5" t="s">
        <v>60</v>
      </c>
      <c r="Q111" s="5" t="s">
        <v>47</v>
      </c>
      <c r="R111" s="5" t="s">
        <v>207</v>
      </c>
      <c r="S111" s="5" t="s">
        <v>66</v>
      </c>
      <c r="T111" s="1">
        <v>8</v>
      </c>
      <c r="U111" s="1">
        <v>102</v>
      </c>
      <c r="V111" s="1">
        <v>55</v>
      </c>
    </row>
    <row r="112" spans="1:22" x14ac:dyDescent="0.3">
      <c r="A112" s="48">
        <v>105</v>
      </c>
      <c r="B112" s="4"/>
      <c r="C112" s="6" t="s">
        <v>119</v>
      </c>
      <c r="D112" s="5"/>
      <c r="E112" s="5" t="s">
        <v>68</v>
      </c>
      <c r="F112" s="5" t="s">
        <v>210</v>
      </c>
      <c r="G112" s="5" t="s">
        <v>208</v>
      </c>
      <c r="H112" s="5" t="s">
        <v>74</v>
      </c>
      <c r="I112" s="5" t="s">
        <v>53</v>
      </c>
      <c r="J112" s="5" t="s">
        <v>52</v>
      </c>
      <c r="K112" s="5" t="s">
        <v>73</v>
      </c>
      <c r="L112" s="5" t="s">
        <v>56</v>
      </c>
      <c r="M112" s="5" t="s">
        <v>64</v>
      </c>
      <c r="N112" s="5" t="s">
        <v>71</v>
      </c>
      <c r="O112" s="5" t="s">
        <v>65</v>
      </c>
      <c r="P112" s="5" t="s">
        <v>67</v>
      </c>
      <c r="Q112" s="5" t="s">
        <v>47</v>
      </c>
      <c r="R112" s="5" t="s">
        <v>207</v>
      </c>
      <c r="S112" s="5" t="s">
        <v>69</v>
      </c>
      <c r="T112" s="1">
        <v>7</v>
      </c>
      <c r="U112" s="1">
        <v>112</v>
      </c>
      <c r="V112" s="1">
        <v>31</v>
      </c>
    </row>
    <row r="113" spans="1:22" x14ac:dyDescent="0.3">
      <c r="A113" s="48">
        <v>106</v>
      </c>
      <c r="B113" s="4"/>
      <c r="C113" s="6" t="s">
        <v>142</v>
      </c>
      <c r="D113" s="5"/>
      <c r="E113" s="5" t="s">
        <v>68</v>
      </c>
      <c r="F113" s="5" t="s">
        <v>210</v>
      </c>
      <c r="G113" s="5" t="s">
        <v>208</v>
      </c>
      <c r="H113" s="5" t="s">
        <v>51</v>
      </c>
      <c r="I113" s="5" t="s">
        <v>53</v>
      </c>
      <c r="J113" s="5" t="s">
        <v>52</v>
      </c>
      <c r="K113" s="5" t="s">
        <v>73</v>
      </c>
      <c r="L113" s="5" t="s">
        <v>55</v>
      </c>
      <c r="M113" s="5" t="s">
        <v>64</v>
      </c>
      <c r="N113" s="5" t="s">
        <v>71</v>
      </c>
      <c r="O113" s="5" t="s">
        <v>59</v>
      </c>
      <c r="P113" s="5" t="s">
        <v>67</v>
      </c>
      <c r="Q113" s="5" t="s">
        <v>47</v>
      </c>
      <c r="R113" s="5" t="s">
        <v>50</v>
      </c>
      <c r="S113" s="5" t="s">
        <v>69</v>
      </c>
      <c r="T113" s="1">
        <v>7</v>
      </c>
      <c r="U113" s="1">
        <v>109</v>
      </c>
      <c r="V113" s="1">
        <v>35</v>
      </c>
    </row>
    <row r="114" spans="1:22" x14ac:dyDescent="0.3">
      <c r="A114" s="48">
        <v>107</v>
      </c>
      <c r="B114" s="4"/>
      <c r="C114" s="6" t="s">
        <v>11</v>
      </c>
      <c r="D114" s="5"/>
      <c r="E114" s="5" t="s">
        <v>70</v>
      </c>
      <c r="F114" s="5" t="s">
        <v>61</v>
      </c>
      <c r="G114" s="5" t="s">
        <v>208</v>
      </c>
      <c r="H114" s="5" t="s">
        <v>74</v>
      </c>
      <c r="I114" s="5" t="s">
        <v>53</v>
      </c>
      <c r="J114" s="5" t="s">
        <v>52</v>
      </c>
      <c r="K114" s="5" t="s">
        <v>73</v>
      </c>
      <c r="L114" s="5" t="s">
        <v>56</v>
      </c>
      <c r="M114" s="5" t="s">
        <v>64</v>
      </c>
      <c r="N114" s="5" t="s">
        <v>71</v>
      </c>
      <c r="O114" s="5" t="s">
        <v>65</v>
      </c>
      <c r="P114" s="5" t="s">
        <v>67</v>
      </c>
      <c r="Q114" s="5" t="s">
        <v>47</v>
      </c>
      <c r="R114" s="5" t="s">
        <v>207</v>
      </c>
      <c r="S114" s="5" t="s">
        <v>69</v>
      </c>
      <c r="T114" s="1">
        <v>7</v>
      </c>
      <c r="U114" s="1">
        <v>103</v>
      </c>
      <c r="V114" s="1">
        <v>36</v>
      </c>
    </row>
    <row r="115" spans="1:22" x14ac:dyDescent="0.3">
      <c r="A115" s="48">
        <v>108</v>
      </c>
      <c r="B115" s="4"/>
      <c r="C115" s="6" t="s">
        <v>178</v>
      </c>
      <c r="D115" s="5"/>
      <c r="E115" s="5" t="s">
        <v>68</v>
      </c>
      <c r="F115" s="5" t="s">
        <v>210</v>
      </c>
      <c r="G115" s="5" t="s">
        <v>57</v>
      </c>
      <c r="H115" s="5" t="s">
        <v>51</v>
      </c>
      <c r="I115" s="5" t="s">
        <v>53</v>
      </c>
      <c r="J115" s="5" t="s">
        <v>52</v>
      </c>
      <c r="K115" s="5" t="s">
        <v>62</v>
      </c>
      <c r="L115" s="5" t="s">
        <v>55</v>
      </c>
      <c r="M115" s="5" t="s">
        <v>63</v>
      </c>
      <c r="N115" s="5" t="s">
        <v>71</v>
      </c>
      <c r="O115" s="5" t="s">
        <v>65</v>
      </c>
      <c r="P115" s="5" t="s">
        <v>60</v>
      </c>
      <c r="Q115" s="5" t="s">
        <v>47</v>
      </c>
      <c r="R115" s="5" t="s">
        <v>207</v>
      </c>
      <c r="S115" s="5" t="s">
        <v>69</v>
      </c>
      <c r="T115" s="1">
        <v>7</v>
      </c>
      <c r="U115" s="1">
        <v>99</v>
      </c>
      <c r="V115" s="1">
        <v>37</v>
      </c>
    </row>
    <row r="116" spans="1:22" x14ac:dyDescent="0.3">
      <c r="A116" s="48">
        <v>109</v>
      </c>
      <c r="B116" s="4"/>
      <c r="C116" s="6" t="s">
        <v>136</v>
      </c>
      <c r="D116" s="5"/>
      <c r="E116" s="5" t="s">
        <v>70</v>
      </c>
      <c r="F116" s="5" t="s">
        <v>210</v>
      </c>
      <c r="G116" s="5" t="s">
        <v>57</v>
      </c>
      <c r="H116" s="5" t="s">
        <v>74</v>
      </c>
      <c r="I116" s="5" t="s">
        <v>53</v>
      </c>
      <c r="J116" s="5" t="s">
        <v>72</v>
      </c>
      <c r="K116" s="5" t="s">
        <v>73</v>
      </c>
      <c r="L116" s="5" t="s">
        <v>56</v>
      </c>
      <c r="M116" s="5" t="s">
        <v>63</v>
      </c>
      <c r="N116" s="5" t="s">
        <v>71</v>
      </c>
      <c r="O116" s="5" t="s">
        <v>59</v>
      </c>
      <c r="P116" s="5" t="s">
        <v>67</v>
      </c>
      <c r="Q116" s="5" t="s">
        <v>47</v>
      </c>
      <c r="R116" s="5" t="s">
        <v>50</v>
      </c>
      <c r="S116" s="5" t="s">
        <v>69</v>
      </c>
      <c r="T116" s="1">
        <v>7</v>
      </c>
      <c r="U116" s="1">
        <v>103</v>
      </c>
      <c r="V116" s="1">
        <v>38</v>
      </c>
    </row>
    <row r="117" spans="1:22" x14ac:dyDescent="0.3">
      <c r="A117" s="48">
        <v>110</v>
      </c>
      <c r="B117" s="4"/>
      <c r="C117" s="6" t="s">
        <v>189</v>
      </c>
      <c r="D117" s="5"/>
      <c r="E117" s="5" t="s">
        <v>68</v>
      </c>
      <c r="F117" s="5" t="s">
        <v>210</v>
      </c>
      <c r="G117" s="5" t="s">
        <v>57</v>
      </c>
      <c r="H117" s="5" t="s">
        <v>74</v>
      </c>
      <c r="I117" s="5" t="s">
        <v>58</v>
      </c>
      <c r="J117" s="5" t="s">
        <v>72</v>
      </c>
      <c r="K117" s="5" t="s">
        <v>73</v>
      </c>
      <c r="L117" s="5" t="s">
        <v>56</v>
      </c>
      <c r="M117" s="5" t="s">
        <v>64</v>
      </c>
      <c r="N117" s="5" t="s">
        <v>71</v>
      </c>
      <c r="O117" s="5" t="s">
        <v>65</v>
      </c>
      <c r="P117" s="5" t="s">
        <v>67</v>
      </c>
      <c r="Q117" s="5" t="s">
        <v>47</v>
      </c>
      <c r="R117" s="5" t="s">
        <v>50</v>
      </c>
      <c r="S117" s="5" t="s">
        <v>69</v>
      </c>
      <c r="T117" s="1">
        <v>7</v>
      </c>
      <c r="U117" s="1">
        <v>105</v>
      </c>
      <c r="V117" s="1">
        <v>40</v>
      </c>
    </row>
    <row r="118" spans="1:22" x14ac:dyDescent="0.3">
      <c r="A118" s="48">
        <v>111</v>
      </c>
      <c r="B118" s="4"/>
      <c r="C118" s="6" t="s">
        <v>12</v>
      </c>
      <c r="D118" s="5"/>
      <c r="E118" s="5" t="s">
        <v>68</v>
      </c>
      <c r="F118" s="5" t="s">
        <v>210</v>
      </c>
      <c r="G118" s="5" t="s">
        <v>208</v>
      </c>
      <c r="H118" s="5" t="s">
        <v>51</v>
      </c>
      <c r="I118" s="5" t="s">
        <v>53</v>
      </c>
      <c r="J118" s="5" t="s">
        <v>52</v>
      </c>
      <c r="K118" s="5" t="s">
        <v>73</v>
      </c>
      <c r="L118" s="5" t="s">
        <v>56</v>
      </c>
      <c r="M118" s="5" t="s">
        <v>64</v>
      </c>
      <c r="N118" s="5" t="s">
        <v>71</v>
      </c>
      <c r="O118" s="5" t="s">
        <v>59</v>
      </c>
      <c r="P118" s="5" t="s">
        <v>67</v>
      </c>
      <c r="Q118" s="5" t="s">
        <v>47</v>
      </c>
      <c r="R118" s="5" t="s">
        <v>207</v>
      </c>
      <c r="S118" s="5" t="s">
        <v>69</v>
      </c>
      <c r="T118" s="1">
        <v>7</v>
      </c>
      <c r="U118" s="1">
        <v>106</v>
      </c>
      <c r="V118" s="1">
        <v>40</v>
      </c>
    </row>
    <row r="119" spans="1:22" ht="28.8" x14ac:dyDescent="0.3">
      <c r="A119" s="48">
        <v>112</v>
      </c>
      <c r="B119" s="4"/>
      <c r="C119" s="6" t="s">
        <v>143</v>
      </c>
      <c r="D119" s="5"/>
      <c r="E119" s="5" t="s">
        <v>68</v>
      </c>
      <c r="F119" s="5" t="s">
        <v>61</v>
      </c>
      <c r="G119" s="5" t="s">
        <v>208</v>
      </c>
      <c r="H119" s="5" t="s">
        <v>74</v>
      </c>
      <c r="I119" s="5" t="s">
        <v>53</v>
      </c>
      <c r="J119" s="5" t="s">
        <v>72</v>
      </c>
      <c r="K119" s="5" t="s">
        <v>73</v>
      </c>
      <c r="L119" s="5" t="s">
        <v>55</v>
      </c>
      <c r="M119" s="5" t="s">
        <v>64</v>
      </c>
      <c r="N119" s="5" t="s">
        <v>71</v>
      </c>
      <c r="O119" s="5" t="s">
        <v>59</v>
      </c>
      <c r="P119" s="5" t="s">
        <v>67</v>
      </c>
      <c r="Q119" s="5" t="s">
        <v>47</v>
      </c>
      <c r="R119" s="5" t="s">
        <v>207</v>
      </c>
      <c r="S119" s="5" t="s">
        <v>69</v>
      </c>
      <c r="T119" s="1">
        <v>7</v>
      </c>
      <c r="U119" s="1">
        <v>105</v>
      </c>
      <c r="V119" s="1">
        <v>41</v>
      </c>
    </row>
    <row r="120" spans="1:22" ht="28.8" x14ac:dyDescent="0.3">
      <c r="A120" s="48">
        <v>113</v>
      </c>
      <c r="B120" s="4"/>
      <c r="C120" s="6" t="s">
        <v>163</v>
      </c>
      <c r="D120" s="5"/>
      <c r="E120" s="5" t="s">
        <v>68</v>
      </c>
      <c r="F120" s="5" t="s">
        <v>210</v>
      </c>
      <c r="G120" s="5" t="s">
        <v>208</v>
      </c>
      <c r="H120" s="5" t="s">
        <v>51</v>
      </c>
      <c r="I120" s="5" t="s">
        <v>53</v>
      </c>
      <c r="J120" s="5" t="s">
        <v>52</v>
      </c>
      <c r="K120" s="5" t="s">
        <v>73</v>
      </c>
      <c r="L120" s="5" t="s">
        <v>55</v>
      </c>
      <c r="M120" s="5" t="s">
        <v>64</v>
      </c>
      <c r="N120" s="5" t="s">
        <v>71</v>
      </c>
      <c r="O120" s="5" t="s">
        <v>59</v>
      </c>
      <c r="P120" s="5" t="s">
        <v>67</v>
      </c>
      <c r="Q120" s="5" t="s">
        <v>47</v>
      </c>
      <c r="R120" s="5" t="s">
        <v>50</v>
      </c>
      <c r="S120" s="5" t="s">
        <v>69</v>
      </c>
      <c r="T120" s="1">
        <v>7</v>
      </c>
      <c r="U120" s="1">
        <v>114</v>
      </c>
      <c r="V120" s="1">
        <v>41</v>
      </c>
    </row>
    <row r="121" spans="1:22" x14ac:dyDescent="0.3">
      <c r="A121" s="48">
        <v>114</v>
      </c>
      <c r="B121" s="4"/>
      <c r="C121" s="6" t="s">
        <v>169</v>
      </c>
      <c r="D121" s="5"/>
      <c r="E121" s="5" t="s">
        <v>68</v>
      </c>
      <c r="F121" s="5" t="s">
        <v>210</v>
      </c>
      <c r="G121" s="5" t="s">
        <v>208</v>
      </c>
      <c r="H121" s="5" t="s">
        <v>51</v>
      </c>
      <c r="I121" s="5" t="s">
        <v>53</v>
      </c>
      <c r="J121" s="5" t="s">
        <v>52</v>
      </c>
      <c r="K121" s="5" t="s">
        <v>73</v>
      </c>
      <c r="L121" s="5" t="s">
        <v>55</v>
      </c>
      <c r="M121" s="5" t="s">
        <v>64</v>
      </c>
      <c r="N121" s="5" t="s">
        <v>71</v>
      </c>
      <c r="O121" s="5" t="s">
        <v>65</v>
      </c>
      <c r="P121" s="5" t="s">
        <v>60</v>
      </c>
      <c r="Q121" s="5" t="s">
        <v>47</v>
      </c>
      <c r="R121" s="5" t="s">
        <v>50</v>
      </c>
      <c r="S121" s="5" t="s">
        <v>69</v>
      </c>
      <c r="T121" s="1">
        <v>7</v>
      </c>
      <c r="U121" s="1">
        <v>104</v>
      </c>
      <c r="V121" s="1">
        <v>41</v>
      </c>
    </row>
    <row r="122" spans="1:22" x14ac:dyDescent="0.3">
      <c r="A122" s="48">
        <v>115</v>
      </c>
      <c r="B122" s="4"/>
      <c r="C122" s="6" t="s">
        <v>155</v>
      </c>
      <c r="D122" s="5"/>
      <c r="E122" s="5" t="s">
        <v>68</v>
      </c>
      <c r="F122" s="5" t="s">
        <v>61</v>
      </c>
      <c r="G122" s="5" t="s">
        <v>57</v>
      </c>
      <c r="H122" s="5" t="s">
        <v>74</v>
      </c>
      <c r="I122" s="5" t="s">
        <v>53</v>
      </c>
      <c r="J122" s="5" t="s">
        <v>52</v>
      </c>
      <c r="K122" s="5" t="s">
        <v>73</v>
      </c>
      <c r="L122" s="5" t="s">
        <v>55</v>
      </c>
      <c r="M122" s="5" t="s">
        <v>64</v>
      </c>
      <c r="N122" s="5" t="s">
        <v>71</v>
      </c>
      <c r="O122" s="5" t="s">
        <v>65</v>
      </c>
      <c r="P122" s="5" t="s">
        <v>67</v>
      </c>
      <c r="Q122" s="5" t="s">
        <v>47</v>
      </c>
      <c r="R122" s="5" t="s">
        <v>207</v>
      </c>
      <c r="S122" s="5" t="s">
        <v>66</v>
      </c>
      <c r="T122" s="1">
        <v>7</v>
      </c>
      <c r="U122" s="1">
        <v>101</v>
      </c>
      <c r="V122" s="1">
        <v>42</v>
      </c>
    </row>
    <row r="123" spans="1:22" x14ac:dyDescent="0.3">
      <c r="A123" s="48">
        <v>116</v>
      </c>
      <c r="B123" s="4"/>
      <c r="C123" s="6" t="s">
        <v>144</v>
      </c>
      <c r="D123" s="5"/>
      <c r="E123" s="5" t="s">
        <v>70</v>
      </c>
      <c r="F123" s="5" t="s">
        <v>210</v>
      </c>
      <c r="G123" s="5" t="s">
        <v>57</v>
      </c>
      <c r="H123" s="5" t="s">
        <v>51</v>
      </c>
      <c r="I123" s="5" t="s">
        <v>58</v>
      </c>
      <c r="J123" s="5" t="s">
        <v>72</v>
      </c>
      <c r="K123" s="5" t="s">
        <v>73</v>
      </c>
      <c r="L123" s="5" t="s">
        <v>56</v>
      </c>
      <c r="M123" s="5" t="s">
        <v>64</v>
      </c>
      <c r="N123" s="5" t="s">
        <v>75</v>
      </c>
      <c r="O123" s="5" t="s">
        <v>65</v>
      </c>
      <c r="P123" s="5" t="s">
        <v>67</v>
      </c>
      <c r="Q123" s="5" t="s">
        <v>47</v>
      </c>
      <c r="R123" s="5" t="s">
        <v>50</v>
      </c>
      <c r="S123" s="5" t="s">
        <v>66</v>
      </c>
      <c r="T123" s="1">
        <v>7</v>
      </c>
      <c r="U123" s="1">
        <v>107</v>
      </c>
      <c r="V123" s="1">
        <v>42</v>
      </c>
    </row>
    <row r="124" spans="1:22" x14ac:dyDescent="0.3">
      <c r="A124" s="48">
        <v>117</v>
      </c>
      <c r="B124" s="4"/>
      <c r="C124" s="6" t="s">
        <v>96</v>
      </c>
      <c r="D124" s="5"/>
      <c r="E124" s="5" t="s">
        <v>68</v>
      </c>
      <c r="F124" s="5" t="s">
        <v>61</v>
      </c>
      <c r="G124" s="5" t="s">
        <v>57</v>
      </c>
      <c r="H124" s="5" t="s">
        <v>51</v>
      </c>
      <c r="I124" s="5" t="s">
        <v>58</v>
      </c>
      <c r="J124" s="5" t="s">
        <v>72</v>
      </c>
      <c r="K124" s="5" t="s">
        <v>62</v>
      </c>
      <c r="L124" s="5" t="s">
        <v>55</v>
      </c>
      <c r="M124" s="5" t="s">
        <v>64</v>
      </c>
      <c r="N124" s="5" t="s">
        <v>71</v>
      </c>
      <c r="O124" s="5" t="s">
        <v>65</v>
      </c>
      <c r="P124" s="5" t="s">
        <v>67</v>
      </c>
      <c r="Q124" s="5" t="s">
        <v>54</v>
      </c>
      <c r="R124" s="5" t="s">
        <v>207</v>
      </c>
      <c r="S124" s="5" t="s">
        <v>69</v>
      </c>
      <c r="T124" s="1">
        <v>7</v>
      </c>
      <c r="U124" s="1">
        <v>101</v>
      </c>
      <c r="V124" s="1">
        <v>44</v>
      </c>
    </row>
    <row r="125" spans="1:22" ht="28.8" x14ac:dyDescent="0.3">
      <c r="A125" s="48">
        <v>118</v>
      </c>
      <c r="B125" s="4"/>
      <c r="C125" s="6" t="s">
        <v>15</v>
      </c>
      <c r="D125" s="5"/>
      <c r="E125" s="5" t="s">
        <v>70</v>
      </c>
      <c r="F125" s="5" t="s">
        <v>210</v>
      </c>
      <c r="G125" s="5" t="s">
        <v>208</v>
      </c>
      <c r="H125" s="5" t="s">
        <v>51</v>
      </c>
      <c r="I125" s="5" t="s">
        <v>53</v>
      </c>
      <c r="J125" s="5" t="s">
        <v>52</v>
      </c>
      <c r="K125" s="5" t="s">
        <v>62</v>
      </c>
      <c r="L125" s="5" t="s">
        <v>55</v>
      </c>
      <c r="M125" s="5" t="s">
        <v>64</v>
      </c>
      <c r="N125" s="5" t="s">
        <v>71</v>
      </c>
      <c r="O125" s="5" t="s">
        <v>59</v>
      </c>
      <c r="P125" s="5" t="s">
        <v>67</v>
      </c>
      <c r="Q125" s="5" t="s">
        <v>47</v>
      </c>
      <c r="R125" s="5" t="s">
        <v>50</v>
      </c>
      <c r="S125" s="5" t="s">
        <v>69</v>
      </c>
      <c r="T125" s="1">
        <v>7</v>
      </c>
      <c r="U125" s="1">
        <v>99</v>
      </c>
      <c r="V125" s="1">
        <v>44</v>
      </c>
    </row>
    <row r="126" spans="1:22" x14ac:dyDescent="0.3">
      <c r="A126" s="48">
        <v>119</v>
      </c>
      <c r="B126" s="4"/>
      <c r="C126" s="6" t="s">
        <v>173</v>
      </c>
      <c r="D126" s="5"/>
      <c r="E126" s="5" t="s">
        <v>70</v>
      </c>
      <c r="F126" s="5" t="s">
        <v>61</v>
      </c>
      <c r="G126" s="5" t="s">
        <v>208</v>
      </c>
      <c r="H126" s="5" t="s">
        <v>74</v>
      </c>
      <c r="I126" s="5" t="s">
        <v>58</v>
      </c>
      <c r="J126" s="5" t="s">
        <v>72</v>
      </c>
      <c r="K126" s="5" t="s">
        <v>73</v>
      </c>
      <c r="L126" s="5" t="s">
        <v>55</v>
      </c>
      <c r="M126" s="5" t="s">
        <v>63</v>
      </c>
      <c r="N126" s="5" t="s">
        <v>71</v>
      </c>
      <c r="O126" s="5" t="s">
        <v>65</v>
      </c>
      <c r="P126" s="5" t="s">
        <v>67</v>
      </c>
      <c r="Q126" s="5" t="s">
        <v>54</v>
      </c>
      <c r="R126" s="5" t="s">
        <v>207</v>
      </c>
      <c r="S126" s="5" t="s">
        <v>66</v>
      </c>
      <c r="T126" s="1">
        <v>7</v>
      </c>
      <c r="U126" s="1">
        <v>105</v>
      </c>
      <c r="V126" s="1">
        <v>44</v>
      </c>
    </row>
    <row r="127" spans="1:22" ht="28.8" x14ac:dyDescent="0.3">
      <c r="A127" s="48">
        <v>120</v>
      </c>
      <c r="B127" s="4"/>
      <c r="C127" s="6" t="s">
        <v>154</v>
      </c>
      <c r="D127" s="5"/>
      <c r="E127" s="5" t="s">
        <v>68</v>
      </c>
      <c r="F127" s="5" t="s">
        <v>61</v>
      </c>
      <c r="G127" s="5" t="s">
        <v>57</v>
      </c>
      <c r="H127" s="5" t="s">
        <v>51</v>
      </c>
      <c r="I127" s="5" t="s">
        <v>53</v>
      </c>
      <c r="J127" s="5" t="s">
        <v>52</v>
      </c>
      <c r="K127" s="5" t="s">
        <v>73</v>
      </c>
      <c r="L127" s="5" t="s">
        <v>55</v>
      </c>
      <c r="M127" s="5" t="s">
        <v>64</v>
      </c>
      <c r="N127" s="5" t="s">
        <v>71</v>
      </c>
      <c r="O127" s="5" t="s">
        <v>65</v>
      </c>
      <c r="P127" s="5" t="s">
        <v>60</v>
      </c>
      <c r="Q127" s="5" t="s">
        <v>47</v>
      </c>
      <c r="R127" s="5" t="s">
        <v>50</v>
      </c>
      <c r="S127" s="5" t="s">
        <v>69</v>
      </c>
      <c r="T127" s="1">
        <v>7</v>
      </c>
      <c r="U127" s="1">
        <v>109</v>
      </c>
      <c r="V127" s="1">
        <v>44</v>
      </c>
    </row>
    <row r="128" spans="1:22" x14ac:dyDescent="0.3">
      <c r="A128" s="48">
        <v>121</v>
      </c>
      <c r="B128" s="4"/>
      <c r="C128" s="6" t="s">
        <v>98</v>
      </c>
      <c r="D128" s="5"/>
      <c r="E128" s="5" t="s">
        <v>70</v>
      </c>
      <c r="F128" s="5" t="s">
        <v>61</v>
      </c>
      <c r="G128" s="5" t="s">
        <v>208</v>
      </c>
      <c r="H128" s="5" t="s">
        <v>74</v>
      </c>
      <c r="I128" s="5" t="s">
        <v>53</v>
      </c>
      <c r="J128" s="5" t="s">
        <v>72</v>
      </c>
      <c r="K128" s="5" t="s">
        <v>73</v>
      </c>
      <c r="L128" s="5" t="s">
        <v>56</v>
      </c>
      <c r="M128" s="5" t="s">
        <v>64</v>
      </c>
      <c r="N128" s="5" t="s">
        <v>71</v>
      </c>
      <c r="O128" s="5" t="s">
        <v>59</v>
      </c>
      <c r="P128" s="5" t="s">
        <v>67</v>
      </c>
      <c r="Q128" s="5" t="s">
        <v>47</v>
      </c>
      <c r="R128" s="5" t="s">
        <v>207</v>
      </c>
      <c r="S128" s="5" t="s">
        <v>69</v>
      </c>
      <c r="T128" s="1">
        <v>7</v>
      </c>
      <c r="U128" s="1">
        <v>115</v>
      </c>
      <c r="V128" s="1">
        <v>45</v>
      </c>
    </row>
    <row r="129" spans="1:22" x14ac:dyDescent="0.3">
      <c r="A129" s="48">
        <v>122</v>
      </c>
      <c r="B129" s="4"/>
      <c r="C129" s="6" t="s">
        <v>130</v>
      </c>
      <c r="D129" s="5"/>
      <c r="E129" s="5" t="s">
        <v>68</v>
      </c>
      <c r="F129" s="5" t="s">
        <v>210</v>
      </c>
      <c r="G129" s="5" t="s">
        <v>208</v>
      </c>
      <c r="H129" s="5" t="s">
        <v>51</v>
      </c>
      <c r="I129" s="5" t="s">
        <v>53</v>
      </c>
      <c r="J129" s="5" t="s">
        <v>72</v>
      </c>
      <c r="K129" s="5" t="s">
        <v>62</v>
      </c>
      <c r="L129" s="5" t="s">
        <v>55</v>
      </c>
      <c r="M129" s="5" t="s">
        <v>63</v>
      </c>
      <c r="N129" s="5" t="s">
        <v>71</v>
      </c>
      <c r="O129" s="5" t="s">
        <v>59</v>
      </c>
      <c r="P129" s="5" t="s">
        <v>60</v>
      </c>
      <c r="Q129" s="5" t="s">
        <v>54</v>
      </c>
      <c r="R129" s="5" t="s">
        <v>207</v>
      </c>
      <c r="S129" s="5" t="s">
        <v>69</v>
      </c>
      <c r="T129" s="1">
        <v>7</v>
      </c>
      <c r="U129" s="1">
        <v>103</v>
      </c>
      <c r="V129" s="1">
        <v>45</v>
      </c>
    </row>
    <row r="130" spans="1:22" ht="28.8" x14ac:dyDescent="0.3">
      <c r="A130" s="48">
        <v>123</v>
      </c>
      <c r="B130" s="4"/>
      <c r="C130" s="6" t="s">
        <v>175</v>
      </c>
      <c r="D130" s="5"/>
      <c r="E130" s="5" t="s">
        <v>68</v>
      </c>
      <c r="F130" s="5" t="s">
        <v>210</v>
      </c>
      <c r="G130" s="5" t="s">
        <v>208</v>
      </c>
      <c r="H130" s="5" t="s">
        <v>51</v>
      </c>
      <c r="I130" s="5" t="s">
        <v>53</v>
      </c>
      <c r="J130" s="5" t="s">
        <v>52</v>
      </c>
      <c r="K130" s="5" t="s">
        <v>73</v>
      </c>
      <c r="L130" s="5" t="s">
        <v>56</v>
      </c>
      <c r="M130" s="5" t="s">
        <v>64</v>
      </c>
      <c r="N130" s="5" t="s">
        <v>71</v>
      </c>
      <c r="O130" s="5" t="s">
        <v>59</v>
      </c>
      <c r="P130" s="5" t="s">
        <v>60</v>
      </c>
      <c r="Q130" s="5" t="s">
        <v>47</v>
      </c>
      <c r="R130" s="5" t="s">
        <v>50</v>
      </c>
      <c r="S130" s="5" t="s">
        <v>69</v>
      </c>
      <c r="T130" s="1">
        <v>7</v>
      </c>
      <c r="U130" s="1">
        <v>93</v>
      </c>
      <c r="V130" s="1">
        <v>45</v>
      </c>
    </row>
    <row r="131" spans="1:22" x14ac:dyDescent="0.3">
      <c r="A131" s="48">
        <v>124</v>
      </c>
      <c r="B131" s="4"/>
      <c r="C131" s="6" t="s">
        <v>91</v>
      </c>
      <c r="D131" s="5"/>
      <c r="E131" s="5" t="s">
        <v>68</v>
      </c>
      <c r="F131" s="5" t="s">
        <v>61</v>
      </c>
      <c r="G131" s="5" t="s">
        <v>57</v>
      </c>
      <c r="H131" s="5" t="s">
        <v>51</v>
      </c>
      <c r="I131" s="5" t="s">
        <v>58</v>
      </c>
      <c r="J131" s="5" t="s">
        <v>52</v>
      </c>
      <c r="K131" s="5" t="s">
        <v>62</v>
      </c>
      <c r="L131" s="5" t="s">
        <v>55</v>
      </c>
      <c r="M131" s="5" t="s">
        <v>64</v>
      </c>
      <c r="N131" s="5" t="s">
        <v>71</v>
      </c>
      <c r="O131" s="5" t="s">
        <v>65</v>
      </c>
      <c r="P131" s="5" t="s">
        <v>60</v>
      </c>
      <c r="Q131" s="5" t="s">
        <v>47</v>
      </c>
      <c r="R131" s="5" t="s">
        <v>207</v>
      </c>
      <c r="S131" s="5" t="s">
        <v>66</v>
      </c>
      <c r="T131" s="1">
        <v>7</v>
      </c>
      <c r="U131" s="1">
        <v>90</v>
      </c>
      <c r="V131" s="1">
        <v>45</v>
      </c>
    </row>
    <row r="132" spans="1:22" ht="28.8" x14ac:dyDescent="0.3">
      <c r="A132" s="48">
        <v>125</v>
      </c>
      <c r="B132" s="4"/>
      <c r="C132" s="6" t="s">
        <v>114</v>
      </c>
      <c r="D132" s="5"/>
      <c r="E132" s="5" t="s">
        <v>68</v>
      </c>
      <c r="F132" s="5" t="s">
        <v>210</v>
      </c>
      <c r="G132" s="5" t="s">
        <v>57</v>
      </c>
      <c r="H132" s="5" t="s">
        <v>74</v>
      </c>
      <c r="I132" s="5" t="s">
        <v>53</v>
      </c>
      <c r="J132" s="5" t="s">
        <v>72</v>
      </c>
      <c r="K132" s="5" t="s">
        <v>73</v>
      </c>
      <c r="L132" s="5" t="s">
        <v>56</v>
      </c>
      <c r="M132" s="5" t="s">
        <v>64</v>
      </c>
      <c r="N132" s="5" t="s">
        <v>71</v>
      </c>
      <c r="O132" s="5" t="s">
        <v>59</v>
      </c>
      <c r="P132" s="5" t="s">
        <v>67</v>
      </c>
      <c r="Q132" s="5" t="s">
        <v>54</v>
      </c>
      <c r="R132" s="5" t="s">
        <v>50</v>
      </c>
      <c r="S132" s="5" t="s">
        <v>66</v>
      </c>
      <c r="T132" s="1">
        <v>7</v>
      </c>
      <c r="U132" s="1">
        <v>106</v>
      </c>
      <c r="V132" s="1">
        <v>47</v>
      </c>
    </row>
    <row r="133" spans="1:22" x14ac:dyDescent="0.3">
      <c r="A133" s="48">
        <v>126</v>
      </c>
      <c r="B133" s="4"/>
      <c r="C133" s="6" t="s">
        <v>194</v>
      </c>
      <c r="D133" s="5"/>
      <c r="E133" s="5" t="s">
        <v>68</v>
      </c>
      <c r="F133" s="5" t="s">
        <v>210</v>
      </c>
      <c r="G133" s="5" t="s">
        <v>208</v>
      </c>
      <c r="H133" s="5" t="s">
        <v>74</v>
      </c>
      <c r="I133" s="5" t="s">
        <v>53</v>
      </c>
      <c r="J133" s="5" t="s">
        <v>72</v>
      </c>
      <c r="K133" s="5" t="s">
        <v>62</v>
      </c>
      <c r="L133" s="5" t="s">
        <v>55</v>
      </c>
      <c r="M133" s="5" t="s">
        <v>63</v>
      </c>
      <c r="N133" s="5" t="s">
        <v>75</v>
      </c>
      <c r="O133" s="5" t="s">
        <v>65</v>
      </c>
      <c r="P133" s="5" t="s">
        <v>67</v>
      </c>
      <c r="Q133" s="5" t="s">
        <v>54</v>
      </c>
      <c r="R133" s="5" t="s">
        <v>207</v>
      </c>
      <c r="S133" s="5" t="s">
        <v>69</v>
      </c>
      <c r="T133" s="1">
        <v>7</v>
      </c>
      <c r="U133" s="1">
        <v>96</v>
      </c>
      <c r="V133" s="1">
        <v>47</v>
      </c>
    </row>
    <row r="134" spans="1:22" ht="28.8" x14ac:dyDescent="0.3">
      <c r="A134" s="48">
        <v>127</v>
      </c>
      <c r="B134" s="4"/>
      <c r="C134" s="6" t="s">
        <v>24</v>
      </c>
      <c r="D134" s="5"/>
      <c r="E134" s="5" t="s">
        <v>68</v>
      </c>
      <c r="F134" s="5" t="s">
        <v>210</v>
      </c>
      <c r="G134" s="5" t="s">
        <v>57</v>
      </c>
      <c r="H134" s="5" t="s">
        <v>51</v>
      </c>
      <c r="I134" s="5" t="s">
        <v>53</v>
      </c>
      <c r="J134" s="5" t="s">
        <v>72</v>
      </c>
      <c r="K134" s="5" t="s">
        <v>62</v>
      </c>
      <c r="L134" s="5" t="s">
        <v>55</v>
      </c>
      <c r="M134" s="5" t="s">
        <v>64</v>
      </c>
      <c r="N134" s="5" t="s">
        <v>71</v>
      </c>
      <c r="O134" s="5" t="s">
        <v>65</v>
      </c>
      <c r="P134" s="5" t="s">
        <v>60</v>
      </c>
      <c r="Q134" s="5" t="s">
        <v>47</v>
      </c>
      <c r="R134" s="5" t="s">
        <v>207</v>
      </c>
      <c r="S134" s="5" t="s">
        <v>69</v>
      </c>
      <c r="T134" s="1">
        <v>7</v>
      </c>
      <c r="U134" s="1">
        <v>103</v>
      </c>
      <c r="V134" s="1">
        <v>47</v>
      </c>
    </row>
    <row r="135" spans="1:22" x14ac:dyDescent="0.3">
      <c r="A135" s="48">
        <v>128</v>
      </c>
      <c r="B135" s="4"/>
      <c r="C135" s="6" t="s">
        <v>109</v>
      </c>
      <c r="D135" s="5"/>
      <c r="E135" s="5" t="s">
        <v>68</v>
      </c>
      <c r="F135" s="5" t="s">
        <v>61</v>
      </c>
      <c r="G135" s="5" t="s">
        <v>57</v>
      </c>
      <c r="H135" s="5" t="s">
        <v>74</v>
      </c>
      <c r="I135" s="5" t="s">
        <v>53</v>
      </c>
      <c r="J135" s="5" t="s">
        <v>52</v>
      </c>
      <c r="K135" s="5" t="s">
        <v>73</v>
      </c>
      <c r="L135" s="5" t="s">
        <v>56</v>
      </c>
      <c r="M135" s="5" t="s">
        <v>64</v>
      </c>
      <c r="N135" s="5" t="s">
        <v>71</v>
      </c>
      <c r="O135" s="5" t="s">
        <v>65</v>
      </c>
      <c r="P135" s="5" t="s">
        <v>67</v>
      </c>
      <c r="Q135" s="5" t="s">
        <v>47</v>
      </c>
      <c r="R135" s="5" t="s">
        <v>207</v>
      </c>
      <c r="S135" s="5" t="s">
        <v>69</v>
      </c>
      <c r="T135" s="1">
        <v>7</v>
      </c>
      <c r="U135" s="1">
        <v>105</v>
      </c>
      <c r="V135" s="1">
        <v>48</v>
      </c>
    </row>
    <row r="136" spans="1:22" ht="28.8" x14ac:dyDescent="0.3">
      <c r="A136" s="48">
        <v>129</v>
      </c>
      <c r="B136" s="4"/>
      <c r="C136" s="6" t="s">
        <v>184</v>
      </c>
      <c r="D136" s="5"/>
      <c r="E136" s="5" t="s">
        <v>68</v>
      </c>
      <c r="F136" s="5" t="s">
        <v>210</v>
      </c>
      <c r="G136" s="5" t="s">
        <v>208</v>
      </c>
      <c r="H136" s="5" t="s">
        <v>51</v>
      </c>
      <c r="I136" s="5" t="s">
        <v>53</v>
      </c>
      <c r="J136" s="5" t="s">
        <v>52</v>
      </c>
      <c r="K136" s="5" t="s">
        <v>73</v>
      </c>
      <c r="L136" s="5" t="s">
        <v>55</v>
      </c>
      <c r="M136" s="5" t="s">
        <v>63</v>
      </c>
      <c r="N136" s="5" t="s">
        <v>71</v>
      </c>
      <c r="O136" s="5" t="s">
        <v>59</v>
      </c>
      <c r="P136" s="5" t="s">
        <v>60</v>
      </c>
      <c r="Q136" s="5" t="s">
        <v>47</v>
      </c>
      <c r="R136" s="5" t="s">
        <v>50</v>
      </c>
      <c r="S136" s="5" t="s">
        <v>69</v>
      </c>
      <c r="T136" s="1">
        <v>7</v>
      </c>
      <c r="U136" s="1">
        <v>100</v>
      </c>
      <c r="V136" s="1">
        <v>52</v>
      </c>
    </row>
    <row r="137" spans="1:22" x14ac:dyDescent="0.3">
      <c r="A137" s="48">
        <v>130</v>
      </c>
      <c r="B137" s="4"/>
      <c r="C137" s="6" t="s">
        <v>111</v>
      </c>
      <c r="D137" s="5"/>
      <c r="E137" s="5" t="s">
        <v>70</v>
      </c>
      <c r="F137" s="5" t="s">
        <v>61</v>
      </c>
      <c r="G137" s="5" t="s">
        <v>208</v>
      </c>
      <c r="H137" s="5" t="s">
        <v>51</v>
      </c>
      <c r="I137" s="5" t="s">
        <v>53</v>
      </c>
      <c r="J137" s="5" t="s">
        <v>52</v>
      </c>
      <c r="K137" s="5" t="s">
        <v>73</v>
      </c>
      <c r="L137" s="5" t="s">
        <v>55</v>
      </c>
      <c r="M137" s="5" t="s">
        <v>63</v>
      </c>
      <c r="N137" s="5" t="s">
        <v>71</v>
      </c>
      <c r="O137" s="5" t="s">
        <v>59</v>
      </c>
      <c r="P137" s="5" t="s">
        <v>67</v>
      </c>
      <c r="Q137" s="5" t="s">
        <v>47</v>
      </c>
      <c r="R137" s="5" t="s">
        <v>50</v>
      </c>
      <c r="S137" s="5" t="s">
        <v>69</v>
      </c>
      <c r="T137" s="1">
        <v>6</v>
      </c>
      <c r="U137" s="1">
        <v>100</v>
      </c>
      <c r="V137" s="1">
        <v>18</v>
      </c>
    </row>
    <row r="138" spans="1:22" ht="28.8" x14ac:dyDescent="0.3">
      <c r="A138" s="48">
        <v>131</v>
      </c>
      <c r="B138" s="4"/>
      <c r="C138" s="6" t="s">
        <v>124</v>
      </c>
      <c r="D138" s="5"/>
      <c r="E138" s="5" t="s">
        <v>68</v>
      </c>
      <c r="F138" s="5" t="s">
        <v>210</v>
      </c>
      <c r="G138" s="5" t="s">
        <v>208</v>
      </c>
      <c r="H138" s="5" t="s">
        <v>51</v>
      </c>
      <c r="I138" s="5" t="s">
        <v>58</v>
      </c>
      <c r="J138" s="5" t="s">
        <v>52</v>
      </c>
      <c r="K138" s="5" t="s">
        <v>62</v>
      </c>
      <c r="L138" s="5" t="s">
        <v>56</v>
      </c>
      <c r="M138" s="5" t="s">
        <v>63</v>
      </c>
      <c r="N138" s="5" t="s">
        <v>71</v>
      </c>
      <c r="O138" s="5" t="s">
        <v>59</v>
      </c>
      <c r="P138" s="5" t="s">
        <v>67</v>
      </c>
      <c r="Q138" s="5" t="s">
        <v>54</v>
      </c>
      <c r="R138" s="5" t="s">
        <v>207</v>
      </c>
      <c r="S138" s="5" t="s">
        <v>66</v>
      </c>
      <c r="T138" s="1">
        <v>6</v>
      </c>
      <c r="U138" s="1">
        <v>85</v>
      </c>
      <c r="V138" s="1">
        <v>39</v>
      </c>
    </row>
    <row r="139" spans="1:22" x14ac:dyDescent="0.3">
      <c r="A139" s="48">
        <v>132</v>
      </c>
      <c r="B139" s="4"/>
      <c r="C139" s="6" t="s">
        <v>127</v>
      </c>
      <c r="D139" s="5"/>
      <c r="E139" s="5" t="s">
        <v>68</v>
      </c>
      <c r="F139" s="5" t="s">
        <v>61</v>
      </c>
      <c r="G139" s="5" t="s">
        <v>208</v>
      </c>
      <c r="H139" s="5" t="s">
        <v>74</v>
      </c>
      <c r="I139" s="5" t="s">
        <v>53</v>
      </c>
      <c r="J139" s="5" t="s">
        <v>52</v>
      </c>
      <c r="K139" s="5" t="s">
        <v>73</v>
      </c>
      <c r="L139" s="5" t="s">
        <v>56</v>
      </c>
      <c r="M139" s="5" t="s">
        <v>63</v>
      </c>
      <c r="N139" s="5" t="s">
        <v>71</v>
      </c>
      <c r="O139" s="5" t="s">
        <v>59</v>
      </c>
      <c r="P139" s="5" t="s">
        <v>67</v>
      </c>
      <c r="Q139" s="5" t="s">
        <v>54</v>
      </c>
      <c r="R139" s="5" t="s">
        <v>207</v>
      </c>
      <c r="S139" s="5" t="s">
        <v>66</v>
      </c>
      <c r="T139" s="1">
        <v>6</v>
      </c>
      <c r="U139" s="1">
        <v>102</v>
      </c>
      <c r="V139" s="1">
        <v>40</v>
      </c>
    </row>
    <row r="140" spans="1:22" x14ac:dyDescent="0.3">
      <c r="A140" s="48">
        <v>133</v>
      </c>
      <c r="B140" s="4"/>
      <c r="C140" s="6" t="s">
        <v>152</v>
      </c>
      <c r="D140" s="5"/>
      <c r="E140" s="5" t="s">
        <v>68</v>
      </c>
      <c r="F140" s="5" t="s">
        <v>210</v>
      </c>
      <c r="G140" s="5" t="s">
        <v>208</v>
      </c>
      <c r="H140" s="5" t="s">
        <v>51</v>
      </c>
      <c r="I140" s="5" t="s">
        <v>53</v>
      </c>
      <c r="J140" s="5" t="s">
        <v>52</v>
      </c>
      <c r="K140" s="5" t="s">
        <v>73</v>
      </c>
      <c r="L140" s="5" t="s">
        <v>56</v>
      </c>
      <c r="M140" s="5" t="s">
        <v>63</v>
      </c>
      <c r="N140" s="5" t="s">
        <v>75</v>
      </c>
      <c r="O140" s="5" t="s">
        <v>65</v>
      </c>
      <c r="P140" s="5" t="s">
        <v>60</v>
      </c>
      <c r="Q140" s="5" t="s">
        <v>47</v>
      </c>
      <c r="R140" s="5" t="s">
        <v>50</v>
      </c>
      <c r="S140" s="5" t="s">
        <v>69</v>
      </c>
      <c r="T140" s="1">
        <v>6</v>
      </c>
      <c r="U140" s="1">
        <v>113</v>
      </c>
      <c r="V140" s="1">
        <v>40</v>
      </c>
    </row>
    <row r="141" spans="1:22" x14ac:dyDescent="0.3">
      <c r="A141" s="48">
        <v>134</v>
      </c>
      <c r="B141" s="4"/>
      <c r="C141" s="6" t="s">
        <v>101</v>
      </c>
      <c r="D141" s="5"/>
      <c r="E141" s="5" t="s">
        <v>70</v>
      </c>
      <c r="F141" s="5" t="s">
        <v>210</v>
      </c>
      <c r="G141" s="5" t="s">
        <v>208</v>
      </c>
      <c r="H141" s="5" t="s">
        <v>51</v>
      </c>
      <c r="I141" s="5" t="s">
        <v>53</v>
      </c>
      <c r="J141" s="5" t="s">
        <v>52</v>
      </c>
      <c r="K141" s="5" t="s">
        <v>73</v>
      </c>
      <c r="L141" s="5" t="s">
        <v>56</v>
      </c>
      <c r="M141" s="5" t="s">
        <v>64</v>
      </c>
      <c r="N141" s="5" t="s">
        <v>71</v>
      </c>
      <c r="O141" s="5" t="s">
        <v>65</v>
      </c>
      <c r="P141" s="5" t="s">
        <v>67</v>
      </c>
      <c r="Q141" s="5" t="s">
        <v>47</v>
      </c>
      <c r="R141" s="5" t="s">
        <v>207</v>
      </c>
      <c r="S141" s="5" t="s">
        <v>66</v>
      </c>
      <c r="T141" s="1">
        <v>6</v>
      </c>
      <c r="U141" s="1">
        <v>92</v>
      </c>
      <c r="V141" s="1">
        <v>41</v>
      </c>
    </row>
    <row r="142" spans="1:22" ht="28.8" x14ac:dyDescent="0.3">
      <c r="A142" s="48">
        <v>135</v>
      </c>
      <c r="B142" s="4"/>
      <c r="C142" s="6" t="s">
        <v>102</v>
      </c>
      <c r="D142" s="5"/>
      <c r="E142" s="5" t="s">
        <v>70</v>
      </c>
      <c r="F142" s="5" t="s">
        <v>61</v>
      </c>
      <c r="G142" s="5" t="s">
        <v>57</v>
      </c>
      <c r="H142" s="5" t="s">
        <v>74</v>
      </c>
      <c r="I142" s="5" t="s">
        <v>58</v>
      </c>
      <c r="J142" s="5" t="s">
        <v>72</v>
      </c>
      <c r="K142" s="5" t="s">
        <v>62</v>
      </c>
      <c r="L142" s="5" t="s">
        <v>56</v>
      </c>
      <c r="M142" s="5" t="s">
        <v>63</v>
      </c>
      <c r="N142" s="5" t="s">
        <v>71</v>
      </c>
      <c r="O142" s="5" t="s">
        <v>65</v>
      </c>
      <c r="P142" s="5" t="s">
        <v>67</v>
      </c>
      <c r="Q142" s="5" t="s">
        <v>47</v>
      </c>
      <c r="R142" s="5" t="s">
        <v>207</v>
      </c>
      <c r="S142" s="5" t="s">
        <v>69</v>
      </c>
      <c r="T142" s="1">
        <v>6</v>
      </c>
      <c r="U142" s="1">
        <v>98</v>
      </c>
      <c r="V142" s="1">
        <v>42</v>
      </c>
    </row>
    <row r="143" spans="1:22" ht="28.8" x14ac:dyDescent="0.3">
      <c r="A143" s="48">
        <v>136</v>
      </c>
      <c r="B143" s="4"/>
      <c r="C143" s="6" t="s">
        <v>36</v>
      </c>
      <c r="D143" s="5"/>
      <c r="E143" s="5" t="s">
        <v>70</v>
      </c>
      <c r="F143" s="5" t="s">
        <v>210</v>
      </c>
      <c r="G143" s="5" t="s">
        <v>208</v>
      </c>
      <c r="H143" s="5" t="s">
        <v>74</v>
      </c>
      <c r="I143" s="5" t="s">
        <v>53</v>
      </c>
      <c r="J143" s="5" t="s">
        <v>52</v>
      </c>
      <c r="K143" s="5" t="s">
        <v>62</v>
      </c>
      <c r="L143" s="5" t="s">
        <v>56</v>
      </c>
      <c r="M143" s="5" t="s">
        <v>63</v>
      </c>
      <c r="N143" s="5" t="s">
        <v>71</v>
      </c>
      <c r="O143" s="5" t="s">
        <v>65</v>
      </c>
      <c r="P143" s="5" t="s">
        <v>67</v>
      </c>
      <c r="Q143" s="5" t="s">
        <v>47</v>
      </c>
      <c r="R143" s="5" t="s">
        <v>207</v>
      </c>
      <c r="S143" s="5" t="s">
        <v>69</v>
      </c>
      <c r="T143" s="1">
        <v>6</v>
      </c>
      <c r="U143" s="1">
        <v>99</v>
      </c>
      <c r="V143" s="1">
        <v>42</v>
      </c>
    </row>
    <row r="144" spans="1:22" ht="28.8" x14ac:dyDescent="0.3">
      <c r="A144" s="48">
        <v>137</v>
      </c>
      <c r="B144" s="4"/>
      <c r="C144" s="6" t="s">
        <v>80</v>
      </c>
      <c r="D144" s="5"/>
      <c r="E144" s="5" t="s">
        <v>70</v>
      </c>
      <c r="F144" s="5" t="s">
        <v>61</v>
      </c>
      <c r="G144" s="5" t="s">
        <v>208</v>
      </c>
      <c r="H144" s="5" t="s">
        <v>51</v>
      </c>
      <c r="I144" s="5" t="s">
        <v>58</v>
      </c>
      <c r="J144" s="5" t="s">
        <v>72</v>
      </c>
      <c r="K144" s="5" t="s">
        <v>73</v>
      </c>
      <c r="L144" s="5" t="s">
        <v>56</v>
      </c>
      <c r="M144" s="5" t="s">
        <v>64</v>
      </c>
      <c r="N144" s="5" t="s">
        <v>71</v>
      </c>
      <c r="O144" s="5" t="s">
        <v>65</v>
      </c>
      <c r="P144" s="5" t="s">
        <v>67</v>
      </c>
      <c r="Q144" s="5" t="s">
        <v>54</v>
      </c>
      <c r="R144" s="5" t="s">
        <v>207</v>
      </c>
      <c r="S144" s="5" t="s">
        <v>66</v>
      </c>
      <c r="T144" s="1">
        <v>6</v>
      </c>
      <c r="U144" s="1">
        <v>102</v>
      </c>
      <c r="V144" s="1">
        <v>42</v>
      </c>
    </row>
    <row r="145" spans="1:22" x14ac:dyDescent="0.3">
      <c r="A145" s="48">
        <v>138</v>
      </c>
      <c r="B145" s="4"/>
      <c r="C145" s="6" t="s">
        <v>141</v>
      </c>
      <c r="D145" s="5"/>
      <c r="E145" s="5" t="s">
        <v>68</v>
      </c>
      <c r="F145" s="5" t="s">
        <v>210</v>
      </c>
      <c r="G145" s="5" t="s">
        <v>208</v>
      </c>
      <c r="H145" s="5" t="s">
        <v>74</v>
      </c>
      <c r="I145" s="5" t="s">
        <v>58</v>
      </c>
      <c r="J145" s="5" t="s">
        <v>72</v>
      </c>
      <c r="K145" s="5" t="s">
        <v>73</v>
      </c>
      <c r="L145" s="5" t="s">
        <v>56</v>
      </c>
      <c r="M145" s="5" t="s">
        <v>64</v>
      </c>
      <c r="N145" s="5" t="s">
        <v>71</v>
      </c>
      <c r="O145" s="5" t="s">
        <v>65</v>
      </c>
      <c r="P145" s="5" t="s">
        <v>67</v>
      </c>
      <c r="Q145" s="5" t="s">
        <v>54</v>
      </c>
      <c r="R145" s="5" t="s">
        <v>50</v>
      </c>
      <c r="S145" s="5" t="s">
        <v>66</v>
      </c>
      <c r="T145" s="1">
        <v>6</v>
      </c>
      <c r="U145" s="1">
        <v>106</v>
      </c>
      <c r="V145" s="1">
        <v>43</v>
      </c>
    </row>
    <row r="146" spans="1:22" ht="28.8" x14ac:dyDescent="0.3">
      <c r="A146" s="48">
        <v>139</v>
      </c>
      <c r="B146" s="4"/>
      <c r="C146" s="6" t="s">
        <v>112</v>
      </c>
      <c r="D146" s="5"/>
      <c r="E146" s="5" t="s">
        <v>68</v>
      </c>
      <c r="F146" s="5" t="s">
        <v>61</v>
      </c>
      <c r="G146" s="5" t="s">
        <v>208</v>
      </c>
      <c r="H146" s="5" t="s">
        <v>74</v>
      </c>
      <c r="I146" s="5" t="s">
        <v>53</v>
      </c>
      <c r="J146" s="5" t="s">
        <v>72</v>
      </c>
      <c r="K146" s="5" t="s">
        <v>73</v>
      </c>
      <c r="L146" s="5" t="s">
        <v>55</v>
      </c>
      <c r="M146" s="5" t="s">
        <v>64</v>
      </c>
      <c r="N146" s="5" t="s">
        <v>71</v>
      </c>
      <c r="O146" s="5" t="s">
        <v>65</v>
      </c>
      <c r="P146" s="5" t="s">
        <v>67</v>
      </c>
      <c r="Q146" s="5" t="s">
        <v>54</v>
      </c>
      <c r="R146" s="5" t="s">
        <v>207</v>
      </c>
      <c r="S146" s="5" t="s">
        <v>66</v>
      </c>
      <c r="T146" s="1">
        <v>6</v>
      </c>
      <c r="U146" s="1">
        <v>116</v>
      </c>
      <c r="V146" s="1">
        <v>48</v>
      </c>
    </row>
    <row r="147" spans="1:22" ht="28.8" x14ac:dyDescent="0.3">
      <c r="A147" s="48">
        <v>140</v>
      </c>
      <c r="B147" s="4"/>
      <c r="C147" s="6" t="s">
        <v>10</v>
      </c>
      <c r="D147" s="5"/>
      <c r="E147" s="5" t="s">
        <v>68</v>
      </c>
      <c r="F147" s="5" t="s">
        <v>61</v>
      </c>
      <c r="G147" s="5" t="s">
        <v>208</v>
      </c>
      <c r="H147" s="5" t="s">
        <v>51</v>
      </c>
      <c r="I147" s="5" t="s">
        <v>58</v>
      </c>
      <c r="J147" s="5" t="s">
        <v>72</v>
      </c>
      <c r="K147" s="5" t="s">
        <v>73</v>
      </c>
      <c r="L147" s="5" t="s">
        <v>56</v>
      </c>
      <c r="M147" s="5" t="s">
        <v>64</v>
      </c>
      <c r="N147" s="5" t="s">
        <v>71</v>
      </c>
      <c r="O147" s="5" t="s">
        <v>65</v>
      </c>
      <c r="P147" s="5" t="s">
        <v>60</v>
      </c>
      <c r="Q147" s="5" t="s">
        <v>47</v>
      </c>
      <c r="R147" s="5" t="s">
        <v>207</v>
      </c>
      <c r="S147" s="5" t="s">
        <v>69</v>
      </c>
      <c r="T147" s="1">
        <v>6</v>
      </c>
      <c r="U147" s="1">
        <v>102</v>
      </c>
      <c r="V147" s="1">
        <v>48</v>
      </c>
    </row>
    <row r="148" spans="1:22" ht="28.8" x14ac:dyDescent="0.3">
      <c r="A148" s="48">
        <v>141</v>
      </c>
      <c r="B148" s="4"/>
      <c r="C148" s="6" t="s">
        <v>191</v>
      </c>
      <c r="D148" s="5"/>
      <c r="E148" s="5" t="s">
        <v>68</v>
      </c>
      <c r="F148" s="5" t="s">
        <v>61</v>
      </c>
      <c r="G148" s="5" t="s">
        <v>208</v>
      </c>
      <c r="H148" s="5" t="s">
        <v>74</v>
      </c>
      <c r="I148" s="5" t="s">
        <v>53</v>
      </c>
      <c r="J148" s="5" t="s">
        <v>72</v>
      </c>
      <c r="K148" s="5" t="s">
        <v>62</v>
      </c>
      <c r="L148" s="5" t="s">
        <v>56</v>
      </c>
      <c r="M148" s="5" t="s">
        <v>64</v>
      </c>
      <c r="N148" s="5" t="s">
        <v>75</v>
      </c>
      <c r="O148" s="5" t="s">
        <v>65</v>
      </c>
      <c r="P148" s="5" t="s">
        <v>67</v>
      </c>
      <c r="Q148" s="5" t="s">
        <v>54</v>
      </c>
      <c r="R148" s="5" t="s">
        <v>207</v>
      </c>
      <c r="S148" s="5" t="s">
        <v>69</v>
      </c>
      <c r="T148" s="1">
        <v>6</v>
      </c>
      <c r="U148" s="1">
        <v>105</v>
      </c>
      <c r="V148" s="1">
        <v>53</v>
      </c>
    </row>
    <row r="149" spans="1:22" x14ac:dyDescent="0.3">
      <c r="A149" s="48">
        <v>142</v>
      </c>
      <c r="B149" s="4"/>
      <c r="C149" s="6" t="s">
        <v>145</v>
      </c>
      <c r="D149" s="5"/>
      <c r="E149" s="5" t="s">
        <v>68</v>
      </c>
      <c r="F149" s="5" t="s">
        <v>61</v>
      </c>
      <c r="G149" s="5" t="s">
        <v>208</v>
      </c>
      <c r="H149" s="5" t="s">
        <v>51</v>
      </c>
      <c r="I149" s="5" t="s">
        <v>53</v>
      </c>
      <c r="J149" s="5" t="s">
        <v>72</v>
      </c>
      <c r="K149" s="5" t="s">
        <v>73</v>
      </c>
      <c r="L149" s="5" t="s">
        <v>56</v>
      </c>
      <c r="M149" s="5" t="s">
        <v>64</v>
      </c>
      <c r="N149" s="5" t="s">
        <v>71</v>
      </c>
      <c r="O149" s="5" t="s">
        <v>59</v>
      </c>
      <c r="P149" s="5" t="s">
        <v>67</v>
      </c>
      <c r="Q149" s="5" t="s">
        <v>54</v>
      </c>
      <c r="R149" s="5" t="s">
        <v>50</v>
      </c>
      <c r="S149" s="5" t="s">
        <v>69</v>
      </c>
      <c r="T149" s="1">
        <v>5</v>
      </c>
      <c r="U149" s="1">
        <v>79</v>
      </c>
      <c r="V149" s="1">
        <v>37</v>
      </c>
    </row>
    <row r="150" spans="1:22" ht="28.8" x14ac:dyDescent="0.3">
      <c r="A150" s="48">
        <v>143</v>
      </c>
      <c r="B150" s="4"/>
      <c r="C150" s="6" t="s">
        <v>25</v>
      </c>
      <c r="D150" s="5"/>
      <c r="E150" s="5" t="s">
        <v>68</v>
      </c>
      <c r="F150" s="5" t="s">
        <v>61</v>
      </c>
      <c r="G150" s="5" t="s">
        <v>57</v>
      </c>
      <c r="H150" s="5" t="s">
        <v>51</v>
      </c>
      <c r="I150" s="5" t="s">
        <v>53</v>
      </c>
      <c r="J150" s="5" t="s">
        <v>72</v>
      </c>
      <c r="K150" s="5" t="s">
        <v>73</v>
      </c>
      <c r="L150" s="5" t="s">
        <v>56</v>
      </c>
      <c r="M150" s="5" t="s">
        <v>64</v>
      </c>
      <c r="N150" s="5" t="s">
        <v>71</v>
      </c>
      <c r="O150" s="5" t="s">
        <v>65</v>
      </c>
      <c r="P150" s="5" t="s">
        <v>67</v>
      </c>
      <c r="Q150" s="5" t="s">
        <v>54</v>
      </c>
      <c r="R150" s="5" t="s">
        <v>207</v>
      </c>
      <c r="S150" s="5" t="s">
        <v>66</v>
      </c>
      <c r="T150" s="1">
        <v>5</v>
      </c>
      <c r="U150" s="1">
        <v>103</v>
      </c>
      <c r="V150" s="1">
        <v>39</v>
      </c>
    </row>
    <row r="151" spans="1:22" ht="28.8" x14ac:dyDescent="0.3">
      <c r="A151" s="48">
        <v>144</v>
      </c>
      <c r="B151" s="4"/>
      <c r="C151" s="6" t="s">
        <v>167</v>
      </c>
      <c r="D151" s="5"/>
      <c r="E151" s="5" t="s">
        <v>70</v>
      </c>
      <c r="F151" s="5" t="s">
        <v>210</v>
      </c>
      <c r="G151" s="5" t="s">
        <v>208</v>
      </c>
      <c r="H151" s="5" t="s">
        <v>74</v>
      </c>
      <c r="I151" s="5" t="s">
        <v>53</v>
      </c>
      <c r="J151" s="5" t="s">
        <v>72</v>
      </c>
      <c r="K151" s="5" t="s">
        <v>62</v>
      </c>
      <c r="L151" s="5" t="s">
        <v>56</v>
      </c>
      <c r="M151" s="5" t="s">
        <v>63</v>
      </c>
      <c r="N151" s="5" t="s">
        <v>75</v>
      </c>
      <c r="O151" s="5" t="s">
        <v>65</v>
      </c>
      <c r="P151" s="5" t="s">
        <v>67</v>
      </c>
      <c r="Q151" s="5" t="s">
        <v>47</v>
      </c>
      <c r="R151" s="5" t="s">
        <v>207</v>
      </c>
      <c r="S151" s="5" t="s">
        <v>66</v>
      </c>
      <c r="T151" s="1">
        <v>5</v>
      </c>
      <c r="U151" s="1">
        <v>96</v>
      </c>
      <c r="V151" s="1">
        <v>42</v>
      </c>
    </row>
    <row r="152" spans="1:22" ht="28.8" x14ac:dyDescent="0.3">
      <c r="A152" s="48">
        <v>145</v>
      </c>
      <c r="B152" s="4"/>
      <c r="C152" s="6" t="s">
        <v>41</v>
      </c>
      <c r="D152" s="5"/>
      <c r="E152" s="5" t="s">
        <v>70</v>
      </c>
      <c r="F152" s="5" t="s">
        <v>61</v>
      </c>
      <c r="G152" s="5" t="s">
        <v>208</v>
      </c>
      <c r="H152" s="5" t="s">
        <v>51</v>
      </c>
      <c r="I152" s="5" t="s">
        <v>53</v>
      </c>
      <c r="J152" s="5" t="s">
        <v>52</v>
      </c>
      <c r="K152" s="5" t="s">
        <v>73</v>
      </c>
      <c r="L152" s="5" t="s">
        <v>56</v>
      </c>
      <c r="M152" s="5" t="s">
        <v>64</v>
      </c>
      <c r="N152" s="5" t="s">
        <v>71</v>
      </c>
      <c r="O152" s="5" t="s">
        <v>65</v>
      </c>
      <c r="P152" s="5" t="s">
        <v>67</v>
      </c>
      <c r="Q152" s="5" t="s">
        <v>47</v>
      </c>
      <c r="R152" s="5" t="s">
        <v>207</v>
      </c>
      <c r="S152" s="5" t="s">
        <v>66</v>
      </c>
      <c r="T152" s="1">
        <v>5</v>
      </c>
      <c r="U152" s="1">
        <v>96</v>
      </c>
      <c r="V152" s="1">
        <v>43</v>
      </c>
    </row>
    <row r="153" spans="1:22" x14ac:dyDescent="0.3">
      <c r="A153" s="48">
        <v>146</v>
      </c>
      <c r="B153" s="4"/>
      <c r="C153" s="6" t="s">
        <v>166</v>
      </c>
      <c r="D153" s="5"/>
      <c r="E153" s="5" t="s">
        <v>68</v>
      </c>
      <c r="F153" s="5" t="s">
        <v>61</v>
      </c>
      <c r="G153" s="5" t="s">
        <v>57</v>
      </c>
      <c r="H153" s="5" t="s">
        <v>51</v>
      </c>
      <c r="I153" s="5" t="s">
        <v>58</v>
      </c>
      <c r="J153" s="5" t="s">
        <v>72</v>
      </c>
      <c r="K153" s="5" t="s">
        <v>73</v>
      </c>
      <c r="L153" s="5" t="s">
        <v>55</v>
      </c>
      <c r="M153" s="5" t="s">
        <v>64</v>
      </c>
      <c r="N153" s="5" t="s">
        <v>71</v>
      </c>
      <c r="O153" s="5" t="s">
        <v>65</v>
      </c>
      <c r="P153" s="5" t="s">
        <v>67</v>
      </c>
      <c r="Q153" s="5" t="s">
        <v>47</v>
      </c>
      <c r="R153" s="5" t="s">
        <v>50</v>
      </c>
      <c r="S153" s="5" t="s">
        <v>66</v>
      </c>
      <c r="T153" s="1">
        <v>5</v>
      </c>
      <c r="U153" s="1">
        <v>94</v>
      </c>
      <c r="V153" s="1">
        <v>44</v>
      </c>
    </row>
    <row r="154" spans="1:22" x14ac:dyDescent="0.3">
      <c r="A154" s="48">
        <v>147</v>
      </c>
      <c r="B154" s="4"/>
      <c r="C154" s="6" t="s">
        <v>149</v>
      </c>
      <c r="D154" s="5"/>
      <c r="E154" s="5" t="s">
        <v>68</v>
      </c>
      <c r="F154" s="5" t="s">
        <v>61</v>
      </c>
      <c r="G154" s="5" t="s">
        <v>208</v>
      </c>
      <c r="H154" s="5" t="s">
        <v>51</v>
      </c>
      <c r="I154" s="5" t="s">
        <v>58</v>
      </c>
      <c r="J154" s="5" t="s">
        <v>52</v>
      </c>
      <c r="K154" s="5" t="s">
        <v>73</v>
      </c>
      <c r="L154" s="5" t="s">
        <v>56</v>
      </c>
      <c r="M154" s="5" t="s">
        <v>64</v>
      </c>
      <c r="N154" s="5" t="s">
        <v>71</v>
      </c>
      <c r="O154" s="5" t="s">
        <v>59</v>
      </c>
      <c r="P154" s="5" t="s">
        <v>67</v>
      </c>
      <c r="Q154" s="5" t="s">
        <v>47</v>
      </c>
      <c r="R154" s="5" t="s">
        <v>50</v>
      </c>
      <c r="S154" s="5" t="s">
        <v>66</v>
      </c>
      <c r="T154" s="1">
        <v>5</v>
      </c>
      <c r="U154" s="1">
        <v>95</v>
      </c>
      <c r="V154" s="1">
        <v>51</v>
      </c>
    </row>
    <row r="155" spans="1:22" ht="28.8" x14ac:dyDescent="0.3">
      <c r="A155" s="48">
        <v>148</v>
      </c>
      <c r="B155" s="4"/>
      <c r="C155" s="6" t="s">
        <v>116</v>
      </c>
      <c r="D155" s="5"/>
      <c r="E155" s="5" t="s">
        <v>68</v>
      </c>
      <c r="F155" s="5" t="s">
        <v>210</v>
      </c>
      <c r="G155" s="5" t="s">
        <v>208</v>
      </c>
      <c r="H155" s="5" t="s">
        <v>74</v>
      </c>
      <c r="I155" s="5" t="s">
        <v>58</v>
      </c>
      <c r="J155" s="5" t="s">
        <v>52</v>
      </c>
      <c r="K155" s="5" t="s">
        <v>62</v>
      </c>
      <c r="L155" s="5" t="s">
        <v>56</v>
      </c>
      <c r="M155" s="5" t="s">
        <v>64</v>
      </c>
      <c r="N155" s="5" t="s">
        <v>71</v>
      </c>
      <c r="O155" s="5" t="s">
        <v>65</v>
      </c>
      <c r="P155" s="5" t="s">
        <v>67</v>
      </c>
      <c r="Q155" s="5" t="s">
        <v>47</v>
      </c>
      <c r="R155" s="5" t="s">
        <v>50</v>
      </c>
      <c r="S155" s="5" t="s">
        <v>66</v>
      </c>
      <c r="T155" s="1">
        <v>5</v>
      </c>
      <c r="U155" s="1">
        <v>104</v>
      </c>
      <c r="V155" s="1">
        <v>52</v>
      </c>
    </row>
    <row r="156" spans="1:22" x14ac:dyDescent="0.3">
      <c r="A156" s="48">
        <v>149</v>
      </c>
      <c r="B156" s="4"/>
      <c r="C156" s="6" t="s">
        <v>118</v>
      </c>
      <c r="D156" s="5"/>
      <c r="E156" s="5" t="s">
        <v>68</v>
      </c>
      <c r="F156" s="5" t="s">
        <v>61</v>
      </c>
      <c r="G156" s="5" t="s">
        <v>208</v>
      </c>
      <c r="H156" s="5" t="s">
        <v>51</v>
      </c>
      <c r="I156" s="5" t="s">
        <v>58</v>
      </c>
      <c r="J156" s="5" t="s">
        <v>72</v>
      </c>
      <c r="K156" s="5" t="s">
        <v>73</v>
      </c>
      <c r="L156" s="5" t="s">
        <v>55</v>
      </c>
      <c r="M156" s="5" t="s">
        <v>64</v>
      </c>
      <c r="N156" s="5" t="s">
        <v>71</v>
      </c>
      <c r="O156" s="5" t="s">
        <v>65</v>
      </c>
      <c r="P156" s="5" t="s">
        <v>67</v>
      </c>
      <c r="Q156" s="5" t="s">
        <v>47</v>
      </c>
      <c r="R156" s="5" t="s">
        <v>207</v>
      </c>
      <c r="S156" s="5" t="s">
        <v>66</v>
      </c>
      <c r="T156" s="1">
        <v>5</v>
      </c>
      <c r="U156" s="1">
        <v>99</v>
      </c>
      <c r="V156" s="1">
        <v>52</v>
      </c>
    </row>
    <row r="157" spans="1:22" x14ac:dyDescent="0.3">
      <c r="A157" s="48">
        <v>150</v>
      </c>
      <c r="B157" s="4"/>
      <c r="C157" s="6" t="s">
        <v>126</v>
      </c>
      <c r="D157" s="5"/>
      <c r="E157" s="5" t="s">
        <v>70</v>
      </c>
      <c r="F157" s="5" t="s">
        <v>61</v>
      </c>
      <c r="G157" s="5" t="s">
        <v>208</v>
      </c>
      <c r="H157" s="5" t="s">
        <v>74</v>
      </c>
      <c r="I157" s="5" t="s">
        <v>53</v>
      </c>
      <c r="J157" s="5" t="s">
        <v>52</v>
      </c>
      <c r="K157" s="5" t="s">
        <v>73</v>
      </c>
      <c r="L157" s="5" t="s">
        <v>56</v>
      </c>
      <c r="M157" s="5" t="s">
        <v>63</v>
      </c>
      <c r="N157" s="5" t="s">
        <v>71</v>
      </c>
      <c r="O157" s="5" t="s">
        <v>65</v>
      </c>
      <c r="P157" s="5" t="s">
        <v>67</v>
      </c>
      <c r="Q157" s="5" t="s">
        <v>47</v>
      </c>
      <c r="R157" s="5" t="s">
        <v>207</v>
      </c>
      <c r="S157" s="5" t="s">
        <v>66</v>
      </c>
      <c r="T157" s="1">
        <v>5</v>
      </c>
      <c r="U157" s="1">
        <v>107</v>
      </c>
      <c r="V157" s="1">
        <v>65</v>
      </c>
    </row>
    <row r="158" spans="1:22" x14ac:dyDescent="0.3">
      <c r="A158" s="48">
        <v>151</v>
      </c>
      <c r="B158" s="4"/>
      <c r="C158" s="6" t="s">
        <v>13</v>
      </c>
      <c r="D158" s="5"/>
      <c r="E158" s="5" t="s">
        <v>70</v>
      </c>
      <c r="F158" s="5" t="s">
        <v>210</v>
      </c>
      <c r="G158" s="5" t="s">
        <v>208</v>
      </c>
      <c r="H158" s="5" t="s">
        <v>51</v>
      </c>
      <c r="I158" s="5" t="s">
        <v>53</v>
      </c>
      <c r="J158" s="5" t="s">
        <v>52</v>
      </c>
      <c r="K158" s="5" t="s">
        <v>73</v>
      </c>
      <c r="L158" s="5" t="s">
        <v>56</v>
      </c>
      <c r="M158" s="5" t="s">
        <v>63</v>
      </c>
      <c r="N158" s="5" t="s">
        <v>71</v>
      </c>
      <c r="O158" s="5" t="s">
        <v>65</v>
      </c>
      <c r="P158" s="5" t="s">
        <v>67</v>
      </c>
      <c r="Q158" s="5" t="s">
        <v>47</v>
      </c>
      <c r="R158" s="5" t="s">
        <v>50</v>
      </c>
      <c r="S158" s="5" t="s">
        <v>66</v>
      </c>
      <c r="T158" s="1">
        <v>4</v>
      </c>
      <c r="U158" s="1">
        <v>114</v>
      </c>
      <c r="V158" s="1">
        <v>39</v>
      </c>
    </row>
    <row r="159" spans="1:22" ht="28.8" x14ac:dyDescent="0.3">
      <c r="A159" s="48">
        <v>152</v>
      </c>
      <c r="B159" s="4"/>
      <c r="C159" s="6" t="s">
        <v>81</v>
      </c>
      <c r="D159" s="5"/>
      <c r="E159" s="5" t="s">
        <v>68</v>
      </c>
      <c r="F159" s="5" t="s">
        <v>210</v>
      </c>
      <c r="G159" s="5" t="s">
        <v>208</v>
      </c>
      <c r="H159" s="5" t="s">
        <v>74</v>
      </c>
      <c r="I159" s="5" t="s">
        <v>53</v>
      </c>
      <c r="J159" s="5" t="s">
        <v>72</v>
      </c>
      <c r="K159" s="5" t="s">
        <v>73</v>
      </c>
      <c r="L159" s="5" t="s">
        <v>56</v>
      </c>
      <c r="M159" s="5" t="s">
        <v>63</v>
      </c>
      <c r="N159" s="5" t="s">
        <v>71</v>
      </c>
      <c r="O159" s="5" t="s">
        <v>65</v>
      </c>
      <c r="P159" s="5" t="s">
        <v>67</v>
      </c>
      <c r="Q159" s="5" t="s">
        <v>47</v>
      </c>
      <c r="R159" s="5" t="s">
        <v>207</v>
      </c>
      <c r="S159" s="5" t="s">
        <v>66</v>
      </c>
      <c r="T159" s="1">
        <v>4</v>
      </c>
      <c r="U159" s="1">
        <v>114</v>
      </c>
      <c r="V159" s="1">
        <v>43</v>
      </c>
    </row>
    <row r="160" spans="1:22" ht="28.8" x14ac:dyDescent="0.3">
      <c r="A160" s="48">
        <v>153</v>
      </c>
      <c r="B160" s="4"/>
      <c r="C160" s="6" t="s">
        <v>165</v>
      </c>
      <c r="D160" s="5"/>
      <c r="E160" s="5" t="s">
        <v>70</v>
      </c>
      <c r="F160" s="5" t="s">
        <v>61</v>
      </c>
      <c r="G160" s="5" t="s">
        <v>208</v>
      </c>
      <c r="H160" s="5" t="s">
        <v>51</v>
      </c>
      <c r="I160" s="5" t="s">
        <v>58</v>
      </c>
      <c r="J160" s="5" t="s">
        <v>72</v>
      </c>
      <c r="K160" s="5" t="s">
        <v>62</v>
      </c>
      <c r="L160" s="5" t="s">
        <v>56</v>
      </c>
      <c r="M160" s="5" t="s">
        <v>63</v>
      </c>
      <c r="N160" s="5" t="s">
        <v>75</v>
      </c>
      <c r="O160" s="5" t="s">
        <v>59</v>
      </c>
      <c r="P160" s="5" t="s">
        <v>67</v>
      </c>
      <c r="Q160" s="5" t="s">
        <v>47</v>
      </c>
      <c r="R160" s="5" t="s">
        <v>50</v>
      </c>
      <c r="S160" s="5" t="s">
        <v>66</v>
      </c>
      <c r="T160" s="1">
        <v>4</v>
      </c>
      <c r="U160" s="1">
        <v>94</v>
      </c>
      <c r="V160" s="1">
        <v>46</v>
      </c>
    </row>
    <row r="161" spans="1:22" x14ac:dyDescent="0.3">
      <c r="A161" s="48">
        <v>154</v>
      </c>
      <c r="B161" s="4"/>
      <c r="C161" s="6" t="s">
        <v>93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1">
        <v>0</v>
      </c>
      <c r="U161" s="1">
        <v>92</v>
      </c>
      <c r="V161" s="1"/>
    </row>
    <row r="162" spans="1:22" ht="28.8" x14ac:dyDescent="0.3">
      <c r="A162" s="48">
        <v>155</v>
      </c>
      <c r="B162" s="4"/>
      <c r="C162" s="6" t="s">
        <v>87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1">
        <v>0</v>
      </c>
      <c r="U162" s="1">
        <v>87</v>
      </c>
      <c r="V162" s="1"/>
    </row>
    <row r="163" spans="1:22" x14ac:dyDescent="0.3">
      <c r="A163" s="48">
        <v>156</v>
      </c>
      <c r="B163" s="4"/>
      <c r="C163" s="6" t="s">
        <v>199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1">
        <v>0</v>
      </c>
      <c r="U163" s="1">
        <v>78</v>
      </c>
      <c r="V163" s="1"/>
    </row>
    <row r="164" spans="1:22" x14ac:dyDescent="0.3">
      <c r="A164" s="48">
        <v>157</v>
      </c>
      <c r="B164" s="4"/>
      <c r="C164" s="6" t="s">
        <v>7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1">
        <v>0</v>
      </c>
      <c r="U164" s="1">
        <v>90</v>
      </c>
      <c r="V164" s="1"/>
    </row>
    <row r="165" spans="1:22" x14ac:dyDescent="0.3">
      <c r="A165" s="48">
        <v>158</v>
      </c>
      <c r="B165" s="4"/>
      <c r="C165" s="6" t="s">
        <v>44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1">
        <v>0</v>
      </c>
      <c r="U165" s="1">
        <v>102</v>
      </c>
      <c r="V165" s="1"/>
    </row>
    <row r="166" spans="1:22" x14ac:dyDescent="0.3">
      <c r="A166" s="48">
        <v>159</v>
      </c>
      <c r="B166" s="4"/>
      <c r="C166" s="6" t="s">
        <v>201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1">
        <v>0</v>
      </c>
      <c r="U166" s="1">
        <v>78</v>
      </c>
      <c r="V166" s="1"/>
    </row>
    <row r="167" spans="1:22" ht="28.8" x14ac:dyDescent="0.3">
      <c r="A167" s="48">
        <v>160</v>
      </c>
      <c r="B167" s="4"/>
      <c r="C167" s="6" t="s">
        <v>170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1">
        <v>0</v>
      </c>
      <c r="U167" s="1">
        <v>77</v>
      </c>
      <c r="V167" s="1"/>
    </row>
    <row r="168" spans="1:22" x14ac:dyDescent="0.3">
      <c r="A168" s="48">
        <v>161</v>
      </c>
      <c r="B168" s="4"/>
      <c r="C168" s="6" t="s">
        <v>131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1">
        <v>0</v>
      </c>
      <c r="U168" s="1">
        <v>59</v>
      </c>
      <c r="V168" s="1"/>
    </row>
    <row r="169" spans="1:22" x14ac:dyDescent="0.3">
      <c r="A169" s="48">
        <v>162</v>
      </c>
      <c r="B169" s="4"/>
      <c r="C169" s="6" t="s">
        <v>195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1">
        <v>0</v>
      </c>
      <c r="U169" s="1">
        <v>76</v>
      </c>
      <c r="V169" s="1"/>
    </row>
    <row r="170" spans="1:22" ht="28.8" x14ac:dyDescent="0.3">
      <c r="A170" s="48">
        <v>163</v>
      </c>
      <c r="B170" s="4"/>
      <c r="C170" s="6" t="s">
        <v>179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1">
        <v>0</v>
      </c>
      <c r="U170" s="1">
        <v>96</v>
      </c>
      <c r="V170" s="1"/>
    </row>
  </sheetData>
  <mergeCells count="4">
    <mergeCell ref="T1:T7"/>
    <mergeCell ref="U1:U7"/>
    <mergeCell ref="A1:A7"/>
    <mergeCell ref="B1:B7"/>
  </mergeCells>
  <hyperlinks>
    <hyperlink ref="C8" r:id="rId1" display="https://poolhost.com/profootball/playerstats/1731690"/>
    <hyperlink ref="C9" r:id="rId2" display="https://poolhost.com/profootball/playerstats/1670025"/>
    <hyperlink ref="C10" r:id="rId3" display="https://poolhost.com/profootball/playerstats/1709552"/>
    <hyperlink ref="C11" r:id="rId4" display="https://poolhost.com/profootball/playerstats/1662306"/>
    <hyperlink ref="C12" r:id="rId5" display="https://poolhost.com/profootball/playerstats/1660811"/>
    <hyperlink ref="C13" r:id="rId6" display="https://poolhost.com/profootball/playerstats/1677370"/>
    <hyperlink ref="C14" r:id="rId7" display="https://poolhost.com/profootball/playerstats/1678632"/>
    <hyperlink ref="C15" r:id="rId8" display="https://poolhost.com/profootball/playerstats/1721401"/>
    <hyperlink ref="C16" r:id="rId9" display="https://poolhost.com/profootball/playerstats/1705346"/>
    <hyperlink ref="C17" r:id="rId10" display="https://poolhost.com/profootball/playerstats/1666092"/>
    <hyperlink ref="C18" r:id="rId11" display="https://poolhost.com/profootball/playerstats/1730676"/>
    <hyperlink ref="C19" r:id="rId12" display="https://poolhost.com/profootball/playerstats/1702170"/>
    <hyperlink ref="C20" r:id="rId13" display="https://poolhost.com/profootball/playerstats/1665910"/>
    <hyperlink ref="C21" r:id="rId14" display="https://poolhost.com/profootball/playerstats/1685256"/>
    <hyperlink ref="C22" r:id="rId15" display="https://poolhost.com/profootball/playerstats/1733218"/>
    <hyperlink ref="C23" r:id="rId16" display="https://poolhost.com/profootball/playerstats/1657801"/>
    <hyperlink ref="C24" r:id="rId17" display="https://poolhost.com/profootball/playerstats/1679667"/>
    <hyperlink ref="C25" r:id="rId18" display="https://poolhost.com/profootball/playerstats/1668628"/>
    <hyperlink ref="C26" r:id="rId19" display="https://poolhost.com/profootball/playerstats/1661981"/>
    <hyperlink ref="C27" r:id="rId20" display="https://poolhost.com/profootball/playerstats/1696717"/>
    <hyperlink ref="C28" r:id="rId21" display="https://poolhost.com/profootball/playerstats/1703401"/>
    <hyperlink ref="C29" r:id="rId22" display="https://poolhost.com/profootball/playerstats/1654485"/>
    <hyperlink ref="C30" r:id="rId23" display="https://poolhost.com/profootball/playerstats/1670484"/>
    <hyperlink ref="C31" r:id="rId24" display="https://poolhost.com/profootball/playerstats/1708448"/>
    <hyperlink ref="C32" r:id="rId25" display="https://poolhost.com/profootball/playerstats/1657583"/>
    <hyperlink ref="C33" r:id="rId26" display="https://poolhost.com/profootball/playerstats/1655447"/>
    <hyperlink ref="C34" r:id="rId27" display="https://poolhost.com/profootball/playerstats/1729262"/>
    <hyperlink ref="C35" r:id="rId28" display="https://poolhost.com/profootball/playerstats/1665979"/>
    <hyperlink ref="C36" r:id="rId29" display="https://poolhost.com/profootball/playerstats/1695492"/>
    <hyperlink ref="C37" r:id="rId30" display="https://poolhost.com/profootball/playerstats/1729617"/>
    <hyperlink ref="C38" r:id="rId31" display="https://poolhost.com/profootball/playerstats/1732254"/>
    <hyperlink ref="C39" r:id="rId32" display="https://poolhost.com/profootball/playerstats/1657241"/>
    <hyperlink ref="C40" r:id="rId33" display="https://poolhost.com/profootball/playerstats/1654448"/>
    <hyperlink ref="C41" r:id="rId34" display="https://poolhost.com/profootball/playerstats/1654623"/>
    <hyperlink ref="C42" r:id="rId35" display="https://poolhost.com/profootball/playerstats/1715552"/>
    <hyperlink ref="C43" r:id="rId36" display="https://poolhost.com/profootball/playerstats/1657103"/>
    <hyperlink ref="C44" r:id="rId37" display="https://poolhost.com/profootball/playerstats/1723980"/>
    <hyperlink ref="C45" r:id="rId38" display="https://poolhost.com/profootball/playerstats/1701053"/>
    <hyperlink ref="C46" r:id="rId39" display="https://poolhost.com/profootball/playerstats/1655488"/>
    <hyperlink ref="C47" r:id="rId40" display="https://poolhost.com/profootball/playerstats/1678667"/>
    <hyperlink ref="C48" r:id="rId41" display="https://poolhost.com/profootball/playerstats/1729491"/>
    <hyperlink ref="C49" r:id="rId42" display="https://poolhost.com/profootball/playerstats/1659846"/>
    <hyperlink ref="C50" r:id="rId43" display="https://poolhost.com/profootball/playerstats/1681946"/>
    <hyperlink ref="C51" r:id="rId44" display="https://poolhost.com/profootball/playerstats/1732411"/>
    <hyperlink ref="C52" r:id="rId45" display="https://poolhost.com/profootball/playerstats/1674086"/>
    <hyperlink ref="C53" r:id="rId46" display="https://poolhost.com/profootball/playerstats/1678377"/>
    <hyperlink ref="C54" r:id="rId47" display="https://poolhost.com/profootball/playerstats/1732953"/>
    <hyperlink ref="C55" r:id="rId48" display="https://poolhost.com/profootball/playerstats/1729314"/>
    <hyperlink ref="C56" r:id="rId49" display="https://poolhost.com/profootball/playerstats/1732290"/>
    <hyperlink ref="C57" r:id="rId50" display="https://poolhost.com/profootball/playerstats/1667376"/>
    <hyperlink ref="C58" r:id="rId51" display="https://poolhost.com/profootball/playerstats/1725535"/>
    <hyperlink ref="C59" r:id="rId52" display="https://poolhost.com/profootball/playerstats/1667866"/>
    <hyperlink ref="C60" r:id="rId53" display="https://poolhost.com/profootball/playerstats/1665614"/>
    <hyperlink ref="C61" r:id="rId54" display="https://poolhost.com/profootball/playerstats/1731755"/>
    <hyperlink ref="C62" r:id="rId55" display="https://poolhost.com/profootball/playerstats/1676125"/>
    <hyperlink ref="C63" r:id="rId56" display="https://poolhost.com/profootball/playerstats/1654603"/>
    <hyperlink ref="C64" r:id="rId57" display="https://poolhost.com/profootball/playerstats/1727170"/>
    <hyperlink ref="C65" r:id="rId58" display="https://poolhost.com/profootball/playerstats/1673222"/>
    <hyperlink ref="C66" r:id="rId59" display="https://poolhost.com/profootball/playerstats/1733415"/>
    <hyperlink ref="C67" r:id="rId60" display="https://poolhost.com/profootball/playerstats/1705249"/>
    <hyperlink ref="C68" r:id="rId61" display="https://poolhost.com/profootball/playerstats/1673761"/>
    <hyperlink ref="C69" r:id="rId62" display="https://poolhost.com/profootball/playerstats/1671748"/>
    <hyperlink ref="C70" r:id="rId63" display="https://poolhost.com/profootball/playerstats/1662606"/>
    <hyperlink ref="C71" r:id="rId64" display="https://poolhost.com/profootball/playerstats/1699660"/>
    <hyperlink ref="C72" r:id="rId65" display="https://poolhost.com/profootball/playerstats/1699295"/>
    <hyperlink ref="C73" r:id="rId66" display="https://poolhost.com/profootball/playerstats/1659875"/>
    <hyperlink ref="C74" r:id="rId67" display="https://poolhost.com/profootball/playerstats/1726326"/>
    <hyperlink ref="C75" r:id="rId68" display="https://poolhost.com/profootball/playerstats/1670226"/>
    <hyperlink ref="C76" r:id="rId69" display="https://poolhost.com/profootball/playerstats/1668682"/>
    <hyperlink ref="C77" r:id="rId70" display="https://poolhost.com/profootball/playerstats/1672298"/>
    <hyperlink ref="C78" r:id="rId71" display="https://poolhost.com/profootball/playerstats/1681958"/>
    <hyperlink ref="C79" r:id="rId72" display="https://poolhost.com/profootball/playerstats/1730347"/>
    <hyperlink ref="C80" r:id="rId73" display="https://poolhost.com/profootball/playerstats/1722233"/>
    <hyperlink ref="C81" r:id="rId74" display="https://poolhost.com/profootball/playerstats/1682884"/>
    <hyperlink ref="C82" r:id="rId75" display="https://poolhost.com/profootball/playerstats/1669323"/>
    <hyperlink ref="C83" r:id="rId76" display="https://poolhost.com/profootball/playerstats/1674022"/>
    <hyperlink ref="C84" r:id="rId77" display="https://poolhost.com/profootball/playerstats/1677049"/>
    <hyperlink ref="C85" r:id="rId78" display="https://poolhost.com/profootball/playerstats/1671837"/>
    <hyperlink ref="C86" r:id="rId79" display="https://poolhost.com/profootball/playerstats/1728787"/>
    <hyperlink ref="C87" r:id="rId80" display="https://poolhost.com/profootball/playerstats/1701354"/>
    <hyperlink ref="C88" r:id="rId81" display="https://poolhost.com/profootball/playerstats/1679009"/>
    <hyperlink ref="C89" r:id="rId82" display="https://poolhost.com/profootball/playerstats/1656464"/>
    <hyperlink ref="C90" r:id="rId83" display="https://poolhost.com/profootball/playerstats/1673248"/>
    <hyperlink ref="C91" r:id="rId84" display="https://poolhost.com/profootball/playerstats/1666034"/>
    <hyperlink ref="C92" r:id="rId85" display="https://poolhost.com/profootball/playerstats/1654634"/>
    <hyperlink ref="C93" r:id="rId86" display="https://poolhost.com/profootball/playerstats/1661711"/>
    <hyperlink ref="C94" r:id="rId87" display="https://poolhost.com/profootball/playerstats/1730270"/>
    <hyperlink ref="C95" r:id="rId88" display="https://poolhost.com/profootball/playerstats/1686727"/>
    <hyperlink ref="C96" r:id="rId89" display="https://poolhost.com/profootball/playerstats/1657024"/>
    <hyperlink ref="C97" r:id="rId90" display="https://poolhost.com/profootball/playerstats/1705029"/>
    <hyperlink ref="C98" r:id="rId91" display="https://poolhost.com/profootball/playerstats/1727817"/>
    <hyperlink ref="C99" r:id="rId92" display="https://poolhost.com/profootball/playerstats/1683531"/>
    <hyperlink ref="C100" r:id="rId93" display="https://poolhost.com/profootball/playerstats/1685066"/>
    <hyperlink ref="C101" r:id="rId94" display="https://poolhost.com/profootball/playerstats/1680041"/>
    <hyperlink ref="C102" r:id="rId95" display="https://poolhost.com/profootball/playerstats/1658459"/>
    <hyperlink ref="C103" r:id="rId96" display="https://poolhost.com/profootball/playerstats/1732851"/>
    <hyperlink ref="C104" r:id="rId97" display="https://poolhost.com/profootball/playerstats/1654484"/>
    <hyperlink ref="C105" r:id="rId98" display="https://poolhost.com/profootball/playerstats/1697912"/>
    <hyperlink ref="C106" r:id="rId99" display="https://poolhost.com/profootball/playerstats/1732996"/>
    <hyperlink ref="C107" r:id="rId100" display="https://poolhost.com/profootball/playerstats/1668687"/>
    <hyperlink ref="C108" r:id="rId101" display="https://poolhost.com/profootball/playerstats/1695716"/>
    <hyperlink ref="C109" r:id="rId102" display="https://poolhost.com/profootball/playerstats/1708312"/>
    <hyperlink ref="C110" r:id="rId103" display="https://poolhost.com/profootball/playerstats/1669212"/>
    <hyperlink ref="C111" r:id="rId104" display="https://poolhost.com/profootball/playerstats/1666473"/>
    <hyperlink ref="C112" r:id="rId105" display="https://poolhost.com/profootball/playerstats/1694354"/>
    <hyperlink ref="C113" r:id="rId106" display="https://poolhost.com/profootball/playerstats/1679300"/>
    <hyperlink ref="C114" r:id="rId107" display="https://poolhost.com/profootball/playerstats/1694017"/>
    <hyperlink ref="C115" r:id="rId108" display="https://poolhost.com/profootball/playerstats/1722286"/>
    <hyperlink ref="C116" r:id="rId109" display="https://poolhost.com/profootball/playerstats/1683389"/>
    <hyperlink ref="C117" r:id="rId110" display="https://poolhost.com/profootball/playerstats/1667937"/>
    <hyperlink ref="C118" r:id="rId111" display="https://poolhost.com/profootball/playerstats/1705049"/>
    <hyperlink ref="C119" r:id="rId112" display="https://poolhost.com/profootball/playerstats/1704294"/>
    <hyperlink ref="C120" r:id="rId113" display="https://poolhost.com/profootball/playerstats/1703435"/>
    <hyperlink ref="C121" r:id="rId114" display="https://poolhost.com/profootball/playerstats/1712780"/>
    <hyperlink ref="C122" r:id="rId115" display="https://poolhost.com/profootball/playerstats/1654500"/>
    <hyperlink ref="C123" r:id="rId116" display="https://poolhost.com/profootball/playerstats/1709781"/>
    <hyperlink ref="C124" r:id="rId117" display="https://poolhost.com/profootball/playerstats/1731780"/>
    <hyperlink ref="C125" r:id="rId118" display="https://poolhost.com/profootball/playerstats/1673234"/>
    <hyperlink ref="C126" r:id="rId119" display="https://poolhost.com/profootball/playerstats/1722206"/>
    <hyperlink ref="C127" r:id="rId120" display="https://poolhost.com/profootball/playerstats/1665631"/>
    <hyperlink ref="C128" r:id="rId121" display="https://poolhost.com/profootball/playerstats/1668461"/>
    <hyperlink ref="C129" r:id="rId122" display="https://poolhost.com/profootball/playerstats/1734363"/>
    <hyperlink ref="C130" r:id="rId123" display="https://poolhost.com/profootball/playerstats/1687892"/>
    <hyperlink ref="C131" r:id="rId124" display="https://poolhost.com/profootball/playerstats/1708505"/>
    <hyperlink ref="C132" r:id="rId125" display="https://poolhost.com/profootball/playerstats/1659558"/>
    <hyperlink ref="C133" r:id="rId126" display="https://poolhost.com/profootball/playerstats/1699810"/>
    <hyperlink ref="C134" r:id="rId127" display="https://poolhost.com/profootball/playerstats/1657214"/>
    <hyperlink ref="C135" r:id="rId128" display="https://poolhost.com/profootball/playerstats/1676654"/>
    <hyperlink ref="C136" r:id="rId129" display="https://poolhost.com/profootball/playerstats/1705272"/>
    <hyperlink ref="C137" r:id="rId130" display="https://poolhost.com/profootball/playerstats/1666449"/>
    <hyperlink ref="C138" r:id="rId131" display="https://poolhost.com/profootball/playerstats/1681897"/>
    <hyperlink ref="C139" r:id="rId132" display="https://poolhost.com/profootball/playerstats/1669305"/>
    <hyperlink ref="C140" r:id="rId133" display="https://poolhost.com/profootball/playerstats/1721307"/>
    <hyperlink ref="C141" r:id="rId134" display="https://poolhost.com/profootball/playerstats/1663101"/>
    <hyperlink ref="C142" r:id="rId135" display="https://poolhost.com/profootball/playerstats/1741250"/>
    <hyperlink ref="C143" r:id="rId136" display="https://poolhost.com/profootball/playerstats/1711169"/>
    <hyperlink ref="C144" r:id="rId137" display="https://poolhost.com/profootball/playerstats/1684491"/>
    <hyperlink ref="C145" r:id="rId138" display="https://poolhost.com/profootball/playerstats/1649126"/>
    <hyperlink ref="C146" r:id="rId139" display="https://poolhost.com/profootball/playerstats/1735486"/>
    <hyperlink ref="C147" r:id="rId140" display="https://poolhost.com/profootball/playerstats/1726632"/>
    <hyperlink ref="C148" r:id="rId141" display="https://poolhost.com/profootball/playerstats/1691673"/>
    <hyperlink ref="C149" r:id="rId142" display="https://poolhost.com/profootball/playerstats/1700157"/>
    <hyperlink ref="C150" r:id="rId143" display="https://poolhost.com/profootball/playerstats/1649341"/>
    <hyperlink ref="C151" r:id="rId144" display="https://poolhost.com/profootball/playerstats/1666027"/>
    <hyperlink ref="C152" r:id="rId145" display="https://poolhost.com/profootball/playerstats/1700155"/>
    <hyperlink ref="C153" r:id="rId146" display="https://poolhost.com/profootball/playerstats/1702449"/>
    <hyperlink ref="C154" r:id="rId147" display="https://poolhost.com/profootball/playerstats/1679156"/>
    <hyperlink ref="C155" r:id="rId148" display="https://poolhost.com/profootball/playerstats/1665810"/>
    <hyperlink ref="C156" r:id="rId149" display="https://poolhost.com/profootball/playerstats/1724223"/>
    <hyperlink ref="C157" r:id="rId150" display="https://poolhost.com/profootball/playerstats/1708805"/>
    <hyperlink ref="C158" r:id="rId151" display="https://poolhost.com/profootball/playerstats/1654791"/>
    <hyperlink ref="C159" r:id="rId152" display="https://poolhost.com/profootball/playerstats/1732788"/>
    <hyperlink ref="C160" r:id="rId153" display="https://poolhost.com/profootball/playerstats/1682523"/>
    <hyperlink ref="C161" r:id="rId154" display="https://poolhost.com/profootball/playerstats/1684266"/>
    <hyperlink ref="C162" r:id="rId155" display="https://poolhost.com/profootball/playerstats/1684290"/>
    <hyperlink ref="C163" r:id="rId156" display="https://poolhost.com/profootball/playerstats/1654649"/>
    <hyperlink ref="C164" r:id="rId157" display="https://poolhost.com/profootball/playerstats/1707988"/>
    <hyperlink ref="C165" r:id="rId158" display="https://poolhost.com/profootball/playerstats/1686915"/>
    <hyperlink ref="C166" r:id="rId159" display="https://poolhost.com/profootball/playerstats/1728782"/>
    <hyperlink ref="C167" r:id="rId160" display="https://poolhost.com/profootball/playerstats/1704026"/>
    <hyperlink ref="C168" r:id="rId161" display="https://poolhost.com/profootball/playerstats/1734172"/>
    <hyperlink ref="C169" r:id="rId162" display="https://poolhost.com/profootball/playerstats/1663641"/>
    <hyperlink ref="C170" r:id="rId163" display="https://poolhost.com/profootball/playerstats/16721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2024 week 1</vt:lpstr>
      <vt:lpstr>2024 week 2</vt:lpstr>
      <vt:lpstr>2024 week 3</vt:lpstr>
      <vt:lpstr>2024 week 4</vt:lpstr>
      <vt:lpstr>2024 week 5</vt:lpstr>
      <vt:lpstr>2024 week 6</vt:lpstr>
      <vt:lpstr>2024 week 7</vt:lpstr>
      <vt:lpstr>2024 week 8</vt:lpstr>
      <vt:lpstr>2024 week 9</vt:lpstr>
      <vt:lpstr>2024 week 10</vt:lpstr>
      <vt:lpstr>2024 week 11</vt:lpstr>
      <vt:lpstr>2024 week 12</vt:lpstr>
      <vt:lpstr>2024 week 13</vt:lpstr>
      <vt:lpstr>2024 week 14</vt:lpstr>
      <vt:lpstr>2024 week 15</vt:lpstr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Summerlee</dc:creator>
  <cp:lastModifiedBy>Graham Summerlee</cp:lastModifiedBy>
  <dcterms:created xsi:type="dcterms:W3CDTF">2024-10-13T14:56:18Z</dcterms:created>
  <dcterms:modified xsi:type="dcterms:W3CDTF">2024-12-18T16:00:51Z</dcterms:modified>
</cp:coreProperties>
</file>